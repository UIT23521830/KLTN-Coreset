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Learning Outcome" sheetId="1" r:id="rId4"/>
    <sheet state="visible" name="Data-Course Quality" sheetId="2" r:id="rId5"/>
    <sheet state="visible" name="Scenario" sheetId="3" r:id="rId6"/>
    <sheet state="visible" name="Setup" sheetId="4" r:id="rId7"/>
    <sheet state="visible" name="Learning Outcome" sheetId="5" r:id="rId8"/>
    <sheet state="visible" name="Course Quality" sheetId="6" r:id="rId9"/>
    <sheet state="visible" name="Demo" sheetId="7" r:id="rId10"/>
  </sheets>
  <definedNames>
    <definedName hidden="1" localSheetId="0" name="_xlnm._FilterDatabase">'Data-Learning Outcome'!$A$1:$C$4</definedName>
    <definedName hidden="1" localSheetId="1" name="_xlnm._FilterDatabase">'Data-Course Quality'!$A$1:$C$4</definedName>
    <definedName hidden="1" localSheetId="3" name="_xlnm._FilterDatabase">Setup!$A$1:$D$7</definedName>
    <definedName hidden="1" localSheetId="6" name="_xlnm._FilterDatabase">Demo!$A$1:$C$9</definedName>
  </definedNames>
  <calcPr/>
  <extLst>
    <ext uri="GoogleSheetsCustomDataVersion2">
      <go:sheetsCustomData xmlns:go="http://customooxmlschemas.google.com/" r:id="rId11" roundtripDataChecksum="F7WaH/h71Je24w7KKqcF6QB5MS+IAyQ8XUJulmWIqL8="/>
    </ext>
  </extLst>
</workbook>
</file>

<file path=xl/sharedStrings.xml><?xml version="1.0" encoding="utf-8"?>
<sst xmlns="http://schemas.openxmlformats.org/spreadsheetml/2006/main" count="456" uniqueCount="121">
  <si>
    <t>ID</t>
  </si>
  <si>
    <t>Content</t>
  </si>
  <si>
    <t>Notes</t>
  </si>
  <si>
    <r>
      <rPr>
        <rFont val="Times New Roman"/>
        <b/>
        <color rgb="FFFF0000"/>
        <sz val="12.0"/>
      </rPr>
      <t>Thông tin dữ liệu thực nghiệm</t>
    </r>
    <r>
      <rPr>
        <rFont val="Times New Roman"/>
        <color theme="1"/>
        <sz val="12.0"/>
      </rPr>
      <t xml:space="preserve">
Sau khi collect các dữ liệu cần cho bài toán, đặc điểm của tập dữ liệu sau khi kết hợp:
- Số dòng: 2.324.524
- Số cột: 182
- Liệt kê các cột dữ liệu: user_id,course_id,course_duration,start_year,start_month,start_day,enrollment_to_end,label_3,gender,num_course_order,avg_interval_enroll_time,max_interval_enroll_time,min_interval_enroll_time,first_enroll_year,last_enroll_year,most_enroll_month,enroll_ratio,name,video_counts,ex_counts,school_name,about_len,school_about_len,teacher_about_len,num_teachers,user_counts,ex_p1_average_attempts_1,ex_p1_average_ratio_1,ex_p1_average_exercise_time_1,ex_p1_average_time_between_submissions_1,ex_p1_average_enroll_to_first_submit_days_1,ex_p1_average_enroll_to_last_submit_days_1,ex_p1_exercise_completion_ratio_1,vid_p1_segment_duration_seconds_1,vid_p1_avg_segment_duration_1,vid_p1_avg_real_watch_time_1,vid_p1_segment_count_1,vid_p1_avg_playback_speed_1,vid_p1_avg_day_of_week_1,vid_p1_most_common_hour_1,vid_p1_most_common_day_1,vid_p1_unique_video_count_1,vid_p1_avg_segment_count_per_video_1,vid_p1_var_playback_speed_1,vid_p1_fast_forward_ratio_1,vid_p1_session_duration_std_1,cmt_p1_time_bin_phase1,cmt_p1_entropy_time_comment_phase1,cmt_p1_total_words_phase1,cmt_p1_total_negative_phase1,cmt_p1_total_neutral_phase1,cmt_p1_total_positive_phase1,cmt_p1_total_comments_phase1,cmt_p1_avg_comment_length_phase1,cmt_p1_std_comment_length_phase1,cmt_p1_max_comment_length_phase1,cmt_p1_text_diversity_phase1,cmt_p1_comment_days_active_phase1,cmt_p1_entropy_time_mean_phase1,cmt_p1_most_common_time_bin_phase1,cmt_p1_time_entropy_var_phase1,cmt_p1_positive_ratio_phase1,cmt_p1_neutral_ratio_phase1,cmt_p1_negative_ratio_phase1,cmt_p1_sentiment_entropy_phase1,ex_p2_average_attempts_2,ex_p2_average_ratio_2,ex_p2_average_exercise_time_2,ex_p2_average_time_between_submissions_2,ex_p2_average_enroll_to_first_submit_days_2,ex_p2_average_enroll_to_last_submit_days_2,ex_p2_exercise_completion_ratio_2,vid_p2_segment_duration_seconds_2,vid_p2_avg_segment_duration_2,vid_p2_avg_real_watch_time_2,vid_p2_segment_count_2,vid_p2_avg_playback_speed_2,vid_p2_avg_day_of_week_2,vid_p2_most_common_hour_2,vid_p2_most_common_day_2,vid_p2_unique_video_count_2,vid_p2_avg_segment_count_per_video_2,vid_p2_var_playback_speed_2,vid_p2_fast_forward_ratio_2,vid_p2_session_duration_std_2,cmt_p2_time_bin_phase2,cmt_p2_entropy_time_comment_phase2,cmt_p2_total_words_phase2,cmt_p2_total_negative_phase2,cmt_p2_total_neutral_phase2,cmt_p2_total_positive_phase2,cmt_p2_total_comments_phase2,cmt_p2_avg_comment_length_phase2,cmt_p2_std_comment_length_phase2,cmt_p2_max_comment_length_phase2,cmt_p2_text_diversity_phase2,cmt_p2_comment_days_active_phase2,cmt_p2_entropy_time_mean_phase2,cmt_p2_most_common_time_bin_phase2,cmt_p2_time_entropy_var_phase2,cmt_p2_positive_ratio_phase2,cmt_p2_neutral_ratio_phase2,cmt_p2_negative_ratio_phase2,cmt_p2_sentiment_entropy_phase2,ex_p3_average_attempts_3,ex_p3_average_ratio_3,ex_p3_average_exercise_time_3,ex_p3_average_time_between_submissions_3,ex_p3_average_enroll_to_first_submit_days_3,ex_p3_average_enroll_to_last_submit_days_3,ex_p3_exercise_completion_ratio_3,vid_p3_segment_duration_seconds_3,vid_p3_avg_segment_duration_3,vid_p3_avg_real_watch_time_3,vid_p3_segment_count_3,vid_p3_avg_playback_speed_3,vid_p3_avg_day_of_week_3,vid_p3_most_common_hour_3,vid_p3_most_common_day_3,vid_p3_unique_video_count_3,vid_p3_avg_segment_count_per_video_3,vid_p3_var_playback_speed_3,vid_p3_fast_forward_ratio_3,vid_p3_session_duration_std_3,cmt_p3_time_bin_phase3,cmt_p3_entropy_time_comment_phase3,cmt_p3_total_words_phase3,cmt_p3_total_negative_phase3,cmt_p3_total_neutral_phase3,cmt_p3_total_positive_phase3,cmt_p3_total_comments_phase3,cmt_p3_avg_comment_length_phase3,cmt_p3_std_comment_length_phase3,cmt_p3_max_comment_length_phase3,cmt_p3_text_diversity_phase3,cmt_p3_comment_days_active_phase3,cmt_p3_entropy_time_mean_phase3,cmt_p3_most_common_time_bin_phase3,cmt_p3_time_entropy_var_phase3,cmt_p3_positive_ratio_phase3,cmt_p3_neutral_ratio_phase3,cmt_p3_negative_ratio_phase3,cmt_p3_sentiment_entropy_phase3,ex_p4_average_attempts_4,ex_p4_average_ratio_4,ex_p4_average_exercise_time_4,ex_p4_average_time_between_submissions_4,ex_p4_average_enroll_to_first_submit_days_4,ex_p4_average_enroll_to_last_submit_days_4,ex_p4_exercise_completion_ratio_4,vid_p4_segment_duration_seconds_4,vid_p4_avg_segment_duration_4,vid_p4_avg_real_watch_time_4,vid_p4_segment_count_4,vid_p4_avg_playback_speed_4,vid_p4_avg_day_of_week_4,vid_p4_most_common_hour_4,vid_p4_most_common_day_4,vid_p4_unique_video_count_4,vid_p4_avg_segment_count_per_video_4,vid_p4_var_playback_speed_4,vid_p4_fast_forward_ratio_4,vid_p4_session_duration_std_4,cmt_p4_time_bin_phase4,cmt_p4_entropy_time_comment_phase4,cmt_p4_total_words_phase4,cmt_p4_total_negative_phase4,cmt_p4_total_neutral_phase4,cmt_p4_total_positive_phase4,cmt_p4_total_comments_phase4,cmt_p4_avg_comment_length_phase4,cmt_p4_std_comment_length_phase4,cmt_p4_max_comment_length_phase4,cmt_p4_text_diversity_phase4,cmt_p4_comment_days_active_phase4,cmt_p4_entropy_time_mean_phase4,cmt_p4_most_common_time_bin_phase4,cmt_p4_time_entropy_var_phase4,cmt_p4_positive_ratio_phase4,cmt_p4_neutral_ratio_phase4,cmt_p4_negative_ratio_phase4,cmt_p4_sentiment_entropy_phase4
- Liệt kê các nhãn: A (Xuất sắc), B (Khá), E (Không hoạt động/ Bỏ học)
- Tỷ lệ nhãn:  A: 2.229 (0.10%), B: 6.049 (0.26%),  E: 2.316.246 (99.64%)</t>
    </r>
  </si>
  <si>
    <r>
      <rPr>
        <rFont val="Times New Roman"/>
        <b/>
        <color rgb="FFFF0000"/>
        <sz val="12.0"/>
      </rPr>
      <t>Phân chia dữ liệu tĩnh (Stratified Hold-out)</t>
    </r>
    <r>
      <rPr>
        <rFont val="Times New Roman"/>
        <color theme="1"/>
        <sz val="12.0"/>
      </rPr>
      <t xml:space="preserve">
Trước khi tiến hành bất kỳ kỹ thuật xử lý cân bằng hay trích xuất đặc trưng phức tạp nào, tập dữ liệu gốc được phân chia thành ba tập độc lập: Huấn luyện (Train), Xác thực (Validation) và Kiểm thử (Test). Với tỉ lệ từng tập lần lượt là  8:1:1.
- </t>
    </r>
    <r>
      <rPr>
        <rFont val="Times New Roman"/>
        <b/>
        <color theme="1"/>
        <sz val="12.0"/>
      </rPr>
      <t>Chiến lược</t>
    </r>
    <r>
      <rPr>
        <rFont val="Times New Roman"/>
        <color theme="1"/>
        <sz val="12.0"/>
      </rPr>
      <t xml:space="preserve">: Sử dụng phương pháp Stratified Hold-out.
- </t>
    </r>
    <r>
      <rPr>
        <rFont val="Times New Roman"/>
        <b/>
        <color theme="1"/>
        <sz val="12.0"/>
      </rPr>
      <t>Mục đích</t>
    </r>
    <r>
      <rPr>
        <rFont val="Times New Roman"/>
        <color theme="1"/>
        <sz val="12.0"/>
      </rPr>
      <t xml:space="preserve">: Do sự chênh lệch quá lớn giữa nhãn đa số (E - hơn 2,3 triệu mẫu) và nhãn thiểu số (A, B - chỉ vài nghìn mẫu), việc lấy mẫu ngẫu nhiên đơn thuần có thể dẫn đến việc tập Test không chứa đủ các trường hợp rủi ro (nhãn A, B) để đánh giá. Kỹ thuật Stratified đảm bảo tỷ lệ phân bố các nhãn (0, 1) trong các tập con được giữ nguyên như tập dữ liệu gốc.
- </t>
    </r>
    <r>
      <rPr>
        <rFont val="Times New Roman"/>
        <b/>
        <color theme="1"/>
        <sz val="12.0"/>
      </rPr>
      <t>Kết quả phân chia</t>
    </r>
    <r>
      <rPr>
        <rFont val="Times New Roman"/>
        <color theme="1"/>
        <sz val="12.0"/>
      </rPr>
      <t>: Dữ liệu được chia tách hoàn toàn, đảm bảo mô hình có đủ không gian mẫu để học tập trên tập Train và được đánh giá khách quan trên tập Test.</t>
    </r>
  </si>
  <si>
    <r>
      <rPr>
        <rFont val="Times New Roman"/>
        <b/>
        <color rgb="FFFF0000"/>
        <sz val="12.0"/>
      </rPr>
      <t xml:space="preserve">Mô phỏng dữ liệu chuỗi thời gian trên tập Test (Time-series Simulation)
</t>
    </r>
    <r>
      <rPr>
        <rFont val="Times New Roman"/>
        <color theme="1"/>
        <sz val="12.0"/>
      </rPr>
      <t xml:space="preserve">
Khác với các phương pháp tiếp cận thông thường là cắt khúc dữ liệu ngay từ đầu, chúng tôi áp dụng chiến lược Mô phỏng tích lũy (Cumulative Simulation). Điều quan trọng cần nhấn mạnh là: Quá trình mô phỏng chia phase này chỉ được thực hiện trên tập Kiểm thử (Test set) và tập Xác thực (Validation set) sau khi đã tách rời khỏi tập Train.
Tập Huấn luyện (Train set) được giữ nguyên vẹn để mô hình học được toàn bộ các mẫu hành vi (pattern) hoàn chỉnh. Ngược lại, tập Test được xử lý để tái hiện lại các thời điểm khác nhau của khóa học, cụ thể theo 04 mốc thời gian lũy kế:
- Phase 1: 25% thời lượng khóa học (Số dòng: 232453, Số cột: 182, Tỷ lệ nhãn: A: 223 (0.10%), B: 605 (0.26%),  E: 231625 (99.64%))
- Phase 2: 50% thời lượng khóa học (Số dòng: 232453, Số cột: 182, Tỷ lệ nhãn: A: 223 (0.10%), B: 605 (0.26%),  E: 231625 (99.64%))
- Phase 3: 75% thời lượng khóa học (Số dòng: 232453, Số cột: 182, Tỷ lệ nhãn: A: 223 (0.10%), B: 605 (0.26%),  E: 231625 (99.64%))
- Phase 4: 90% thời lượng khóa học (Số dòng: 232453 Số cột: 182, Tỷ lệ nhãn: A: 223 (0.10%), B: 605 (0.26%),  E: 231625 (99.64%))
Việc chia phase này không dựa trên ngày tháng cố định mà dựa trên tiến độ cá nhân của từng học viên (tính từ ngày ghi danh đến ngày kết thúc khóa học). Một đối tượng (user-course) được đưa vào đánh giá tại Phase i nếu thỏa mãn các điều kiện ràng buộc: thời gian còn lại của khóa học lớn hơn ngưỡng quy định của phase đó và học viên đã có ít nhất một tương tác bài tập.</t>
    </r>
  </si>
  <si>
    <r>
      <rPr>
        <rFont val="Times New Roman"/>
        <b/>
        <color rgb="FFFF0000"/>
        <sz val="12.0"/>
      </rPr>
      <t>Thông tin dữ liệu thực nghiệm</t>
    </r>
    <r>
      <rPr>
        <rFont val="Times New Roman"/>
        <color theme="1"/>
        <sz val="12.0"/>
      </rPr>
      <t xml:space="preserve">
Sau khi collect các dữ liệu cần cho bài toán, đặc điểm của tập dữ liệu sau khi kết hợp:
- Số dòng: 3.297.128
- Số cột: 65
- Liệt kê các cột dữ liệu: 'chapter', 'problem_count', 'exercise_id_count',
       'exercise_context_sum', 'problem_correct_sum', 'problem_correct_mean',
       'problem_correct_stddev', 'problem_perc_correct_mean',
       'problem_perc_real_correct_std', 'score_sum', 'score_mean', 'score_std',
       'failed_problem_num_sum', 'failed_problem_num_mean',
       'failed_problem_num_std', 'attempts_sum', 'attempts_mean',
       'attempts_std', 'avg_problem_summit_day', 'max_problem_submit_day',
       'min_problem_submit_day', 'std_problem_summit_day',
       'full_problem_chapter', 'full_score_sum', 'problem_id_ratio',
       'score_ratio', 'problem_count_scaled', 'attempts_sum_scaled',
       'teacher_id', 'school_id', 'Rank', 'type_of_rank', 'gender',
       'label', 'total_watch_duration', 'avg_watch_duration',
       'avg_watch_speed', 'total_video_watch_count',
       'total_max_watch_duration', 'total_min_watch_duration', 'datediff_max',
       'datediff_min', 'datediff_avg', 'total_watch_count',
       'chapter_total_video', 'video_watch_ratio', 'total_watch_count_scaled',
       'total_watch_duration_scaled', 'count_comment', 'avg_word_comment',
       'max_word_comment', 'min_word_comment', 'count_positive',
       'count_neutral', 'count_negative', 'positive_ratio', 'neutral_ratio',
       'negative_ratio', 'avg_comment_per_user', 'max_date_comment',
       'min_date_comment', 'avg_date_comment', 'user_id_enc', 'course_id_enc'
- Liệt kê các nhãn: Exellent, Good, Average
- Tỷ lệ nhãn: Exellent: Exellent: 38.2%, Good: 47.1%, Average: 14.8%</t>
    </r>
  </si>
  <si>
    <r>
      <rPr>
        <rFont val="Times New Roman"/>
        <b/>
        <color rgb="FFFF0000"/>
        <sz val="12.0"/>
      </rPr>
      <t>Phân chia dữ liệu tĩnh (Stratified Hold-out)</t>
    </r>
    <r>
      <rPr>
        <rFont val="Times New Roman"/>
        <color theme="1"/>
        <sz val="12.0"/>
      </rPr>
      <t xml:space="preserve">
Trước khi tiến hành bất kỳ kỹ thuật xử lý cân bằng hay trích xuất đặc trưng phức tạp nào, tập dữ liệu gốc được phân chia thành ba tập độc lập: Huấn luyện (Train), Xác thực (Validation) và Kiểm thử (Test). Với tỉ lệ từng tập lần lượt là  8:1:1.
- </t>
    </r>
    <r>
      <rPr>
        <rFont val="Times New Roman"/>
        <b/>
        <color theme="1"/>
        <sz val="12.0"/>
      </rPr>
      <t>Chiến lược</t>
    </r>
    <r>
      <rPr>
        <rFont val="Times New Roman"/>
        <color theme="1"/>
        <sz val="12.0"/>
      </rPr>
      <t xml:space="preserve">: Sử dụng phương pháp Stratified Hold-out.
- </t>
    </r>
    <r>
      <rPr>
        <rFont val="Times New Roman"/>
        <b/>
        <color theme="1"/>
        <sz val="12.0"/>
      </rPr>
      <t>Mục đích</t>
    </r>
    <r>
      <rPr>
        <rFont val="Times New Roman"/>
        <color theme="1"/>
        <sz val="12.0"/>
      </rPr>
      <t xml:space="preserve">: Do sự chênh lệch số lượng của các nhãn( Exellent: 38.2%, Good: 47.1%, Average: 14.8%), việc lấy mẫu ngẫu nhiên đơn thuần có thể dẫn đến việc tập Test không chứa đủ các trường hợp rủi ro (nhãn Average) để đánh giá. Kỹ thuật Stratified đảm bảo tỷ lệ phân bố các nhãn (0, 1) trong các tập con được giữ nguyên như tập dữ liệu gốc.
- </t>
    </r>
    <r>
      <rPr>
        <rFont val="Times New Roman"/>
        <b/>
        <color theme="1"/>
        <sz val="12.0"/>
      </rPr>
      <t>Kết quả phân chia</t>
    </r>
    <r>
      <rPr>
        <rFont val="Times New Roman"/>
        <color theme="1"/>
        <sz val="12.0"/>
      </rPr>
      <t xml:space="preserve">: Dữ liệu được chia tách hoàn toàn, đảm bảo mô hình có đủ không gian mẫu để học tập trên tập Train và được đánh giá khách quan trên tập Test. </t>
    </r>
  </si>
  <si>
    <r>
      <rPr>
        <rFont val="Times New Roman"/>
        <b/>
        <color rgb="FFFF0000"/>
        <sz val="12.0"/>
      </rPr>
      <t xml:space="preserve">Mô phỏng dữ liệu chuỗi thời gian trên tập Test (Time-series Simulation)
</t>
    </r>
    <r>
      <rPr>
        <rFont val="Times New Roman"/>
        <color theme="1"/>
        <sz val="12.0"/>
      </rPr>
      <t xml:space="preserve">
Khác với các phương pháp tiếp cận thông thường là cắt khúc dữ liệu ngay từ đầu, chúng tôi áp dụng chiến lược Mô phỏng tích lũy (Cumulative Simulation). Điều quan trọng cần nhấn mạnh là: Quá trình mô phỏng chia phase này chỉ được thực hiện trên tập Kiểm thử (Test set) và tập Xác thực (Validation set) sau khi đã tách rời khỏi tập Train.
Tập Huấn luyện (Train set) được giữ nguyên vẹn để mô hình học được toàn bộ các mẫu hành vi (pattern) hoàn chỉnh. Ngược lại, tập Test được xử lý để tái hiện lại các thời điểm khác nhau của khóa học, cụ thể theo 04 mốc thời gian lũy kế:
- Phase 1: 25% thời lượng khóa học (Số dòng: 329715, Số cột: 65, Tỷ lệ nhãn: Exellent: 38.2%, Good: 47.1%, Average: 14.8%)
- Phase 2: 50% thời lượng khóa học (Số dòng: 329715, Số cột: 65, Tỷ lệ nhãn: Exellent: 38.2%, Good: 47.1%, Average: 14.8%)
- Phase 3: 75% thời lượng khóa học (Số dòng: 329715, Số cột: 65, Tỷ lệ nhãn: Exellent: 38.2%, Good: 47.1%, Average: 14.8%)
- Phase 4: 90% thời lượng khóa học (Số dòng: 329715, Số cột: 65, Tỷ lệ nhãn: Exellent: 38.2%, Good: 47.1%, Average: 14.8%)
Việc chia phase này không dựa trên ngày tháng cố định mà dựa trên tiến độ cá nhân của từng học viên (tính từ ngày ghi danh đến ngày kết thúc khóa học). Một đối tượng (user-course) được đưa vào đánh giá tại Phase i nếu thỏa mãn các điều kiện ràng buộc: thời gian còn lại của khóa học lớn hơn ngưỡng quy định của phase đó và học viên đã có ít nhất một tương tác bài tập.</t>
    </r>
  </si>
  <si>
    <t>Dataset</t>
  </si>
  <si>
    <t>Raw Data</t>
  </si>
  <si>
    <t>Điền khuyết dữ liệu</t>
  </si>
  <si>
    <t>Tăng cường dữ liệu</t>
  </si>
  <si>
    <t>Mô hình</t>
  </si>
  <si>
    <t>Median</t>
  </si>
  <si>
    <t>Mean</t>
  </si>
  <si>
    <t>Extral Tree</t>
  </si>
  <si>
    <t>CDSMOTE</t>
  </si>
  <si>
    <t>SASMOTE</t>
  </si>
  <si>
    <t>RadiusSMOTE</t>
  </si>
  <si>
    <t>Machine Learning</t>
  </si>
  <si>
    <t>Deep Learning</t>
  </si>
  <si>
    <t>LightGBM</t>
  </si>
  <si>
    <t>Random Forest</t>
  </si>
  <si>
    <t>RNN</t>
  </si>
  <si>
    <t>LSTM</t>
  </si>
  <si>
    <t>GRU</t>
  </si>
  <si>
    <t>BiLSTM</t>
  </si>
  <si>
    <t>V0</t>
  </si>
  <si>
    <t>X</t>
  </si>
  <si>
    <t>V1</t>
  </si>
  <si>
    <t>V2</t>
  </si>
  <si>
    <t>V3</t>
  </si>
  <si>
    <t>V4</t>
  </si>
  <si>
    <t>V5</t>
  </si>
  <si>
    <t>V6</t>
  </si>
  <si>
    <t>V7</t>
  </si>
  <si>
    <t>V8</t>
  </si>
  <si>
    <t>V9</t>
  </si>
  <si>
    <t>V10</t>
  </si>
  <si>
    <t>V11</t>
  </si>
  <si>
    <t>V12</t>
  </si>
  <si>
    <t>Môi trường thực nghiệm:</t>
  </si>
  <si>
    <t>- Phần cứng: 2 × NVIDIA Tesla T4 GPUs, 4 CPU cores, 29 GB RAM</t>
  </si>
  <si>
    <t>- Nền tảng / ngôn ngữ lập trình: Python</t>
  </si>
  <si>
    <t>Độ đo thực nghiệm dùng để đánh giá</t>
  </si>
  <si>
    <t xml:space="preserve">- Data Quality: </t>
  </si>
  <si>
    <t xml:space="preserve">- Performance Model: </t>
  </si>
  <si>
    <t xml:space="preserve">- Time (xử lý data, build model, dự đoán): </t>
  </si>
  <si>
    <t>Algorithm</t>
  </si>
  <si>
    <t xml:space="preserve">Hyper-Parameter Settings
</t>
  </si>
  <si>
    <t>Note</t>
  </si>
  <si>
    <t>max_depth': 10, 'min_child_samples':
20, 'n_estimators': 200, 'num_leaves':
127</t>
  </si>
  <si>
    <t>Best Params: {'max_depth': 40,
'min_samples_leaf': 2,
'min_samples_split': 5, 'n_estimators':
200}</t>
  </si>
  <si>
    <t xml:space="preserve">RNN layer; hidden units = 128;
num_layers = 1; batch_first = True.
Hidden state selection = last hidden state (h_n[-1]).
Dropout applied; p = 0.3.
Fully Connected layer; input_dim = num_feature; output_dim = 3.
Epoch = 50.
Criterion = nn.CrossEntropyLoss().
Optimizer = optim.Adam(model.parameters(), lr = 0.001).
</t>
  </si>
  <si>
    <t xml:space="preserve">self.mlp = nn.Sequential(
    nn.Linear(static_dim, 64),
    nn.ReLU(),
    nn.Dropout(0.3),
    nn.Linear(64, 32),
    nn.ReLU()
)
</t>
  </si>
  <si>
    <t>LSTM layer; hidden units = 128;
num_layers = 1; batch_first = True.
Hidden state selection = last hidden
(h_n[-1]).
Dropout applied; p = 0.3.
Fully Connected layer; input_dim =num_feature; output_dim = 3. epoch = 50
criterion = nn.CrossEntropyLoss()
optimizer =
optim.Adam(model.parameters(),
lr=0.001)</t>
  </si>
  <si>
    <t xml:space="preserve">GRU layer; hidden units = 128;
num_layers = 1; batch_first = True.
Hidden state selection = last hidden state (h_n[-1]).
Dropout applied; p = 0.3.
Fully Connected layer; input_dim = num_feature; output_dim = 3.
Epoch = 50.
Criterion = nn.CrossEntropyLoss().
Optimizer = optim.Adam(model.parameters(), lr = 0.001).
</t>
  </si>
  <si>
    <t xml:space="preserve">Bidirectional LSTM layer; hidden units = 128;
num_layers = 1; batch_first = True.
Hidden state selection = concatenation of forward and backward last hidden states.
Dropout applied; p = 0.3.
Fully Connected layer; input_dim = 2 × num_feature; output_dim = 3.
Epoch = 50.
Criterion = nn.CrossEntropyLoss().
Optimizer = optim.Adam(model.parameters(), lr = 0.001).
</t>
  </si>
  <si>
    <t>Baseline</t>
  </si>
  <si>
    <t>Model</t>
  </si>
  <si>
    <t>Phase</t>
  </si>
  <si>
    <t>Data Quality</t>
  </si>
  <si>
    <t>Time</t>
  </si>
  <si>
    <t>Performance</t>
  </si>
  <si>
    <t>Completeness</t>
  </si>
  <si>
    <t>Consistency</t>
  </si>
  <si>
    <t>snan</t>
  </si>
  <si>
    <t>smaj</t>
  </si>
  <si>
    <t>sjsd</t>
  </si>
  <si>
    <t>sent</t>
  </si>
  <si>
    <t>sdrift</t>
  </si>
  <si>
    <t>S_eff</t>
  </si>
  <si>
    <t>sleak</t>
  </si>
  <si>
    <t>S_san+</t>
  </si>
  <si>
    <t>Sperf</t>
  </si>
  <si>
    <t>Acc-DQ</t>
  </si>
  <si>
    <t>Build Model</t>
  </si>
  <si>
    <t>Predict</t>
  </si>
  <si>
    <t>Accuracy</t>
  </si>
  <si>
    <t>BalancedAcc</t>
  </si>
  <si>
    <t>Precision Macro</t>
  </si>
  <si>
    <t>Precision Weighted</t>
  </si>
  <si>
    <t>Recall Macro</t>
  </si>
  <si>
    <t>Recall Weighted</t>
  </si>
  <si>
    <t>F1-Score Macro</t>
  </si>
  <si>
    <t>F1-Score Weighted</t>
  </si>
  <si>
    <t>GMean</t>
  </si>
  <si>
    <t>MCC</t>
  </si>
  <si>
    <t>Kappa</t>
  </si>
  <si>
    <t>Label (Exellent)</t>
  </si>
  <si>
    <t>Label (Good)</t>
  </si>
  <si>
    <t>Label (Dropout)</t>
  </si>
  <si>
    <t>Precision</t>
  </si>
  <si>
    <t>Recall</t>
  </si>
  <si>
    <t>F1-Score</t>
  </si>
  <si>
    <t>G-Mean</t>
  </si>
  <si>
    <t>V0 (RAW)</t>
  </si>
  <si>
    <t>V1 (Median)</t>
  </si>
  <si>
    <t>V2 (Median CDSMOTE)</t>
  </si>
  <si>
    <t>V3 (Median SASMOTE)</t>
  </si>
  <si>
    <t>V4 (Median RadiusSMOTE)</t>
  </si>
  <si>
    <t>V5 (Mean)</t>
  </si>
  <si>
    <t>V6 (Mean CDSMOTE)</t>
  </si>
  <si>
    <t>V7 (Mean SASMOTE)</t>
  </si>
  <si>
    <t>V8 (Mean RadiusSMOTE)</t>
  </si>
  <si>
    <t>V9 (MissForest)</t>
  </si>
  <si>
    <t>V10 (MissForest CDSMOTE)</t>
  </si>
  <si>
    <t>V11 (MissForest SASMOTE)</t>
  </si>
  <si>
    <t>V12 (MissForest RadiusSMOTE)</t>
  </si>
  <si>
    <t>Label (Average)</t>
  </si>
  <si>
    <t>LightGNB</t>
  </si>
  <si>
    <t/>
  </si>
  <si>
    <t>V12 (Extral Tree) RadiusSMOTE)</t>
  </si>
  <si>
    <t xml:space="preserve">Khảo sát ( ngữ cảnh ứng dụng) </t>
  </si>
  <si>
    <t>Kết quả phân tích hệ thống thông tin (sơ đồ use - case, sơ đồ luồn dữ liệu, sơ đồ class diagram của hệ thống thông tin)</t>
  </si>
  <si>
    <t>Sơ đồ thiết kế cơ sở dữ liệu</t>
  </si>
  <si>
    <t>Cô quên nói phần này hôm meeting</t>
  </si>
  <si>
    <t>Mô tả kiến trúc hệ thống (fe - be, database (bigdata -&gt; database))</t>
  </si>
  <si>
    <t>Miêu tả dataflow (tùy chọn)</t>
  </si>
  <si>
    <t>Mô tả giao diện quan trọng (hình ảnh, thêm link github)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</si>
</sst>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6">
    <font>
      <sz val="10.0"/>
      <color rgb="FF000000"/>
      <name val="Arial"/>
      <scheme val="minor"/>
    </font>
    <font>
      <b/>
      <sz val="12.0"/>
      <color theme="1"/>
      <name val="Times New Roman"/>
    </font>
    <font>
      <sz val="12.0"/>
      <color theme="1"/>
      <name val="Times New Roman"/>
    </font>
    <font/>
    <font>
      <sz val="12.0"/>
      <color rgb="FFFF0000"/>
      <name val="Times New Roman"/>
    </font>
    <font>
      <color theme="1"/>
      <name val="Arial"/>
      <scheme val="minor"/>
    </font>
    <font>
      <b/>
      <sz val="10.0"/>
      <color theme="1"/>
      <name val="Times New Roman"/>
    </font>
    <font>
      <b/>
      <color theme="1"/>
      <name val="Times New Roman"/>
    </font>
    <font>
      <sz val="10.0"/>
      <color rgb="FFFF0000"/>
      <name val="Times New Roman"/>
    </font>
    <font>
      <sz val="10.0"/>
      <color theme="1"/>
      <name val="Times New Roman"/>
    </font>
    <font>
      <color theme="1"/>
      <name val="Times New Roman"/>
    </font>
    <font>
      <sz val="10.0"/>
      <color theme="1"/>
      <name val="Arial"/>
      <scheme val="minor"/>
    </font>
    <font>
      <color rgb="FFFF0000"/>
      <name val="Times New Roman"/>
    </font>
    <font>
      <color theme="1"/>
      <name val="Arial"/>
    </font>
    <font>
      <sz val="10.0"/>
      <color rgb="FF1F1F1F"/>
      <name val="Times New Roman"/>
    </font>
    <font>
      <sz val="10.0"/>
      <color theme="1"/>
      <name val="Arial"/>
    </font>
  </fonts>
  <fills count="9">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readingOrder="0" shrinkToFit="0" vertical="top" wrapText="1"/>
    </xf>
    <xf borderId="0" fillId="0" fontId="2" numFmtId="0" xfId="0" applyAlignment="1" applyFont="1">
      <alignment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0" fontId="3" numFmtId="0" xfId="0" applyBorder="1" applyFont="1"/>
    <xf borderId="5" fillId="0" fontId="3" numFmtId="0" xfId="0" applyBorder="1" applyFont="1"/>
    <xf borderId="0" fillId="0" fontId="2" numFmtId="0" xfId="0" applyAlignment="1" applyFont="1">
      <alignment shrinkToFit="0" vertical="top" wrapText="1"/>
    </xf>
    <xf borderId="6" fillId="0" fontId="3" numFmtId="0" xfId="0" applyBorder="1" applyFont="1"/>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7" fillId="0" fontId="3" numFmtId="0" xfId="0" applyBorder="1" applyFont="1"/>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0" fillId="0" fontId="2" numFmtId="0" xfId="0" applyAlignment="1" applyFont="1">
      <alignment readingOrder="0" shrinkToFit="0" vertical="top" wrapText="1"/>
    </xf>
    <xf borderId="3" fillId="2" fontId="1" numFmtId="0" xfId="0" applyAlignment="1" applyBorder="1" applyFont="1">
      <alignment readingOrder="0" shrinkToFit="0" vertical="top" wrapText="1"/>
    </xf>
    <xf borderId="3" fillId="0" fontId="2" numFmtId="0" xfId="0" applyAlignment="1" applyBorder="1" applyFont="1">
      <alignment readingOrder="0" shrinkToFit="0" vertical="top" wrapText="1"/>
    </xf>
    <xf borderId="1" fillId="0" fontId="5" numFmtId="0" xfId="0" applyAlignment="1" applyBorder="1" applyFont="1">
      <alignment readingOrder="0"/>
    </xf>
    <xf borderId="1" fillId="0" fontId="5" numFmtId="0" xfId="0" applyBorder="1" applyFont="1"/>
    <xf borderId="0" fillId="0" fontId="2" numFmtId="0" xfId="0" applyAlignment="1" applyFont="1">
      <alignment horizontal="center" shrinkToFit="0" vertical="top" wrapText="1"/>
    </xf>
    <xf borderId="2" fillId="0" fontId="6" numFmtId="0" xfId="0" applyAlignment="1" applyBorder="1" applyFont="1">
      <alignment horizontal="center" shrinkToFit="0" vertical="top" wrapText="1"/>
    </xf>
    <xf borderId="2" fillId="0" fontId="6" numFmtId="0" xfId="0" applyAlignment="1" applyBorder="1" applyFont="1">
      <alignment horizontal="center" shrinkToFit="0" wrapText="1"/>
    </xf>
    <xf borderId="3" fillId="0" fontId="6" numFmtId="0" xfId="0" applyAlignment="1" applyBorder="1" applyFont="1">
      <alignment horizontal="center" readingOrder="0" shrinkToFit="0" wrapText="1"/>
    </xf>
    <xf borderId="3" fillId="3" fontId="6" numFmtId="0" xfId="0" applyAlignment="1" applyBorder="1" applyFill="1" applyFont="1">
      <alignment horizontal="center" readingOrder="0" shrinkToFit="0" wrapText="1"/>
    </xf>
    <xf borderId="3" fillId="4" fontId="6" numFmtId="0" xfId="0" applyAlignment="1" applyBorder="1" applyFill="1" applyFont="1">
      <alignment horizontal="center" readingOrder="0" shrinkToFit="0" wrapText="1"/>
    </xf>
    <xf borderId="0" fillId="4" fontId="6" numFmtId="0" xfId="0" applyAlignment="1" applyFont="1">
      <alignment horizontal="center" readingOrder="0" shrinkToFit="0" wrapText="1"/>
    </xf>
    <xf borderId="2" fillId="0" fontId="6" numFmtId="0" xfId="0" applyAlignment="1" applyBorder="1" applyFont="1">
      <alignment horizontal="center"/>
    </xf>
    <xf borderId="2" fillId="5" fontId="7" numFmtId="0" xfId="0" applyAlignment="1" applyBorder="1" applyFill="1" applyFont="1">
      <alignment horizontal="center" shrinkToFit="0" vertical="bottom" wrapText="1"/>
    </xf>
    <xf borderId="2" fillId="3" fontId="6" numFmtId="0" xfId="0" applyAlignment="1" applyBorder="1" applyFont="1">
      <alignment horizontal="center" readingOrder="0" shrinkToFit="0" wrapText="1"/>
    </xf>
    <xf borderId="2" fillId="4" fontId="6" numFmtId="0" xfId="0" applyAlignment="1" applyBorder="1" applyFont="1">
      <alignment horizontal="center" shrinkToFit="0" wrapText="1"/>
    </xf>
    <xf borderId="3" fillId="0" fontId="6" numFmtId="0" xfId="0" applyAlignment="1" applyBorder="1" applyFont="1">
      <alignment horizontal="center" shrinkToFit="0" wrapText="1"/>
    </xf>
    <xf borderId="0" fillId="0" fontId="6" numFmtId="0" xfId="0" applyAlignment="1" applyFont="1">
      <alignment horizontal="center" shrinkToFit="0" wrapText="1"/>
    </xf>
    <xf borderId="1" fillId="0" fontId="6" numFmtId="0" xfId="0" applyAlignment="1" applyBorder="1" applyFont="1">
      <alignment horizontal="center" shrinkToFit="0" wrapText="1"/>
    </xf>
    <xf borderId="1" fillId="0" fontId="6" numFmtId="0" xfId="0" applyAlignment="1" applyBorder="1" applyFont="1">
      <alignment horizontal="center"/>
    </xf>
    <xf borderId="0" fillId="0" fontId="6" numFmtId="0" xfId="0" applyAlignment="1" applyFont="1">
      <alignment horizontal="center"/>
    </xf>
    <xf borderId="2" fillId="6" fontId="6" numFmtId="0" xfId="0" applyAlignment="1" applyBorder="1" applyFill="1" applyFont="1">
      <alignment horizontal="center" readingOrder="0" shrinkToFit="0" vertical="top" wrapText="1"/>
    </xf>
    <xf borderId="2" fillId="6" fontId="8" numFmtId="0" xfId="0" applyAlignment="1" applyBorder="1" applyFont="1">
      <alignment horizontal="center" readingOrder="0" shrinkToFit="0" wrapText="1"/>
    </xf>
    <xf borderId="1" fillId="6" fontId="9" numFmtId="0" xfId="0" applyAlignment="1" applyBorder="1" applyFont="1">
      <alignment horizontal="center" shrinkToFit="0" wrapText="1"/>
    </xf>
    <xf borderId="1" fillId="6" fontId="9" numFmtId="0" xfId="0" applyAlignment="1" applyBorder="1" applyFont="1">
      <alignment horizontal="center" readingOrder="0"/>
    </xf>
    <xf borderId="1" fillId="6" fontId="9" numFmtId="0" xfId="0" applyAlignment="1" applyBorder="1" applyFont="1">
      <alignment horizontal="center"/>
    </xf>
    <xf borderId="0" fillId="6" fontId="9" numFmtId="0" xfId="0" applyAlignment="1" applyFont="1">
      <alignment horizontal="center"/>
    </xf>
    <xf borderId="2" fillId="6" fontId="8" numFmtId="0" xfId="0" applyAlignment="1" applyBorder="1" applyFont="1">
      <alignment horizontal="center" shrinkToFit="0" wrapText="1"/>
    </xf>
    <xf borderId="2" fillId="6" fontId="9" numFmtId="0" xfId="0" applyAlignment="1" applyBorder="1" applyFont="1">
      <alignment horizontal="center" shrinkToFit="0" wrapText="1"/>
    </xf>
    <xf borderId="2" fillId="7" fontId="6" numFmtId="0" xfId="0" applyAlignment="1" applyBorder="1" applyFill="1" applyFont="1">
      <alignment horizontal="center" readingOrder="0" shrinkToFit="0" vertical="top" wrapText="1"/>
    </xf>
    <xf borderId="2" fillId="7" fontId="9" numFmtId="0" xfId="0" applyAlignment="1" applyBorder="1" applyFont="1">
      <alignment horizontal="center" readingOrder="0" shrinkToFit="0" wrapText="1"/>
    </xf>
    <xf borderId="1" fillId="7" fontId="9" numFmtId="0" xfId="0" applyAlignment="1" applyBorder="1" applyFont="1">
      <alignment horizontal="center" shrinkToFit="0" wrapText="1"/>
    </xf>
    <xf borderId="1" fillId="7" fontId="9" numFmtId="0" xfId="0" applyAlignment="1" applyBorder="1" applyFont="1">
      <alignment horizontal="center" readingOrder="0"/>
    </xf>
    <xf borderId="1" fillId="7" fontId="9" numFmtId="0" xfId="0" applyAlignment="1" applyBorder="1" applyFont="1">
      <alignment horizontal="center" readingOrder="0" shrinkToFit="0" wrapText="1"/>
    </xf>
    <xf borderId="1" fillId="7" fontId="9" numFmtId="0" xfId="0" applyAlignment="1" applyBorder="1" applyFont="1">
      <alignment horizontal="center"/>
    </xf>
    <xf borderId="0" fillId="7" fontId="9" numFmtId="0" xfId="0" applyAlignment="1" applyFont="1">
      <alignment horizontal="center"/>
    </xf>
    <xf borderId="2" fillId="7" fontId="9" numFmtId="0" xfId="0" applyAlignment="1" applyBorder="1" applyFont="1">
      <alignment horizontal="center" shrinkToFit="0" wrapText="1"/>
    </xf>
    <xf borderId="0" fillId="7" fontId="9" numFmtId="0" xfId="0" applyAlignment="1" applyFont="1">
      <alignment horizontal="center" shrinkToFit="0" wrapText="1"/>
    </xf>
    <xf borderId="2" fillId="6" fontId="9" numFmtId="0" xfId="0" applyAlignment="1" applyBorder="1" applyFont="1">
      <alignment horizontal="center" readingOrder="0" shrinkToFit="0" wrapText="1"/>
    </xf>
    <xf borderId="1" fillId="6" fontId="9" numFmtId="0" xfId="0" applyAlignment="1" applyBorder="1" applyFont="1">
      <alignment horizontal="center" readingOrder="0" shrinkToFit="0" wrapText="1"/>
    </xf>
    <xf borderId="0" fillId="6" fontId="9" numFmtId="0" xfId="0" applyAlignment="1" applyFont="1">
      <alignment horizontal="center" readingOrder="0"/>
    </xf>
    <xf borderId="0" fillId="6" fontId="9" numFmtId="0" xfId="0" applyAlignment="1" applyFont="1">
      <alignment horizontal="center" shrinkToFit="0" wrapText="1"/>
    </xf>
    <xf borderId="1" fillId="6" fontId="10" numFmtId="0" xfId="0" applyAlignment="1" applyBorder="1" applyFont="1">
      <alignment horizontal="center" readingOrder="0" vertical="bottom"/>
    </xf>
    <xf borderId="0" fillId="7" fontId="9" numFmtId="0" xfId="0" applyAlignment="1" applyFont="1">
      <alignment horizontal="center" readingOrder="0"/>
    </xf>
    <xf borderId="1" fillId="7" fontId="10" numFmtId="0" xfId="0" applyAlignment="1" applyBorder="1" applyFont="1">
      <alignment horizontal="center" readingOrder="0" vertical="bottom"/>
    </xf>
    <xf borderId="1" fillId="6" fontId="10" numFmtId="11" xfId="0" applyAlignment="1" applyBorder="1" applyFont="1" applyNumberFormat="1">
      <alignment horizontal="center" readingOrder="0" vertical="bottom"/>
    </xf>
    <xf borderId="0" fillId="7" fontId="9" numFmtId="0" xfId="0" applyAlignment="1" applyFont="1">
      <alignment horizontal="center" readingOrder="0" shrinkToFit="0" wrapText="1"/>
    </xf>
    <xf borderId="0" fillId="6" fontId="9" numFmtId="0" xfId="0" applyAlignment="1" applyFont="1">
      <alignment horizontal="center" readingOrder="0" shrinkToFit="0" wrapText="1"/>
    </xf>
    <xf borderId="0" fillId="0" fontId="11" numFmtId="0" xfId="0" applyAlignment="1" applyFont="1">
      <alignment vertical="top"/>
    </xf>
    <xf borderId="0" fillId="0" fontId="11" numFmtId="0" xfId="0" applyFont="1"/>
    <xf borderId="0" fillId="0" fontId="9" numFmtId="0" xfId="0" applyAlignment="1" applyFont="1">
      <alignment horizontal="center"/>
    </xf>
    <xf borderId="2" fillId="0" fontId="7" numFmtId="0" xfId="0" applyAlignment="1" applyBorder="1" applyFont="1">
      <alignment horizontal="center" shrinkToFit="0" vertical="top" wrapText="1"/>
    </xf>
    <xf borderId="2" fillId="0" fontId="7" numFmtId="0" xfId="0" applyAlignment="1" applyBorder="1" applyFont="1">
      <alignment horizontal="center" shrinkToFit="0" vertical="bottom" wrapText="1"/>
    </xf>
    <xf borderId="3" fillId="0" fontId="7" numFmtId="0" xfId="0" applyAlignment="1" applyBorder="1" applyFont="1">
      <alignment horizontal="center" shrinkToFit="0" vertical="bottom" wrapText="1"/>
    </xf>
    <xf borderId="3" fillId="3" fontId="7" numFmtId="0" xfId="0" applyAlignment="1" applyBorder="1" applyFont="1">
      <alignment horizontal="center" shrinkToFit="0" vertical="bottom" wrapText="1"/>
    </xf>
    <xf borderId="3" fillId="8" fontId="7" numFmtId="0" xfId="0" applyAlignment="1" applyBorder="1" applyFill="1" applyFont="1">
      <alignment horizontal="center" shrinkToFit="0" vertical="bottom" wrapText="1"/>
    </xf>
    <xf borderId="2" fillId="0" fontId="7" numFmtId="0" xfId="0" applyAlignment="1" applyBorder="1" applyFont="1">
      <alignment horizontal="center" vertical="bottom"/>
    </xf>
    <xf borderId="2" fillId="3" fontId="7" numFmtId="0" xfId="0" applyAlignment="1" applyBorder="1" applyFont="1">
      <alignment horizontal="center" shrinkToFit="0" vertical="bottom" wrapText="1"/>
    </xf>
    <xf borderId="2" fillId="8" fontId="7" numFmtId="0" xfId="0" applyAlignment="1" applyBorder="1" applyFont="1">
      <alignment horizontal="center" shrinkToFit="0" vertical="bottom" wrapText="1"/>
    </xf>
    <xf borderId="3" fillId="0" fontId="7" numFmtId="0" xfId="0" applyAlignment="1" applyBorder="1" applyFont="1">
      <alignment horizontal="center" shrinkToFit="0" vertical="bottom" wrapText="1"/>
    </xf>
    <xf borderId="1" fillId="0" fontId="7" numFmtId="0" xfId="0" applyAlignment="1" applyBorder="1" applyFont="1">
      <alignment horizontal="center" shrinkToFit="0" vertical="bottom" wrapText="1"/>
    </xf>
    <xf borderId="1" fillId="0" fontId="7" numFmtId="0" xfId="0" applyAlignment="1" applyBorder="1" applyFont="1">
      <alignment horizontal="center" vertical="bottom"/>
    </xf>
    <xf borderId="2" fillId="6" fontId="7" numFmtId="0" xfId="0" applyAlignment="1" applyBorder="1" applyFont="1">
      <alignment horizontal="center" shrinkToFit="0" vertical="top" wrapText="1"/>
    </xf>
    <xf borderId="2" fillId="6" fontId="12" numFmtId="0" xfId="0" applyAlignment="1" applyBorder="1" applyFont="1">
      <alignment horizontal="center" shrinkToFit="0" vertical="bottom" wrapText="1"/>
    </xf>
    <xf borderId="1" fillId="6" fontId="10" numFmtId="0" xfId="0" applyAlignment="1" applyBorder="1" applyFont="1">
      <alignment horizontal="center" shrinkToFit="0" vertical="bottom" wrapText="1"/>
    </xf>
    <xf borderId="1" fillId="6" fontId="2" numFmtId="0" xfId="0" applyAlignment="1" applyBorder="1" applyFont="1">
      <alignment horizontal="center" shrinkToFit="0" wrapText="1"/>
    </xf>
    <xf borderId="1" fillId="6" fontId="13" numFmtId="0" xfId="0" applyAlignment="1" applyBorder="1" applyFont="1">
      <alignment horizontal="center" vertical="bottom"/>
    </xf>
    <xf borderId="1" fillId="6" fontId="13" numFmtId="0" xfId="0" applyAlignment="1" applyBorder="1" applyFont="1">
      <alignment horizontal="center" readingOrder="0" vertical="bottom"/>
    </xf>
    <xf borderId="2" fillId="6" fontId="10" numFmtId="0" xfId="0" applyAlignment="1" applyBorder="1" applyFont="1">
      <alignment horizontal="center" shrinkToFit="0" vertical="bottom" wrapText="1"/>
    </xf>
    <xf borderId="1" fillId="6" fontId="9" numFmtId="0" xfId="0" applyAlignment="1" applyBorder="1" applyFont="1">
      <alignment horizontal="center" readingOrder="0" vertical="bottom"/>
    </xf>
    <xf borderId="1" fillId="6" fontId="9" numFmtId="0" xfId="0" applyAlignment="1" applyBorder="1" applyFont="1">
      <alignment horizontal="center" vertical="bottom"/>
    </xf>
    <xf borderId="1" fillId="6" fontId="14" numFmtId="0" xfId="0" applyAlignment="1" applyBorder="1" applyFont="1">
      <alignment horizontal="center" readingOrder="0"/>
    </xf>
    <xf borderId="1" fillId="6" fontId="9" numFmtId="0" xfId="0" applyAlignment="1" applyBorder="1" applyFont="1">
      <alignment horizontal="center" vertical="bottom"/>
    </xf>
    <xf borderId="2" fillId="7" fontId="7" numFmtId="0" xfId="0" applyAlignment="1" applyBorder="1" applyFont="1">
      <alignment horizontal="center" shrinkToFit="0" vertical="top" wrapText="1"/>
    </xf>
    <xf borderId="2" fillId="7" fontId="10" numFmtId="0" xfId="0" applyAlignment="1" applyBorder="1" applyFont="1">
      <alignment horizontal="center" shrinkToFit="0" vertical="bottom" wrapText="1"/>
    </xf>
    <xf borderId="1" fillId="7" fontId="10" numFmtId="0" xfId="0" applyAlignment="1" applyBorder="1" applyFont="1">
      <alignment horizontal="center" shrinkToFit="0" vertical="bottom" wrapText="1"/>
    </xf>
    <xf borderId="1" fillId="7" fontId="13" numFmtId="0" xfId="0" applyAlignment="1" applyBorder="1" applyFont="1">
      <alignment readingOrder="0" vertical="bottom"/>
    </xf>
    <xf borderId="1" fillId="7" fontId="9" numFmtId="0" xfId="0" applyAlignment="1" applyBorder="1" applyFont="1">
      <alignment horizontal="center" readingOrder="0" vertical="bottom"/>
    </xf>
    <xf borderId="1" fillId="7" fontId="9" numFmtId="0" xfId="0" applyAlignment="1" applyBorder="1" applyFont="1">
      <alignment horizontal="center" vertical="bottom"/>
    </xf>
    <xf borderId="1" fillId="7" fontId="13" numFmtId="0" xfId="0" applyAlignment="1" applyBorder="1" applyFont="1">
      <alignment horizontal="right" vertical="bottom"/>
    </xf>
    <xf borderId="0" fillId="7" fontId="5" numFmtId="0" xfId="0" applyAlignment="1" applyFont="1">
      <alignment readingOrder="0"/>
    </xf>
    <xf borderId="1" fillId="6" fontId="13" numFmtId="0" xfId="0" applyAlignment="1" applyBorder="1" applyFont="1">
      <alignment readingOrder="0" vertical="bottom"/>
    </xf>
    <xf borderId="1" fillId="7" fontId="13" numFmtId="0" xfId="0" applyAlignment="1" applyBorder="1" applyFont="1">
      <alignment vertical="bottom"/>
    </xf>
    <xf borderId="1" fillId="6" fontId="13" numFmtId="0" xfId="0" applyAlignment="1" applyBorder="1" applyFont="1">
      <alignment horizontal="right" vertical="bottom"/>
    </xf>
    <xf borderId="1" fillId="6" fontId="13" numFmtId="0" xfId="0" applyAlignment="1" applyBorder="1" applyFont="1">
      <alignment vertical="bottom"/>
    </xf>
    <xf borderId="2" fillId="7" fontId="10" numFmtId="0" xfId="0" applyAlignment="1" applyBorder="1" applyFont="1">
      <alignment horizontal="center" shrinkToFit="0" vertical="bottom" wrapText="1"/>
    </xf>
    <xf borderId="2" fillId="6" fontId="10" numFmtId="0" xfId="0" applyAlignment="1" applyBorder="1" applyFont="1">
      <alignment horizontal="center" shrinkToFit="0" vertical="bottom" wrapText="1"/>
    </xf>
    <xf borderId="1" fillId="6" fontId="15" numFmtId="0" xfId="0" applyAlignment="1" applyBorder="1" applyFont="1">
      <alignment readingOrder="0"/>
    </xf>
    <xf borderId="1" fillId="6" fontId="15" numFmtId="164" xfId="0" applyAlignment="1" applyBorder="1" applyFont="1" applyNumberFormat="1">
      <alignment readingOrder="0"/>
    </xf>
    <xf borderId="1" fillId="7" fontId="15" numFmtId="0" xfId="0" applyAlignment="1" applyBorder="1" applyFont="1">
      <alignment readingOrder="0"/>
    </xf>
    <xf borderId="2" fillId="6" fontId="7" numFmtId="0" xfId="0" applyAlignment="1" applyBorder="1" applyFont="1">
      <alignment horizontal="center" readingOrder="0" shrinkToFit="0" vertical="top" wrapText="1"/>
    </xf>
    <xf borderId="1" fillId="0" fontId="2" numFmtId="0" xfId="0" applyAlignment="1" applyBorder="1" applyFont="1">
      <alignment readingOrder="0"/>
    </xf>
    <xf borderId="1" fillId="3" fontId="2" numFmtId="0" xfId="0" applyAlignment="1" applyBorder="1" applyFont="1">
      <alignment horizontal="center" readingOrder="0" shrinkToFit="0" vertical="top" wrapText="1"/>
    </xf>
    <xf borderId="1" fillId="3"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101.25"/>
    <col customWidth="1" min="3" max="3" width="38.0"/>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v>1.0</v>
      </c>
      <c r="B2" s="5" t="s">
        <v>3</v>
      </c>
      <c r="C2" s="6"/>
      <c r="D2" s="3"/>
      <c r="E2" s="3"/>
      <c r="F2" s="3"/>
      <c r="G2" s="3"/>
      <c r="H2" s="3"/>
      <c r="I2" s="3"/>
      <c r="J2" s="3"/>
      <c r="K2" s="3"/>
      <c r="L2" s="3"/>
      <c r="M2" s="3"/>
      <c r="N2" s="3"/>
      <c r="O2" s="3"/>
      <c r="P2" s="3"/>
      <c r="Q2" s="3"/>
      <c r="R2" s="3"/>
      <c r="S2" s="3"/>
      <c r="T2" s="3"/>
      <c r="U2" s="3"/>
      <c r="V2" s="3"/>
      <c r="W2" s="3"/>
      <c r="X2" s="3"/>
      <c r="Y2" s="3"/>
      <c r="Z2" s="3"/>
    </row>
    <row r="3">
      <c r="A3" s="4">
        <v>2.0</v>
      </c>
      <c r="B3" s="5" t="s">
        <v>4</v>
      </c>
      <c r="C3" s="6"/>
      <c r="D3" s="3"/>
      <c r="E3" s="3"/>
      <c r="F3" s="3"/>
      <c r="G3" s="3"/>
      <c r="H3" s="3"/>
      <c r="I3" s="3"/>
      <c r="J3" s="3"/>
      <c r="K3" s="3"/>
      <c r="L3" s="3"/>
      <c r="M3" s="3"/>
      <c r="N3" s="3"/>
      <c r="O3" s="3"/>
      <c r="P3" s="3"/>
      <c r="Q3" s="3"/>
      <c r="R3" s="3"/>
      <c r="S3" s="3"/>
      <c r="T3" s="3"/>
      <c r="U3" s="3"/>
      <c r="V3" s="3"/>
      <c r="W3" s="3"/>
      <c r="X3" s="3"/>
      <c r="Y3" s="3"/>
      <c r="Z3" s="3"/>
    </row>
    <row r="4">
      <c r="A4" s="4">
        <v>3.0</v>
      </c>
      <c r="B4" s="5" t="s">
        <v>5</v>
      </c>
      <c r="C4" s="6"/>
      <c r="D4" s="3"/>
      <c r="E4" s="3"/>
      <c r="F4" s="3"/>
      <c r="G4" s="3"/>
      <c r="H4" s="3"/>
      <c r="I4" s="3"/>
      <c r="J4" s="3"/>
      <c r="K4" s="3"/>
      <c r="L4" s="3"/>
      <c r="M4" s="3"/>
      <c r="N4" s="3"/>
      <c r="O4" s="3"/>
      <c r="P4" s="3"/>
      <c r="Q4" s="3"/>
      <c r="R4" s="3"/>
      <c r="S4" s="3"/>
      <c r="T4" s="3"/>
      <c r="U4" s="3"/>
      <c r="V4" s="3"/>
      <c r="W4" s="3"/>
      <c r="X4" s="3"/>
      <c r="Y4" s="3"/>
      <c r="Z4" s="3"/>
    </row>
    <row r="5">
      <c r="A5" s="7"/>
      <c r="B5" s="6"/>
      <c r="C5" s="6"/>
      <c r="D5" s="3"/>
      <c r="E5" s="3"/>
      <c r="F5" s="3"/>
      <c r="G5" s="3"/>
      <c r="H5" s="3"/>
      <c r="I5" s="3"/>
      <c r="J5" s="3"/>
      <c r="K5" s="3"/>
      <c r="L5" s="3"/>
      <c r="M5" s="3"/>
      <c r="N5" s="3"/>
      <c r="O5" s="3"/>
      <c r="P5" s="3"/>
      <c r="Q5" s="3"/>
      <c r="R5" s="3"/>
      <c r="S5" s="3"/>
      <c r="T5" s="3"/>
      <c r="U5" s="3"/>
      <c r="V5" s="3"/>
      <c r="W5" s="3"/>
      <c r="X5" s="3"/>
      <c r="Y5" s="3"/>
      <c r="Z5" s="3"/>
    </row>
    <row r="6">
      <c r="A6" s="7"/>
      <c r="B6" s="6"/>
      <c r="C6" s="6"/>
      <c r="D6" s="3"/>
      <c r="E6" s="3"/>
      <c r="F6" s="3"/>
      <c r="G6" s="3"/>
      <c r="H6" s="3"/>
      <c r="I6" s="3"/>
      <c r="J6" s="3"/>
      <c r="K6" s="3"/>
      <c r="L6" s="3"/>
      <c r="M6" s="3"/>
      <c r="N6" s="3"/>
      <c r="O6" s="3"/>
      <c r="P6" s="3"/>
      <c r="Q6" s="3"/>
      <c r="R6" s="3"/>
      <c r="S6" s="3"/>
      <c r="T6" s="3"/>
      <c r="U6" s="3"/>
      <c r="V6" s="3"/>
      <c r="W6" s="3"/>
      <c r="X6" s="3"/>
      <c r="Y6" s="3"/>
      <c r="Z6" s="3"/>
    </row>
    <row r="7">
      <c r="A7" s="7"/>
      <c r="B7" s="6"/>
      <c r="C7" s="6"/>
      <c r="D7" s="3"/>
      <c r="E7" s="3"/>
      <c r="F7" s="3"/>
      <c r="G7" s="3"/>
      <c r="H7" s="3"/>
      <c r="I7" s="3"/>
      <c r="J7" s="3"/>
      <c r="K7" s="3"/>
      <c r="L7" s="3"/>
      <c r="M7" s="3"/>
      <c r="N7" s="3"/>
      <c r="O7" s="3"/>
      <c r="P7" s="3"/>
      <c r="Q7" s="3"/>
      <c r="R7" s="3"/>
      <c r="S7" s="3"/>
      <c r="T7" s="3"/>
      <c r="U7" s="3"/>
      <c r="V7" s="3"/>
      <c r="W7" s="3"/>
      <c r="X7" s="3"/>
      <c r="Y7" s="3"/>
      <c r="Z7" s="3"/>
    </row>
    <row r="8">
      <c r="A8" s="7"/>
      <c r="B8" s="6"/>
      <c r="C8" s="6"/>
      <c r="D8" s="3"/>
      <c r="E8" s="3"/>
      <c r="F8" s="3"/>
      <c r="G8" s="3"/>
      <c r="H8" s="3"/>
      <c r="I8" s="3"/>
      <c r="J8" s="3"/>
      <c r="K8" s="3"/>
      <c r="L8" s="3"/>
      <c r="M8" s="3"/>
      <c r="N8" s="3"/>
      <c r="O8" s="3"/>
      <c r="P8" s="3"/>
      <c r="Q8" s="3"/>
      <c r="R8" s="3"/>
      <c r="S8" s="3"/>
      <c r="T8" s="3"/>
      <c r="U8" s="3"/>
      <c r="V8" s="3"/>
      <c r="W8" s="3"/>
      <c r="X8" s="3"/>
      <c r="Y8" s="3"/>
      <c r="Z8" s="3"/>
    </row>
    <row r="9">
      <c r="A9" s="7"/>
      <c r="B9" s="6"/>
      <c r="C9" s="6"/>
      <c r="D9" s="3"/>
      <c r="E9" s="3"/>
      <c r="F9" s="3"/>
      <c r="G9" s="3"/>
      <c r="H9" s="3"/>
      <c r="I9" s="3"/>
      <c r="J9" s="3"/>
      <c r="K9" s="3"/>
      <c r="L9" s="3"/>
      <c r="M9" s="3"/>
      <c r="N9" s="3"/>
      <c r="O9" s="3"/>
      <c r="P9" s="3"/>
      <c r="Q9" s="3"/>
      <c r="R9" s="3"/>
      <c r="S9" s="3"/>
      <c r="T9" s="3"/>
      <c r="U9" s="3"/>
      <c r="V9" s="3"/>
      <c r="W9" s="3"/>
      <c r="X9" s="3"/>
      <c r="Y9" s="3"/>
      <c r="Z9" s="3"/>
    </row>
    <row r="10">
      <c r="A10" s="7"/>
      <c r="B10" s="6"/>
      <c r="C10" s="6"/>
      <c r="D10" s="3"/>
      <c r="E10" s="3"/>
      <c r="F10" s="3"/>
      <c r="G10" s="3"/>
      <c r="H10" s="3"/>
      <c r="I10" s="3"/>
      <c r="J10" s="3"/>
      <c r="K10" s="3"/>
      <c r="L10" s="3"/>
      <c r="M10" s="3"/>
      <c r="N10" s="3"/>
      <c r="O10" s="3"/>
      <c r="P10" s="3"/>
      <c r="Q10" s="3"/>
      <c r="R10" s="3"/>
      <c r="S10" s="3"/>
      <c r="T10" s="3"/>
      <c r="U10" s="3"/>
      <c r="V10" s="3"/>
      <c r="W10" s="3"/>
      <c r="X10" s="3"/>
      <c r="Y10" s="3"/>
      <c r="Z10" s="3"/>
    </row>
    <row r="11">
      <c r="A11" s="7"/>
      <c r="B11" s="6"/>
      <c r="C11" s="6"/>
      <c r="D11" s="3"/>
      <c r="E11" s="3"/>
      <c r="F11" s="3"/>
      <c r="G11" s="3"/>
      <c r="H11" s="3"/>
      <c r="I11" s="3"/>
      <c r="J11" s="3"/>
      <c r="K11" s="3"/>
      <c r="L11" s="3"/>
      <c r="M11" s="3"/>
      <c r="N11" s="3"/>
      <c r="O11" s="3"/>
      <c r="P11" s="3"/>
      <c r="Q11" s="3"/>
      <c r="R11" s="3"/>
      <c r="S11" s="3"/>
      <c r="T11" s="3"/>
      <c r="U11" s="3"/>
      <c r="V11" s="3"/>
      <c r="W11" s="3"/>
      <c r="X11" s="3"/>
      <c r="Y11" s="3"/>
      <c r="Z11" s="3"/>
    </row>
    <row r="12">
      <c r="A12" s="7"/>
      <c r="B12" s="6"/>
      <c r="C12" s="6"/>
      <c r="D12" s="3"/>
      <c r="E12" s="3"/>
      <c r="F12" s="3"/>
      <c r="G12" s="3"/>
      <c r="H12" s="3"/>
      <c r="I12" s="3"/>
      <c r="J12" s="3"/>
      <c r="K12" s="3"/>
      <c r="L12" s="3"/>
      <c r="M12" s="3"/>
      <c r="N12" s="3"/>
      <c r="O12" s="3"/>
      <c r="P12" s="3"/>
      <c r="Q12" s="3"/>
      <c r="R12" s="3"/>
      <c r="S12" s="3"/>
      <c r="T12" s="3"/>
      <c r="U12" s="3"/>
      <c r="V12" s="3"/>
      <c r="W12" s="3"/>
      <c r="X12" s="3"/>
      <c r="Y12" s="3"/>
      <c r="Z12" s="3"/>
    </row>
    <row r="13">
      <c r="A13" s="7"/>
      <c r="B13" s="6"/>
      <c r="C13" s="6"/>
      <c r="D13" s="3"/>
      <c r="E13" s="3"/>
      <c r="F13" s="3"/>
      <c r="G13" s="3"/>
      <c r="H13" s="3"/>
      <c r="I13" s="3"/>
      <c r="J13" s="3"/>
      <c r="K13" s="3"/>
      <c r="L13" s="3"/>
      <c r="M13" s="3"/>
      <c r="N13" s="3"/>
      <c r="O13" s="3"/>
      <c r="P13" s="3"/>
      <c r="Q13" s="3"/>
      <c r="R13" s="3"/>
      <c r="S13" s="3"/>
      <c r="T13" s="3"/>
      <c r="U13" s="3"/>
      <c r="V13" s="3"/>
      <c r="W13" s="3"/>
      <c r="X13" s="3"/>
      <c r="Y13" s="3"/>
      <c r="Z13" s="3"/>
    </row>
    <row r="14">
      <c r="A14" s="7"/>
      <c r="B14" s="6"/>
      <c r="C14" s="6"/>
      <c r="D14" s="3"/>
      <c r="E14" s="3"/>
      <c r="F14" s="3"/>
      <c r="G14" s="3"/>
      <c r="H14" s="3"/>
      <c r="I14" s="3"/>
      <c r="J14" s="3"/>
      <c r="K14" s="3"/>
      <c r="L14" s="3"/>
      <c r="M14" s="3"/>
      <c r="N14" s="3"/>
      <c r="O14" s="3"/>
      <c r="P14" s="3"/>
      <c r="Q14" s="3"/>
      <c r="R14" s="3"/>
      <c r="S14" s="3"/>
      <c r="T14" s="3"/>
      <c r="U14" s="3"/>
      <c r="V14" s="3"/>
      <c r="W14" s="3"/>
      <c r="X14" s="3"/>
      <c r="Y14" s="3"/>
      <c r="Z14" s="3"/>
    </row>
    <row r="15">
      <c r="A15" s="7"/>
      <c r="B15" s="6"/>
      <c r="C15" s="6"/>
      <c r="D15" s="3"/>
      <c r="E15" s="3"/>
      <c r="F15" s="3"/>
      <c r="G15" s="3"/>
      <c r="H15" s="3"/>
      <c r="I15" s="3"/>
      <c r="J15" s="3"/>
      <c r="K15" s="3"/>
      <c r="L15" s="3"/>
      <c r="M15" s="3"/>
      <c r="N15" s="3"/>
      <c r="O15" s="3"/>
      <c r="P15" s="3"/>
      <c r="Q15" s="3"/>
      <c r="R15" s="3"/>
      <c r="S15" s="3"/>
      <c r="T15" s="3"/>
      <c r="U15" s="3"/>
      <c r="V15" s="3"/>
      <c r="W15" s="3"/>
      <c r="X15" s="3"/>
      <c r="Y15" s="3"/>
      <c r="Z15" s="3"/>
    </row>
    <row r="16">
      <c r="A16" s="7"/>
      <c r="B16" s="6"/>
      <c r="C16" s="6"/>
      <c r="D16" s="3"/>
      <c r="E16" s="3"/>
      <c r="F16" s="3"/>
      <c r="G16" s="3"/>
      <c r="H16" s="3"/>
      <c r="I16" s="3"/>
      <c r="J16" s="3"/>
      <c r="K16" s="3"/>
      <c r="L16" s="3"/>
      <c r="M16" s="3"/>
      <c r="N16" s="3"/>
      <c r="O16" s="3"/>
      <c r="P16" s="3"/>
      <c r="Q16" s="3"/>
      <c r="R16" s="3"/>
      <c r="S16" s="3"/>
      <c r="T16" s="3"/>
      <c r="U16" s="3"/>
      <c r="V16" s="3"/>
      <c r="W16" s="3"/>
      <c r="X16" s="3"/>
      <c r="Y16" s="3"/>
      <c r="Z16" s="3"/>
    </row>
    <row r="17">
      <c r="A17" s="7"/>
      <c r="B17" s="6"/>
      <c r="C17" s="6"/>
      <c r="D17" s="3"/>
      <c r="E17" s="3"/>
      <c r="F17" s="3"/>
      <c r="G17" s="3"/>
      <c r="H17" s="3"/>
      <c r="I17" s="3"/>
      <c r="J17" s="3"/>
      <c r="K17" s="3"/>
      <c r="L17" s="3"/>
      <c r="M17" s="3"/>
      <c r="N17" s="3"/>
      <c r="O17" s="3"/>
      <c r="P17" s="3"/>
      <c r="Q17" s="3"/>
      <c r="R17" s="3"/>
      <c r="S17" s="3"/>
      <c r="T17" s="3"/>
      <c r="U17" s="3"/>
      <c r="V17" s="3"/>
      <c r="W17" s="3"/>
      <c r="X17" s="3"/>
      <c r="Y17" s="3"/>
      <c r="Z17" s="3"/>
    </row>
    <row r="18">
      <c r="A18" s="7"/>
      <c r="B18" s="6"/>
      <c r="C18" s="6"/>
      <c r="D18" s="3"/>
      <c r="E18" s="3"/>
      <c r="F18" s="3"/>
      <c r="G18" s="3"/>
      <c r="H18" s="3"/>
      <c r="I18" s="3"/>
      <c r="J18" s="3"/>
      <c r="K18" s="3"/>
      <c r="L18" s="3"/>
      <c r="M18" s="3"/>
      <c r="N18" s="3"/>
      <c r="O18" s="3"/>
      <c r="P18" s="3"/>
      <c r="Q18" s="3"/>
      <c r="R18" s="3"/>
      <c r="S18" s="3"/>
      <c r="T18" s="3"/>
      <c r="U18" s="3"/>
      <c r="V18" s="3"/>
      <c r="W18" s="3"/>
      <c r="X18" s="3"/>
      <c r="Y18" s="3"/>
      <c r="Z18" s="3"/>
    </row>
    <row r="19">
      <c r="A19" s="7"/>
      <c r="B19" s="6"/>
      <c r="C19" s="6"/>
      <c r="D19" s="3"/>
      <c r="E19" s="3"/>
      <c r="F19" s="3"/>
      <c r="G19" s="3"/>
      <c r="H19" s="3"/>
      <c r="I19" s="3"/>
      <c r="J19" s="3"/>
      <c r="K19" s="3"/>
      <c r="L19" s="3"/>
      <c r="M19" s="3"/>
      <c r="N19" s="3"/>
      <c r="O19" s="3"/>
      <c r="P19" s="3"/>
      <c r="Q19" s="3"/>
      <c r="R19" s="3"/>
      <c r="S19" s="3"/>
      <c r="T19" s="3"/>
      <c r="U19" s="3"/>
      <c r="V19" s="3"/>
      <c r="W19" s="3"/>
      <c r="X19" s="3"/>
      <c r="Y19" s="3"/>
      <c r="Z19" s="3"/>
    </row>
    <row r="20">
      <c r="A20" s="7"/>
      <c r="B20" s="6"/>
      <c r="C20" s="6"/>
      <c r="D20" s="3"/>
      <c r="E20" s="3"/>
      <c r="F20" s="3"/>
      <c r="G20" s="3"/>
      <c r="H20" s="3"/>
      <c r="I20" s="3"/>
      <c r="J20" s="3"/>
      <c r="K20" s="3"/>
      <c r="L20" s="3"/>
      <c r="M20" s="3"/>
      <c r="N20" s="3"/>
      <c r="O20" s="3"/>
      <c r="P20" s="3"/>
      <c r="Q20" s="3"/>
      <c r="R20" s="3"/>
      <c r="S20" s="3"/>
      <c r="T20" s="3"/>
      <c r="U20" s="3"/>
      <c r="V20" s="3"/>
      <c r="W20" s="3"/>
      <c r="X20" s="3"/>
      <c r="Y20" s="3"/>
      <c r="Z20" s="3"/>
    </row>
    <row r="21">
      <c r="A21" s="7"/>
      <c r="B21" s="6"/>
      <c r="C21" s="6"/>
      <c r="D21" s="3"/>
      <c r="E21" s="3"/>
      <c r="F21" s="3"/>
      <c r="G21" s="3"/>
      <c r="H21" s="3"/>
      <c r="I21" s="3"/>
      <c r="J21" s="3"/>
      <c r="K21" s="3"/>
      <c r="L21" s="3"/>
      <c r="M21" s="3"/>
      <c r="N21" s="3"/>
      <c r="O21" s="3"/>
      <c r="P21" s="3"/>
      <c r="Q21" s="3"/>
      <c r="R21" s="3"/>
      <c r="S21" s="3"/>
      <c r="T21" s="3"/>
      <c r="U21" s="3"/>
      <c r="V21" s="3"/>
      <c r="W21" s="3"/>
      <c r="X21" s="3"/>
      <c r="Y21" s="3"/>
      <c r="Z21" s="3"/>
    </row>
    <row r="22">
      <c r="A22" s="7"/>
      <c r="B22" s="6"/>
      <c r="C22" s="6"/>
      <c r="D22" s="3"/>
      <c r="E22" s="3"/>
      <c r="F22" s="3"/>
      <c r="G22" s="3"/>
      <c r="H22" s="3"/>
      <c r="I22" s="3"/>
      <c r="J22" s="3"/>
      <c r="K22" s="3"/>
      <c r="L22" s="3"/>
      <c r="M22" s="3"/>
      <c r="N22" s="3"/>
      <c r="O22" s="3"/>
      <c r="P22" s="3"/>
      <c r="Q22" s="3"/>
      <c r="R22" s="3"/>
      <c r="S22" s="3"/>
      <c r="T22" s="3"/>
      <c r="U22" s="3"/>
      <c r="V22" s="3"/>
      <c r="W22" s="3"/>
      <c r="X22" s="3"/>
      <c r="Y22" s="3"/>
      <c r="Z22" s="3"/>
    </row>
    <row r="23">
      <c r="A23" s="7"/>
      <c r="B23" s="6"/>
      <c r="C23" s="6"/>
      <c r="D23" s="3"/>
      <c r="E23" s="3"/>
      <c r="F23" s="3"/>
      <c r="G23" s="3"/>
      <c r="H23" s="3"/>
      <c r="I23" s="3"/>
      <c r="J23" s="3"/>
      <c r="K23" s="3"/>
      <c r="L23" s="3"/>
      <c r="M23" s="3"/>
      <c r="N23" s="3"/>
      <c r="O23" s="3"/>
      <c r="P23" s="3"/>
      <c r="Q23" s="3"/>
      <c r="R23" s="3"/>
      <c r="S23" s="3"/>
      <c r="T23" s="3"/>
      <c r="U23" s="3"/>
      <c r="V23" s="3"/>
      <c r="W23" s="3"/>
      <c r="X23" s="3"/>
      <c r="Y23" s="3"/>
      <c r="Z23" s="3"/>
    </row>
    <row r="24">
      <c r="A24" s="7"/>
      <c r="B24" s="6"/>
      <c r="C24" s="6"/>
      <c r="D24" s="3"/>
      <c r="E24" s="3"/>
      <c r="F24" s="3"/>
      <c r="G24" s="3"/>
      <c r="H24" s="3"/>
      <c r="I24" s="3"/>
      <c r="J24" s="3"/>
      <c r="K24" s="3"/>
      <c r="L24" s="3"/>
      <c r="M24" s="3"/>
      <c r="N24" s="3"/>
      <c r="O24" s="3"/>
      <c r="P24" s="3"/>
      <c r="Q24" s="3"/>
      <c r="R24" s="3"/>
      <c r="S24" s="3"/>
      <c r="T24" s="3"/>
      <c r="U24" s="3"/>
      <c r="V24" s="3"/>
      <c r="W24" s="3"/>
      <c r="X24" s="3"/>
      <c r="Y24" s="3"/>
      <c r="Z24" s="3"/>
    </row>
    <row r="25">
      <c r="A25" s="7"/>
      <c r="B25" s="6"/>
      <c r="C25" s="6"/>
      <c r="D25" s="3"/>
      <c r="E25" s="3"/>
      <c r="F25" s="3"/>
      <c r="G25" s="3"/>
      <c r="H25" s="3"/>
      <c r="I25" s="3"/>
      <c r="J25" s="3"/>
      <c r="K25" s="3"/>
      <c r="L25" s="3"/>
      <c r="M25" s="3"/>
      <c r="N25" s="3"/>
      <c r="O25" s="3"/>
      <c r="P25" s="3"/>
      <c r="Q25" s="3"/>
      <c r="R25" s="3"/>
      <c r="S25" s="3"/>
      <c r="T25" s="3"/>
      <c r="U25" s="3"/>
      <c r="V25" s="3"/>
      <c r="W25" s="3"/>
      <c r="X25" s="3"/>
      <c r="Y25" s="3"/>
      <c r="Z25" s="3"/>
    </row>
    <row r="26">
      <c r="A26" s="7"/>
      <c r="B26" s="6"/>
      <c r="C26" s="6"/>
      <c r="D26" s="3"/>
      <c r="E26" s="3"/>
      <c r="F26" s="3"/>
      <c r="G26" s="3"/>
      <c r="H26" s="3"/>
      <c r="I26" s="3"/>
      <c r="J26" s="3"/>
      <c r="K26" s="3"/>
      <c r="L26" s="3"/>
      <c r="M26" s="3"/>
      <c r="N26" s="3"/>
      <c r="O26" s="3"/>
      <c r="P26" s="3"/>
      <c r="Q26" s="3"/>
      <c r="R26" s="3"/>
      <c r="S26" s="3"/>
      <c r="T26" s="3"/>
      <c r="U26" s="3"/>
      <c r="V26" s="3"/>
      <c r="W26" s="3"/>
      <c r="X26" s="3"/>
      <c r="Y26" s="3"/>
      <c r="Z26" s="3"/>
    </row>
    <row r="27">
      <c r="A27" s="7"/>
      <c r="B27" s="6"/>
      <c r="C27" s="6"/>
      <c r="D27" s="3"/>
      <c r="E27" s="3"/>
      <c r="F27" s="3"/>
      <c r="G27" s="3"/>
      <c r="H27" s="3"/>
      <c r="I27" s="3"/>
      <c r="J27" s="3"/>
      <c r="K27" s="3"/>
      <c r="L27" s="3"/>
      <c r="M27" s="3"/>
      <c r="N27" s="3"/>
      <c r="O27" s="3"/>
      <c r="P27" s="3"/>
      <c r="Q27" s="3"/>
      <c r="R27" s="3"/>
      <c r="S27" s="3"/>
      <c r="T27" s="3"/>
      <c r="U27" s="3"/>
      <c r="V27" s="3"/>
      <c r="W27" s="3"/>
      <c r="X27" s="3"/>
      <c r="Y27" s="3"/>
      <c r="Z27" s="3"/>
    </row>
    <row r="28">
      <c r="A28" s="7"/>
      <c r="B28" s="6"/>
      <c r="C28" s="6"/>
      <c r="D28" s="3"/>
      <c r="E28" s="3"/>
      <c r="F28" s="3"/>
      <c r="G28" s="3"/>
      <c r="H28" s="3"/>
      <c r="I28" s="3"/>
      <c r="J28" s="3"/>
      <c r="K28" s="3"/>
      <c r="L28" s="3"/>
      <c r="M28" s="3"/>
      <c r="N28" s="3"/>
      <c r="O28" s="3"/>
      <c r="P28" s="3"/>
      <c r="Q28" s="3"/>
      <c r="R28" s="3"/>
      <c r="S28" s="3"/>
      <c r="T28" s="3"/>
      <c r="U28" s="3"/>
      <c r="V28" s="3"/>
      <c r="W28" s="3"/>
      <c r="X28" s="3"/>
      <c r="Y28" s="3"/>
      <c r="Z28" s="3"/>
    </row>
    <row r="29">
      <c r="A29" s="7"/>
      <c r="B29" s="6"/>
      <c r="C29" s="6"/>
      <c r="D29" s="3"/>
      <c r="E29" s="3"/>
      <c r="F29" s="3"/>
      <c r="G29" s="3"/>
      <c r="H29" s="3"/>
      <c r="I29" s="3"/>
      <c r="J29" s="3"/>
      <c r="K29" s="3"/>
      <c r="L29" s="3"/>
      <c r="M29" s="3"/>
      <c r="N29" s="3"/>
      <c r="O29" s="3"/>
      <c r="P29" s="3"/>
      <c r="Q29" s="3"/>
      <c r="R29" s="3"/>
      <c r="S29" s="3"/>
      <c r="T29" s="3"/>
      <c r="U29" s="3"/>
      <c r="V29" s="3"/>
      <c r="W29" s="3"/>
      <c r="X29" s="3"/>
      <c r="Y29" s="3"/>
      <c r="Z29" s="3"/>
    </row>
    <row r="30">
      <c r="A30" s="7"/>
      <c r="B30" s="6"/>
      <c r="C30" s="6"/>
      <c r="D30" s="3"/>
      <c r="E30" s="3"/>
      <c r="F30" s="3"/>
      <c r="G30" s="3"/>
      <c r="H30" s="3"/>
      <c r="I30" s="3"/>
      <c r="J30" s="3"/>
      <c r="K30" s="3"/>
      <c r="L30" s="3"/>
      <c r="M30" s="3"/>
      <c r="N30" s="3"/>
      <c r="O30" s="3"/>
      <c r="P30" s="3"/>
      <c r="Q30" s="3"/>
      <c r="R30" s="3"/>
      <c r="S30" s="3"/>
      <c r="T30" s="3"/>
      <c r="U30" s="3"/>
      <c r="V30" s="3"/>
      <c r="W30" s="3"/>
      <c r="X30" s="3"/>
      <c r="Y30" s="3"/>
      <c r="Z30" s="3"/>
    </row>
    <row r="31">
      <c r="A31" s="7"/>
      <c r="B31" s="6"/>
      <c r="C31" s="6"/>
      <c r="D31" s="3"/>
      <c r="E31" s="3"/>
      <c r="F31" s="3"/>
      <c r="G31" s="3"/>
      <c r="H31" s="3"/>
      <c r="I31" s="3"/>
      <c r="J31" s="3"/>
      <c r="K31" s="3"/>
      <c r="L31" s="3"/>
      <c r="M31" s="3"/>
      <c r="N31" s="3"/>
      <c r="O31" s="3"/>
      <c r="P31" s="3"/>
      <c r="Q31" s="3"/>
      <c r="R31" s="3"/>
      <c r="S31" s="3"/>
      <c r="T31" s="3"/>
      <c r="U31" s="3"/>
      <c r="V31" s="3"/>
      <c r="W31" s="3"/>
      <c r="X31" s="3"/>
      <c r="Y31" s="3"/>
      <c r="Z31" s="3"/>
    </row>
    <row r="32">
      <c r="A32" s="7"/>
      <c r="B32" s="6"/>
      <c r="C32" s="6"/>
      <c r="D32" s="3"/>
      <c r="E32" s="3"/>
      <c r="F32" s="3"/>
      <c r="G32" s="3"/>
      <c r="H32" s="3"/>
      <c r="I32" s="3"/>
      <c r="J32" s="3"/>
      <c r="K32" s="3"/>
      <c r="L32" s="3"/>
      <c r="M32" s="3"/>
      <c r="N32" s="3"/>
      <c r="O32" s="3"/>
      <c r="P32" s="3"/>
      <c r="Q32" s="3"/>
      <c r="R32" s="3"/>
      <c r="S32" s="3"/>
      <c r="T32" s="3"/>
      <c r="U32" s="3"/>
      <c r="V32" s="3"/>
      <c r="W32" s="3"/>
      <c r="X32" s="3"/>
      <c r="Y32" s="3"/>
      <c r="Z32" s="3"/>
    </row>
    <row r="33">
      <c r="A33" s="7"/>
      <c r="B33" s="6"/>
      <c r="C33" s="6"/>
      <c r="D33" s="3"/>
      <c r="E33" s="3"/>
      <c r="F33" s="3"/>
      <c r="G33" s="3"/>
      <c r="H33" s="3"/>
      <c r="I33" s="3"/>
      <c r="J33" s="3"/>
      <c r="K33" s="3"/>
      <c r="L33" s="3"/>
      <c r="M33" s="3"/>
      <c r="N33" s="3"/>
      <c r="O33" s="3"/>
      <c r="P33" s="3"/>
      <c r="Q33" s="3"/>
      <c r="R33" s="3"/>
      <c r="S33" s="3"/>
      <c r="T33" s="3"/>
      <c r="U33" s="3"/>
      <c r="V33" s="3"/>
      <c r="W33" s="3"/>
      <c r="X33" s="3"/>
      <c r="Y33" s="3"/>
      <c r="Z33" s="3"/>
    </row>
    <row r="34">
      <c r="A34" s="7"/>
      <c r="B34" s="6"/>
      <c r="C34" s="6"/>
      <c r="D34" s="3"/>
      <c r="E34" s="3"/>
      <c r="F34" s="3"/>
      <c r="G34" s="3"/>
      <c r="H34" s="3"/>
      <c r="I34" s="3"/>
      <c r="J34" s="3"/>
      <c r="K34" s="3"/>
      <c r="L34" s="3"/>
      <c r="M34" s="3"/>
      <c r="N34" s="3"/>
      <c r="O34" s="3"/>
      <c r="P34" s="3"/>
      <c r="Q34" s="3"/>
      <c r="R34" s="3"/>
      <c r="S34" s="3"/>
      <c r="T34" s="3"/>
      <c r="U34" s="3"/>
      <c r="V34" s="3"/>
      <c r="W34" s="3"/>
      <c r="X34" s="3"/>
      <c r="Y34" s="3"/>
      <c r="Z34" s="3"/>
    </row>
    <row r="35">
      <c r="A35" s="7"/>
      <c r="B35" s="6"/>
      <c r="C35" s="6"/>
      <c r="D35" s="3"/>
      <c r="E35" s="3"/>
      <c r="F35" s="3"/>
      <c r="G35" s="3"/>
      <c r="H35" s="3"/>
      <c r="I35" s="3"/>
      <c r="J35" s="3"/>
      <c r="K35" s="3"/>
      <c r="L35" s="3"/>
      <c r="M35" s="3"/>
      <c r="N35" s="3"/>
      <c r="O35" s="3"/>
      <c r="P35" s="3"/>
      <c r="Q35" s="3"/>
      <c r="R35" s="3"/>
      <c r="S35" s="3"/>
      <c r="T35" s="3"/>
      <c r="U35" s="3"/>
      <c r="V35" s="3"/>
      <c r="W35" s="3"/>
      <c r="X35" s="3"/>
      <c r="Y35" s="3"/>
      <c r="Z35" s="3"/>
    </row>
    <row r="36">
      <c r="A36" s="7"/>
      <c r="B36" s="6"/>
      <c r="C36" s="6"/>
      <c r="D36" s="3"/>
      <c r="E36" s="3"/>
      <c r="F36" s="3"/>
      <c r="G36" s="3"/>
      <c r="H36" s="3"/>
      <c r="I36" s="3"/>
      <c r="J36" s="3"/>
      <c r="K36" s="3"/>
      <c r="L36" s="3"/>
      <c r="M36" s="3"/>
      <c r="N36" s="3"/>
      <c r="O36" s="3"/>
      <c r="P36" s="3"/>
      <c r="Q36" s="3"/>
      <c r="R36" s="3"/>
      <c r="S36" s="3"/>
      <c r="T36" s="3"/>
      <c r="U36" s="3"/>
      <c r="V36" s="3"/>
      <c r="W36" s="3"/>
      <c r="X36" s="3"/>
      <c r="Y36" s="3"/>
      <c r="Z36" s="3"/>
    </row>
    <row r="37">
      <c r="A37" s="7"/>
      <c r="B37" s="6"/>
      <c r="C37" s="6"/>
      <c r="D37" s="3"/>
      <c r="E37" s="3"/>
      <c r="F37" s="3"/>
      <c r="G37" s="3"/>
      <c r="H37" s="3"/>
      <c r="I37" s="3"/>
      <c r="J37" s="3"/>
      <c r="K37" s="3"/>
      <c r="L37" s="3"/>
      <c r="M37" s="3"/>
      <c r="N37" s="3"/>
      <c r="O37" s="3"/>
      <c r="P37" s="3"/>
      <c r="Q37" s="3"/>
      <c r="R37" s="3"/>
      <c r="S37" s="3"/>
      <c r="T37" s="3"/>
      <c r="U37" s="3"/>
      <c r="V37" s="3"/>
      <c r="W37" s="3"/>
      <c r="X37" s="3"/>
      <c r="Y37" s="3"/>
      <c r="Z37" s="3"/>
    </row>
    <row r="38">
      <c r="A38" s="7"/>
      <c r="B38" s="6"/>
      <c r="C38" s="6"/>
      <c r="D38" s="3"/>
      <c r="E38" s="3"/>
      <c r="F38" s="3"/>
      <c r="G38" s="3"/>
      <c r="H38" s="3"/>
      <c r="I38" s="3"/>
      <c r="J38" s="3"/>
      <c r="K38" s="3"/>
      <c r="L38" s="3"/>
      <c r="M38" s="3"/>
      <c r="N38" s="3"/>
      <c r="O38" s="3"/>
      <c r="P38" s="3"/>
      <c r="Q38" s="3"/>
      <c r="R38" s="3"/>
      <c r="S38" s="3"/>
      <c r="T38" s="3"/>
      <c r="U38" s="3"/>
      <c r="V38" s="3"/>
      <c r="W38" s="3"/>
      <c r="X38" s="3"/>
      <c r="Y38" s="3"/>
      <c r="Z38" s="3"/>
    </row>
    <row r="39">
      <c r="A39" s="7"/>
      <c r="B39" s="6"/>
      <c r="C39" s="6"/>
      <c r="D39" s="3"/>
      <c r="E39" s="3"/>
      <c r="F39" s="3"/>
      <c r="G39" s="3"/>
      <c r="H39" s="3"/>
      <c r="I39" s="3"/>
      <c r="J39" s="3"/>
      <c r="K39" s="3"/>
      <c r="L39" s="3"/>
      <c r="M39" s="3"/>
      <c r="N39" s="3"/>
      <c r="O39" s="3"/>
      <c r="P39" s="3"/>
      <c r="Q39" s="3"/>
      <c r="R39" s="3"/>
      <c r="S39" s="3"/>
      <c r="T39" s="3"/>
      <c r="U39" s="3"/>
      <c r="V39" s="3"/>
      <c r="W39" s="3"/>
      <c r="X39" s="3"/>
      <c r="Y39" s="3"/>
      <c r="Z39" s="3"/>
    </row>
    <row r="40">
      <c r="A40" s="7"/>
      <c r="B40" s="6"/>
      <c r="C40" s="6"/>
      <c r="D40" s="3"/>
      <c r="E40" s="3"/>
      <c r="F40" s="3"/>
      <c r="G40" s="3"/>
      <c r="H40" s="3"/>
      <c r="I40" s="3"/>
      <c r="J40" s="3"/>
      <c r="K40" s="3"/>
      <c r="L40" s="3"/>
      <c r="M40" s="3"/>
      <c r="N40" s="3"/>
      <c r="O40" s="3"/>
      <c r="P40" s="3"/>
      <c r="Q40" s="3"/>
      <c r="R40" s="3"/>
      <c r="S40" s="3"/>
      <c r="T40" s="3"/>
      <c r="U40" s="3"/>
      <c r="V40" s="3"/>
      <c r="W40" s="3"/>
      <c r="X40" s="3"/>
      <c r="Y40" s="3"/>
      <c r="Z40" s="3"/>
    </row>
    <row r="41">
      <c r="A41" s="7"/>
      <c r="B41" s="6"/>
      <c r="C41" s="6"/>
      <c r="D41" s="3"/>
      <c r="E41" s="3"/>
      <c r="F41" s="3"/>
      <c r="G41" s="3"/>
      <c r="H41" s="3"/>
      <c r="I41" s="3"/>
      <c r="J41" s="3"/>
      <c r="K41" s="3"/>
      <c r="L41" s="3"/>
      <c r="M41" s="3"/>
      <c r="N41" s="3"/>
      <c r="O41" s="3"/>
      <c r="P41" s="3"/>
      <c r="Q41" s="3"/>
      <c r="R41" s="3"/>
      <c r="S41" s="3"/>
      <c r="T41" s="3"/>
      <c r="U41" s="3"/>
      <c r="V41" s="3"/>
      <c r="W41" s="3"/>
      <c r="X41" s="3"/>
      <c r="Y41" s="3"/>
      <c r="Z41" s="3"/>
    </row>
    <row r="42">
      <c r="A42" s="7"/>
      <c r="B42" s="6"/>
      <c r="C42" s="6"/>
      <c r="D42" s="3"/>
      <c r="E42" s="3"/>
      <c r="F42" s="3"/>
      <c r="G42" s="3"/>
      <c r="H42" s="3"/>
      <c r="I42" s="3"/>
      <c r="J42" s="3"/>
      <c r="K42" s="3"/>
      <c r="L42" s="3"/>
      <c r="M42" s="3"/>
      <c r="N42" s="3"/>
      <c r="O42" s="3"/>
      <c r="P42" s="3"/>
      <c r="Q42" s="3"/>
      <c r="R42" s="3"/>
      <c r="S42" s="3"/>
      <c r="T42" s="3"/>
      <c r="U42" s="3"/>
      <c r="V42" s="3"/>
      <c r="W42" s="3"/>
      <c r="X42" s="3"/>
      <c r="Y42" s="3"/>
      <c r="Z42" s="3"/>
    </row>
    <row r="43">
      <c r="A43" s="7"/>
      <c r="B43" s="6"/>
      <c r="C43" s="6"/>
      <c r="D43" s="3"/>
      <c r="E43" s="3"/>
      <c r="F43" s="3"/>
      <c r="G43" s="3"/>
      <c r="H43" s="3"/>
      <c r="I43" s="3"/>
      <c r="J43" s="3"/>
      <c r="K43" s="3"/>
      <c r="L43" s="3"/>
      <c r="M43" s="3"/>
      <c r="N43" s="3"/>
      <c r="O43" s="3"/>
      <c r="P43" s="3"/>
      <c r="Q43" s="3"/>
      <c r="R43" s="3"/>
      <c r="S43" s="3"/>
      <c r="T43" s="3"/>
      <c r="U43" s="3"/>
      <c r="V43" s="3"/>
      <c r="W43" s="3"/>
      <c r="X43" s="3"/>
      <c r="Y43" s="3"/>
      <c r="Z43" s="3"/>
    </row>
    <row r="44">
      <c r="A44" s="7"/>
      <c r="B44" s="6"/>
      <c r="C44" s="6"/>
      <c r="D44" s="3"/>
      <c r="E44" s="3"/>
      <c r="F44" s="3"/>
      <c r="G44" s="3"/>
      <c r="H44" s="3"/>
      <c r="I44" s="3"/>
      <c r="J44" s="3"/>
      <c r="K44" s="3"/>
      <c r="L44" s="3"/>
      <c r="M44" s="3"/>
      <c r="N44" s="3"/>
      <c r="O44" s="3"/>
      <c r="P44" s="3"/>
      <c r="Q44" s="3"/>
      <c r="R44" s="3"/>
      <c r="S44" s="3"/>
      <c r="T44" s="3"/>
      <c r="U44" s="3"/>
      <c r="V44" s="3"/>
      <c r="W44" s="3"/>
      <c r="X44" s="3"/>
      <c r="Y44" s="3"/>
      <c r="Z44" s="3"/>
    </row>
    <row r="45">
      <c r="A45" s="7"/>
      <c r="B45" s="6"/>
      <c r="C45" s="6"/>
      <c r="D45" s="3"/>
      <c r="E45" s="3"/>
      <c r="F45" s="3"/>
      <c r="G45" s="3"/>
      <c r="H45" s="3"/>
      <c r="I45" s="3"/>
      <c r="J45" s="3"/>
      <c r="K45" s="3"/>
      <c r="L45" s="3"/>
      <c r="M45" s="3"/>
      <c r="N45" s="3"/>
      <c r="O45" s="3"/>
      <c r="P45" s="3"/>
      <c r="Q45" s="3"/>
      <c r="R45" s="3"/>
      <c r="S45" s="3"/>
      <c r="T45" s="3"/>
      <c r="U45" s="3"/>
      <c r="V45" s="3"/>
      <c r="W45" s="3"/>
      <c r="X45" s="3"/>
      <c r="Y45" s="3"/>
      <c r="Z45" s="3"/>
    </row>
    <row r="46">
      <c r="A46" s="7"/>
      <c r="B46" s="6"/>
      <c r="C46" s="6"/>
      <c r="D46" s="3"/>
      <c r="E46" s="3"/>
      <c r="F46" s="3"/>
      <c r="G46" s="3"/>
      <c r="H46" s="3"/>
      <c r="I46" s="3"/>
      <c r="J46" s="3"/>
      <c r="K46" s="3"/>
      <c r="L46" s="3"/>
      <c r="M46" s="3"/>
      <c r="N46" s="3"/>
      <c r="O46" s="3"/>
      <c r="P46" s="3"/>
      <c r="Q46" s="3"/>
      <c r="R46" s="3"/>
      <c r="S46" s="3"/>
      <c r="T46" s="3"/>
      <c r="U46" s="3"/>
      <c r="V46" s="3"/>
      <c r="W46" s="3"/>
      <c r="X46" s="3"/>
      <c r="Y46" s="3"/>
      <c r="Z46" s="3"/>
    </row>
    <row r="47">
      <c r="A47" s="7"/>
      <c r="B47" s="6"/>
      <c r="C47" s="6"/>
      <c r="D47" s="3"/>
      <c r="E47" s="3"/>
      <c r="F47" s="3"/>
      <c r="G47" s="3"/>
      <c r="H47" s="3"/>
      <c r="I47" s="3"/>
      <c r="J47" s="3"/>
      <c r="K47" s="3"/>
      <c r="L47" s="3"/>
      <c r="M47" s="3"/>
      <c r="N47" s="3"/>
      <c r="O47" s="3"/>
      <c r="P47" s="3"/>
      <c r="Q47" s="3"/>
      <c r="R47" s="3"/>
      <c r="S47" s="3"/>
      <c r="T47" s="3"/>
      <c r="U47" s="3"/>
      <c r="V47" s="3"/>
      <c r="W47" s="3"/>
      <c r="X47" s="3"/>
      <c r="Y47" s="3"/>
      <c r="Z47" s="3"/>
    </row>
    <row r="48">
      <c r="A48" s="7"/>
      <c r="B48" s="6"/>
      <c r="C48" s="6"/>
      <c r="D48" s="3"/>
      <c r="E48" s="3"/>
      <c r="F48" s="3"/>
      <c r="G48" s="3"/>
      <c r="H48" s="3"/>
      <c r="I48" s="3"/>
      <c r="J48" s="3"/>
      <c r="K48" s="3"/>
      <c r="L48" s="3"/>
      <c r="M48" s="3"/>
      <c r="N48" s="3"/>
      <c r="O48" s="3"/>
      <c r="P48" s="3"/>
      <c r="Q48" s="3"/>
      <c r="R48" s="3"/>
      <c r="S48" s="3"/>
      <c r="T48" s="3"/>
      <c r="U48" s="3"/>
      <c r="V48" s="3"/>
      <c r="W48" s="3"/>
      <c r="X48" s="3"/>
      <c r="Y48" s="3"/>
      <c r="Z48" s="3"/>
    </row>
    <row r="49">
      <c r="A49" s="7"/>
      <c r="B49" s="6"/>
      <c r="C49" s="6"/>
      <c r="D49" s="3"/>
      <c r="E49" s="3"/>
      <c r="F49" s="3"/>
      <c r="G49" s="3"/>
      <c r="H49" s="3"/>
      <c r="I49" s="3"/>
      <c r="J49" s="3"/>
      <c r="K49" s="3"/>
      <c r="L49" s="3"/>
      <c r="M49" s="3"/>
      <c r="N49" s="3"/>
      <c r="O49" s="3"/>
      <c r="P49" s="3"/>
      <c r="Q49" s="3"/>
      <c r="R49" s="3"/>
      <c r="S49" s="3"/>
      <c r="T49" s="3"/>
      <c r="U49" s="3"/>
      <c r="V49" s="3"/>
      <c r="W49" s="3"/>
      <c r="X49" s="3"/>
      <c r="Y49" s="3"/>
      <c r="Z49" s="3"/>
    </row>
    <row r="50">
      <c r="A50" s="7"/>
      <c r="B50" s="6"/>
      <c r="C50" s="6"/>
      <c r="D50" s="3"/>
      <c r="E50" s="3"/>
      <c r="F50" s="3"/>
      <c r="G50" s="3"/>
      <c r="H50" s="3"/>
      <c r="I50" s="3"/>
      <c r="J50" s="3"/>
      <c r="K50" s="3"/>
      <c r="L50" s="3"/>
      <c r="M50" s="3"/>
      <c r="N50" s="3"/>
      <c r="O50" s="3"/>
      <c r="P50" s="3"/>
      <c r="Q50" s="3"/>
      <c r="R50" s="3"/>
      <c r="S50" s="3"/>
      <c r="T50" s="3"/>
      <c r="U50" s="3"/>
      <c r="V50" s="3"/>
      <c r="W50" s="3"/>
      <c r="X50" s="3"/>
      <c r="Y50" s="3"/>
      <c r="Z50" s="3"/>
    </row>
    <row r="51">
      <c r="A51" s="7"/>
      <c r="B51" s="6"/>
      <c r="C51" s="6"/>
      <c r="D51" s="3"/>
      <c r="E51" s="3"/>
      <c r="F51" s="3"/>
      <c r="G51" s="3"/>
      <c r="H51" s="3"/>
      <c r="I51" s="3"/>
      <c r="J51" s="3"/>
      <c r="K51" s="3"/>
      <c r="L51" s="3"/>
      <c r="M51" s="3"/>
      <c r="N51" s="3"/>
      <c r="O51" s="3"/>
      <c r="P51" s="3"/>
      <c r="Q51" s="3"/>
      <c r="R51" s="3"/>
      <c r="S51" s="3"/>
      <c r="T51" s="3"/>
      <c r="U51" s="3"/>
      <c r="V51" s="3"/>
      <c r="W51" s="3"/>
      <c r="X51" s="3"/>
      <c r="Y51" s="3"/>
      <c r="Z51" s="3"/>
    </row>
    <row r="52">
      <c r="A52" s="7"/>
      <c r="B52" s="6"/>
      <c r="C52" s="6"/>
      <c r="D52" s="3"/>
      <c r="E52" s="3"/>
      <c r="F52" s="3"/>
      <c r="G52" s="3"/>
      <c r="H52" s="3"/>
      <c r="I52" s="3"/>
      <c r="J52" s="3"/>
      <c r="K52" s="3"/>
      <c r="L52" s="3"/>
      <c r="M52" s="3"/>
      <c r="N52" s="3"/>
      <c r="O52" s="3"/>
      <c r="P52" s="3"/>
      <c r="Q52" s="3"/>
      <c r="R52" s="3"/>
      <c r="S52" s="3"/>
      <c r="T52" s="3"/>
      <c r="U52" s="3"/>
      <c r="V52" s="3"/>
      <c r="W52" s="3"/>
      <c r="X52" s="3"/>
      <c r="Y52" s="3"/>
      <c r="Z52" s="3"/>
    </row>
    <row r="53">
      <c r="A53" s="7"/>
      <c r="B53" s="6"/>
      <c r="C53" s="6"/>
      <c r="D53" s="3"/>
      <c r="E53" s="3"/>
      <c r="F53" s="3"/>
      <c r="G53" s="3"/>
      <c r="H53" s="3"/>
      <c r="I53" s="3"/>
      <c r="J53" s="3"/>
      <c r="K53" s="3"/>
      <c r="L53" s="3"/>
      <c r="M53" s="3"/>
      <c r="N53" s="3"/>
      <c r="O53" s="3"/>
      <c r="P53" s="3"/>
      <c r="Q53" s="3"/>
      <c r="R53" s="3"/>
      <c r="S53" s="3"/>
      <c r="T53" s="3"/>
      <c r="U53" s="3"/>
      <c r="V53" s="3"/>
      <c r="W53" s="3"/>
      <c r="X53" s="3"/>
      <c r="Y53" s="3"/>
      <c r="Z53" s="3"/>
    </row>
    <row r="54">
      <c r="A54" s="7"/>
      <c r="B54" s="6"/>
      <c r="C54" s="6"/>
      <c r="D54" s="3"/>
      <c r="E54" s="3"/>
      <c r="F54" s="3"/>
      <c r="G54" s="3"/>
      <c r="H54" s="3"/>
      <c r="I54" s="3"/>
      <c r="J54" s="3"/>
      <c r="K54" s="3"/>
      <c r="L54" s="3"/>
      <c r="M54" s="3"/>
      <c r="N54" s="3"/>
      <c r="O54" s="3"/>
      <c r="P54" s="3"/>
      <c r="Q54" s="3"/>
      <c r="R54" s="3"/>
      <c r="S54" s="3"/>
      <c r="T54" s="3"/>
      <c r="U54" s="3"/>
      <c r="V54" s="3"/>
      <c r="W54" s="3"/>
      <c r="X54" s="3"/>
      <c r="Y54" s="3"/>
      <c r="Z54" s="3"/>
    </row>
    <row r="55">
      <c r="A55" s="7"/>
      <c r="B55" s="6"/>
      <c r="C55" s="6"/>
      <c r="D55" s="3"/>
      <c r="E55" s="3"/>
      <c r="F55" s="3"/>
      <c r="G55" s="3"/>
      <c r="H55" s="3"/>
      <c r="I55" s="3"/>
      <c r="J55" s="3"/>
      <c r="K55" s="3"/>
      <c r="L55" s="3"/>
      <c r="M55" s="3"/>
      <c r="N55" s="3"/>
      <c r="O55" s="3"/>
      <c r="P55" s="3"/>
      <c r="Q55" s="3"/>
      <c r="R55" s="3"/>
      <c r="S55" s="3"/>
      <c r="T55" s="3"/>
      <c r="U55" s="3"/>
      <c r="V55" s="3"/>
      <c r="W55" s="3"/>
      <c r="X55" s="3"/>
      <c r="Y55" s="3"/>
      <c r="Z55" s="3"/>
    </row>
    <row r="56">
      <c r="A56" s="7"/>
      <c r="B56" s="6"/>
      <c r="C56" s="6"/>
      <c r="D56" s="3"/>
      <c r="E56" s="3"/>
      <c r="F56" s="3"/>
      <c r="G56" s="3"/>
      <c r="H56" s="3"/>
      <c r="I56" s="3"/>
      <c r="J56" s="3"/>
      <c r="K56" s="3"/>
      <c r="L56" s="3"/>
      <c r="M56" s="3"/>
      <c r="N56" s="3"/>
      <c r="O56" s="3"/>
      <c r="P56" s="3"/>
      <c r="Q56" s="3"/>
      <c r="R56" s="3"/>
      <c r="S56" s="3"/>
      <c r="T56" s="3"/>
      <c r="U56" s="3"/>
      <c r="V56" s="3"/>
      <c r="W56" s="3"/>
      <c r="X56" s="3"/>
      <c r="Y56" s="3"/>
      <c r="Z56" s="3"/>
    </row>
    <row r="57">
      <c r="A57" s="7"/>
      <c r="B57" s="6"/>
      <c r="C57" s="6"/>
      <c r="D57" s="3"/>
      <c r="E57" s="3"/>
      <c r="F57" s="3"/>
      <c r="G57" s="3"/>
      <c r="H57" s="3"/>
      <c r="I57" s="3"/>
      <c r="J57" s="3"/>
      <c r="K57" s="3"/>
      <c r="L57" s="3"/>
      <c r="M57" s="3"/>
      <c r="N57" s="3"/>
      <c r="O57" s="3"/>
      <c r="P57" s="3"/>
      <c r="Q57" s="3"/>
      <c r="R57" s="3"/>
      <c r="S57" s="3"/>
      <c r="T57" s="3"/>
      <c r="U57" s="3"/>
      <c r="V57" s="3"/>
      <c r="W57" s="3"/>
      <c r="X57" s="3"/>
      <c r="Y57" s="3"/>
      <c r="Z57" s="3"/>
    </row>
    <row r="58">
      <c r="A58" s="7"/>
      <c r="B58" s="6"/>
      <c r="C58" s="6"/>
      <c r="D58" s="3"/>
      <c r="E58" s="3"/>
      <c r="F58" s="3"/>
      <c r="G58" s="3"/>
      <c r="H58" s="3"/>
      <c r="I58" s="3"/>
      <c r="J58" s="3"/>
      <c r="K58" s="3"/>
      <c r="L58" s="3"/>
      <c r="M58" s="3"/>
      <c r="N58" s="3"/>
      <c r="O58" s="3"/>
      <c r="P58" s="3"/>
      <c r="Q58" s="3"/>
      <c r="R58" s="3"/>
      <c r="S58" s="3"/>
      <c r="T58" s="3"/>
      <c r="U58" s="3"/>
      <c r="V58" s="3"/>
      <c r="W58" s="3"/>
      <c r="X58" s="3"/>
      <c r="Y58" s="3"/>
      <c r="Z58" s="3"/>
    </row>
    <row r="59">
      <c r="A59" s="7"/>
      <c r="B59" s="6"/>
      <c r="C59" s="6"/>
      <c r="D59" s="3"/>
      <c r="E59" s="3"/>
      <c r="F59" s="3"/>
      <c r="G59" s="3"/>
      <c r="H59" s="3"/>
      <c r="I59" s="3"/>
      <c r="J59" s="3"/>
      <c r="K59" s="3"/>
      <c r="L59" s="3"/>
      <c r="M59" s="3"/>
      <c r="N59" s="3"/>
      <c r="O59" s="3"/>
      <c r="P59" s="3"/>
      <c r="Q59" s="3"/>
      <c r="R59" s="3"/>
      <c r="S59" s="3"/>
      <c r="T59" s="3"/>
      <c r="U59" s="3"/>
      <c r="V59" s="3"/>
      <c r="W59" s="3"/>
      <c r="X59" s="3"/>
      <c r="Y59" s="3"/>
      <c r="Z59" s="3"/>
    </row>
    <row r="60">
      <c r="A60" s="7"/>
      <c r="B60" s="6"/>
      <c r="C60" s="6"/>
      <c r="D60" s="3"/>
      <c r="E60" s="3"/>
      <c r="F60" s="3"/>
      <c r="G60" s="3"/>
      <c r="H60" s="3"/>
      <c r="I60" s="3"/>
      <c r="J60" s="3"/>
      <c r="K60" s="3"/>
      <c r="L60" s="3"/>
      <c r="M60" s="3"/>
      <c r="N60" s="3"/>
      <c r="O60" s="3"/>
      <c r="P60" s="3"/>
      <c r="Q60" s="3"/>
      <c r="R60" s="3"/>
      <c r="S60" s="3"/>
      <c r="T60" s="3"/>
      <c r="U60" s="3"/>
      <c r="V60" s="3"/>
      <c r="W60" s="3"/>
      <c r="X60" s="3"/>
      <c r="Y60" s="3"/>
      <c r="Z60" s="3"/>
    </row>
    <row r="61">
      <c r="A61" s="7"/>
      <c r="B61" s="6"/>
      <c r="C61" s="6"/>
      <c r="D61" s="3"/>
      <c r="E61" s="3"/>
      <c r="F61" s="3"/>
      <c r="G61" s="3"/>
      <c r="H61" s="3"/>
      <c r="I61" s="3"/>
      <c r="J61" s="3"/>
      <c r="K61" s="3"/>
      <c r="L61" s="3"/>
      <c r="M61" s="3"/>
      <c r="N61" s="3"/>
      <c r="O61" s="3"/>
      <c r="P61" s="3"/>
      <c r="Q61" s="3"/>
      <c r="R61" s="3"/>
      <c r="S61" s="3"/>
      <c r="T61" s="3"/>
      <c r="U61" s="3"/>
      <c r="V61" s="3"/>
      <c r="W61" s="3"/>
      <c r="X61" s="3"/>
      <c r="Y61" s="3"/>
      <c r="Z61" s="3"/>
    </row>
    <row r="62">
      <c r="A62" s="7"/>
      <c r="B62" s="6"/>
      <c r="C62" s="6"/>
      <c r="D62" s="3"/>
      <c r="E62" s="3"/>
      <c r="F62" s="3"/>
      <c r="G62" s="3"/>
      <c r="H62" s="3"/>
      <c r="I62" s="3"/>
      <c r="J62" s="3"/>
      <c r="K62" s="3"/>
      <c r="L62" s="3"/>
      <c r="M62" s="3"/>
      <c r="N62" s="3"/>
      <c r="O62" s="3"/>
      <c r="P62" s="3"/>
      <c r="Q62" s="3"/>
      <c r="R62" s="3"/>
      <c r="S62" s="3"/>
      <c r="T62" s="3"/>
      <c r="U62" s="3"/>
      <c r="V62" s="3"/>
      <c r="W62" s="3"/>
      <c r="X62" s="3"/>
      <c r="Y62" s="3"/>
      <c r="Z62" s="3"/>
    </row>
    <row r="63">
      <c r="A63" s="7"/>
      <c r="B63" s="6"/>
      <c r="C63" s="6"/>
      <c r="D63" s="3"/>
      <c r="E63" s="3"/>
      <c r="F63" s="3"/>
      <c r="G63" s="3"/>
      <c r="H63" s="3"/>
      <c r="I63" s="3"/>
      <c r="J63" s="3"/>
      <c r="K63" s="3"/>
      <c r="L63" s="3"/>
      <c r="M63" s="3"/>
      <c r="N63" s="3"/>
      <c r="O63" s="3"/>
      <c r="P63" s="3"/>
      <c r="Q63" s="3"/>
      <c r="R63" s="3"/>
      <c r="S63" s="3"/>
      <c r="T63" s="3"/>
      <c r="U63" s="3"/>
      <c r="V63" s="3"/>
      <c r="W63" s="3"/>
      <c r="X63" s="3"/>
      <c r="Y63" s="3"/>
      <c r="Z63" s="3"/>
    </row>
    <row r="64">
      <c r="A64" s="7"/>
      <c r="B64" s="6"/>
      <c r="C64" s="6"/>
      <c r="D64" s="3"/>
      <c r="E64" s="3"/>
      <c r="F64" s="3"/>
      <c r="G64" s="3"/>
      <c r="H64" s="3"/>
      <c r="I64" s="3"/>
      <c r="J64" s="3"/>
      <c r="K64" s="3"/>
      <c r="L64" s="3"/>
      <c r="M64" s="3"/>
      <c r="N64" s="3"/>
      <c r="O64" s="3"/>
      <c r="P64" s="3"/>
      <c r="Q64" s="3"/>
      <c r="R64" s="3"/>
      <c r="S64" s="3"/>
      <c r="T64" s="3"/>
      <c r="U64" s="3"/>
      <c r="V64" s="3"/>
      <c r="W64" s="3"/>
      <c r="X64" s="3"/>
      <c r="Y64" s="3"/>
      <c r="Z64" s="3"/>
    </row>
    <row r="65">
      <c r="A65" s="7"/>
      <c r="B65" s="6"/>
      <c r="C65" s="6"/>
      <c r="D65" s="3"/>
      <c r="E65" s="3"/>
      <c r="F65" s="3"/>
      <c r="G65" s="3"/>
      <c r="H65" s="3"/>
      <c r="I65" s="3"/>
      <c r="J65" s="3"/>
      <c r="K65" s="3"/>
      <c r="L65" s="3"/>
      <c r="M65" s="3"/>
      <c r="N65" s="3"/>
      <c r="O65" s="3"/>
      <c r="P65" s="3"/>
      <c r="Q65" s="3"/>
      <c r="R65" s="3"/>
      <c r="S65" s="3"/>
      <c r="T65" s="3"/>
      <c r="U65" s="3"/>
      <c r="V65" s="3"/>
      <c r="W65" s="3"/>
      <c r="X65" s="3"/>
      <c r="Y65" s="3"/>
      <c r="Z65" s="3"/>
    </row>
    <row r="66">
      <c r="A66" s="7"/>
      <c r="B66" s="6"/>
      <c r="C66" s="6"/>
      <c r="D66" s="3"/>
      <c r="E66" s="3"/>
      <c r="F66" s="3"/>
      <c r="G66" s="3"/>
      <c r="H66" s="3"/>
      <c r="I66" s="3"/>
      <c r="J66" s="3"/>
      <c r="K66" s="3"/>
      <c r="L66" s="3"/>
      <c r="M66" s="3"/>
      <c r="N66" s="3"/>
      <c r="O66" s="3"/>
      <c r="P66" s="3"/>
      <c r="Q66" s="3"/>
      <c r="R66" s="3"/>
      <c r="S66" s="3"/>
      <c r="T66" s="3"/>
      <c r="U66" s="3"/>
      <c r="V66" s="3"/>
      <c r="W66" s="3"/>
      <c r="X66" s="3"/>
      <c r="Y66" s="3"/>
      <c r="Z66" s="3"/>
    </row>
    <row r="67">
      <c r="A67" s="7"/>
      <c r="B67" s="6"/>
      <c r="C67" s="6"/>
      <c r="D67" s="3"/>
      <c r="E67" s="3"/>
      <c r="F67" s="3"/>
      <c r="G67" s="3"/>
      <c r="H67" s="3"/>
      <c r="I67" s="3"/>
      <c r="J67" s="3"/>
      <c r="K67" s="3"/>
      <c r="L67" s="3"/>
      <c r="M67" s="3"/>
      <c r="N67" s="3"/>
      <c r="O67" s="3"/>
      <c r="P67" s="3"/>
      <c r="Q67" s="3"/>
      <c r="R67" s="3"/>
      <c r="S67" s="3"/>
      <c r="T67" s="3"/>
      <c r="U67" s="3"/>
      <c r="V67" s="3"/>
      <c r="W67" s="3"/>
      <c r="X67" s="3"/>
      <c r="Y67" s="3"/>
      <c r="Z67" s="3"/>
    </row>
    <row r="68">
      <c r="A68" s="7"/>
      <c r="B68" s="6"/>
      <c r="C68" s="6"/>
      <c r="D68" s="3"/>
      <c r="E68" s="3"/>
      <c r="F68" s="3"/>
      <c r="G68" s="3"/>
      <c r="H68" s="3"/>
      <c r="I68" s="3"/>
      <c r="J68" s="3"/>
      <c r="K68" s="3"/>
      <c r="L68" s="3"/>
      <c r="M68" s="3"/>
      <c r="N68" s="3"/>
      <c r="O68" s="3"/>
      <c r="P68" s="3"/>
      <c r="Q68" s="3"/>
      <c r="R68" s="3"/>
      <c r="S68" s="3"/>
      <c r="T68" s="3"/>
      <c r="U68" s="3"/>
      <c r="V68" s="3"/>
      <c r="W68" s="3"/>
      <c r="X68" s="3"/>
      <c r="Y68" s="3"/>
      <c r="Z68" s="3"/>
    </row>
    <row r="69">
      <c r="A69" s="7"/>
      <c r="B69" s="6"/>
      <c r="C69" s="6"/>
      <c r="D69" s="3"/>
      <c r="E69" s="3"/>
      <c r="F69" s="3"/>
      <c r="G69" s="3"/>
      <c r="H69" s="3"/>
      <c r="I69" s="3"/>
      <c r="J69" s="3"/>
      <c r="K69" s="3"/>
      <c r="L69" s="3"/>
      <c r="M69" s="3"/>
      <c r="N69" s="3"/>
      <c r="O69" s="3"/>
      <c r="P69" s="3"/>
      <c r="Q69" s="3"/>
      <c r="R69" s="3"/>
      <c r="S69" s="3"/>
      <c r="T69" s="3"/>
      <c r="U69" s="3"/>
      <c r="V69" s="3"/>
      <c r="W69" s="3"/>
      <c r="X69" s="3"/>
      <c r="Y69" s="3"/>
      <c r="Z69" s="3"/>
    </row>
    <row r="70">
      <c r="A70" s="7"/>
      <c r="B70" s="6"/>
      <c r="C70" s="6"/>
      <c r="D70" s="3"/>
      <c r="E70" s="3"/>
      <c r="F70" s="3"/>
      <c r="G70" s="3"/>
      <c r="H70" s="3"/>
      <c r="I70" s="3"/>
      <c r="J70" s="3"/>
      <c r="K70" s="3"/>
      <c r="L70" s="3"/>
      <c r="M70" s="3"/>
      <c r="N70" s="3"/>
      <c r="O70" s="3"/>
      <c r="P70" s="3"/>
      <c r="Q70" s="3"/>
      <c r="R70" s="3"/>
      <c r="S70" s="3"/>
      <c r="T70" s="3"/>
      <c r="U70" s="3"/>
      <c r="V70" s="3"/>
      <c r="W70" s="3"/>
      <c r="X70" s="3"/>
      <c r="Y70" s="3"/>
      <c r="Z70" s="3"/>
    </row>
    <row r="71">
      <c r="A71" s="7"/>
      <c r="B71" s="6"/>
      <c r="C71" s="6"/>
      <c r="D71" s="3"/>
      <c r="E71" s="3"/>
      <c r="F71" s="3"/>
      <c r="G71" s="3"/>
      <c r="H71" s="3"/>
      <c r="I71" s="3"/>
      <c r="J71" s="3"/>
      <c r="K71" s="3"/>
      <c r="L71" s="3"/>
      <c r="M71" s="3"/>
      <c r="N71" s="3"/>
      <c r="O71" s="3"/>
      <c r="P71" s="3"/>
      <c r="Q71" s="3"/>
      <c r="R71" s="3"/>
      <c r="S71" s="3"/>
      <c r="T71" s="3"/>
      <c r="U71" s="3"/>
      <c r="V71" s="3"/>
      <c r="W71" s="3"/>
      <c r="X71" s="3"/>
      <c r="Y71" s="3"/>
      <c r="Z71" s="3"/>
    </row>
    <row r="72">
      <c r="A72" s="7"/>
      <c r="B72" s="6"/>
      <c r="C72" s="6"/>
      <c r="D72" s="3"/>
      <c r="E72" s="3"/>
      <c r="F72" s="3"/>
      <c r="G72" s="3"/>
      <c r="H72" s="3"/>
      <c r="I72" s="3"/>
      <c r="J72" s="3"/>
      <c r="K72" s="3"/>
      <c r="L72" s="3"/>
      <c r="M72" s="3"/>
      <c r="N72" s="3"/>
      <c r="O72" s="3"/>
      <c r="P72" s="3"/>
      <c r="Q72" s="3"/>
      <c r="R72" s="3"/>
      <c r="S72" s="3"/>
      <c r="T72" s="3"/>
      <c r="U72" s="3"/>
      <c r="V72" s="3"/>
      <c r="W72" s="3"/>
      <c r="X72" s="3"/>
      <c r="Y72" s="3"/>
      <c r="Z72" s="3"/>
    </row>
    <row r="73">
      <c r="A73" s="7"/>
      <c r="B73" s="6"/>
      <c r="C73" s="6"/>
      <c r="D73" s="3"/>
      <c r="E73" s="3"/>
      <c r="F73" s="3"/>
      <c r="G73" s="3"/>
      <c r="H73" s="3"/>
      <c r="I73" s="3"/>
      <c r="J73" s="3"/>
      <c r="K73" s="3"/>
      <c r="L73" s="3"/>
      <c r="M73" s="3"/>
      <c r="N73" s="3"/>
      <c r="O73" s="3"/>
      <c r="P73" s="3"/>
      <c r="Q73" s="3"/>
      <c r="R73" s="3"/>
      <c r="S73" s="3"/>
      <c r="T73" s="3"/>
      <c r="U73" s="3"/>
      <c r="V73" s="3"/>
      <c r="W73" s="3"/>
      <c r="X73" s="3"/>
      <c r="Y73" s="3"/>
      <c r="Z73" s="3"/>
    </row>
    <row r="74">
      <c r="A74" s="7"/>
      <c r="B74" s="6"/>
      <c r="C74" s="6"/>
      <c r="D74" s="3"/>
      <c r="E74" s="3"/>
      <c r="F74" s="3"/>
      <c r="G74" s="3"/>
      <c r="H74" s="3"/>
      <c r="I74" s="3"/>
      <c r="J74" s="3"/>
      <c r="K74" s="3"/>
      <c r="L74" s="3"/>
      <c r="M74" s="3"/>
      <c r="N74" s="3"/>
      <c r="O74" s="3"/>
      <c r="P74" s="3"/>
      <c r="Q74" s="3"/>
      <c r="R74" s="3"/>
      <c r="S74" s="3"/>
      <c r="T74" s="3"/>
      <c r="U74" s="3"/>
      <c r="V74" s="3"/>
      <c r="W74" s="3"/>
      <c r="X74" s="3"/>
      <c r="Y74" s="3"/>
      <c r="Z74" s="3"/>
    </row>
    <row r="75">
      <c r="A75" s="7"/>
      <c r="B75" s="6"/>
      <c r="C75" s="6"/>
      <c r="D75" s="3"/>
      <c r="E75" s="3"/>
      <c r="F75" s="3"/>
      <c r="G75" s="3"/>
      <c r="H75" s="3"/>
      <c r="I75" s="3"/>
      <c r="J75" s="3"/>
      <c r="K75" s="3"/>
      <c r="L75" s="3"/>
      <c r="M75" s="3"/>
      <c r="N75" s="3"/>
      <c r="O75" s="3"/>
      <c r="P75" s="3"/>
      <c r="Q75" s="3"/>
      <c r="R75" s="3"/>
      <c r="S75" s="3"/>
      <c r="T75" s="3"/>
      <c r="U75" s="3"/>
      <c r="V75" s="3"/>
      <c r="W75" s="3"/>
      <c r="X75" s="3"/>
      <c r="Y75" s="3"/>
      <c r="Z75" s="3"/>
    </row>
    <row r="76">
      <c r="A76" s="7"/>
      <c r="B76" s="6"/>
      <c r="C76" s="6"/>
      <c r="D76" s="3"/>
      <c r="E76" s="3"/>
      <c r="F76" s="3"/>
      <c r="G76" s="3"/>
      <c r="H76" s="3"/>
      <c r="I76" s="3"/>
      <c r="J76" s="3"/>
      <c r="K76" s="3"/>
      <c r="L76" s="3"/>
      <c r="M76" s="3"/>
      <c r="N76" s="3"/>
      <c r="O76" s="3"/>
      <c r="P76" s="3"/>
      <c r="Q76" s="3"/>
      <c r="R76" s="3"/>
      <c r="S76" s="3"/>
      <c r="T76" s="3"/>
      <c r="U76" s="3"/>
      <c r="V76" s="3"/>
      <c r="W76" s="3"/>
      <c r="X76" s="3"/>
      <c r="Y76" s="3"/>
      <c r="Z76" s="3"/>
    </row>
    <row r="77">
      <c r="A77" s="7"/>
      <c r="B77" s="6"/>
      <c r="C77" s="6"/>
      <c r="D77" s="3"/>
      <c r="E77" s="3"/>
      <c r="F77" s="3"/>
      <c r="G77" s="3"/>
      <c r="H77" s="3"/>
      <c r="I77" s="3"/>
      <c r="J77" s="3"/>
      <c r="K77" s="3"/>
      <c r="L77" s="3"/>
      <c r="M77" s="3"/>
      <c r="N77" s="3"/>
      <c r="O77" s="3"/>
      <c r="P77" s="3"/>
      <c r="Q77" s="3"/>
      <c r="R77" s="3"/>
      <c r="S77" s="3"/>
      <c r="T77" s="3"/>
      <c r="U77" s="3"/>
      <c r="V77" s="3"/>
      <c r="W77" s="3"/>
      <c r="X77" s="3"/>
      <c r="Y77" s="3"/>
      <c r="Z77" s="3"/>
    </row>
    <row r="78">
      <c r="A78" s="7"/>
      <c r="B78" s="6"/>
      <c r="C78" s="6"/>
      <c r="D78" s="3"/>
      <c r="E78" s="3"/>
      <c r="F78" s="3"/>
      <c r="G78" s="3"/>
      <c r="H78" s="3"/>
      <c r="I78" s="3"/>
      <c r="J78" s="3"/>
      <c r="K78" s="3"/>
      <c r="L78" s="3"/>
      <c r="M78" s="3"/>
      <c r="N78" s="3"/>
      <c r="O78" s="3"/>
      <c r="P78" s="3"/>
      <c r="Q78" s="3"/>
      <c r="R78" s="3"/>
      <c r="S78" s="3"/>
      <c r="T78" s="3"/>
      <c r="U78" s="3"/>
      <c r="V78" s="3"/>
      <c r="W78" s="3"/>
      <c r="X78" s="3"/>
      <c r="Y78" s="3"/>
      <c r="Z78" s="3"/>
    </row>
    <row r="79">
      <c r="A79" s="7"/>
      <c r="B79" s="6"/>
      <c r="C79" s="6"/>
      <c r="D79" s="3"/>
      <c r="E79" s="3"/>
      <c r="F79" s="3"/>
      <c r="G79" s="3"/>
      <c r="H79" s="3"/>
      <c r="I79" s="3"/>
      <c r="J79" s="3"/>
      <c r="K79" s="3"/>
      <c r="L79" s="3"/>
      <c r="M79" s="3"/>
      <c r="N79" s="3"/>
      <c r="O79" s="3"/>
      <c r="P79" s="3"/>
      <c r="Q79" s="3"/>
      <c r="R79" s="3"/>
      <c r="S79" s="3"/>
      <c r="T79" s="3"/>
      <c r="U79" s="3"/>
      <c r="V79" s="3"/>
      <c r="W79" s="3"/>
      <c r="X79" s="3"/>
      <c r="Y79" s="3"/>
      <c r="Z79" s="3"/>
    </row>
    <row r="80">
      <c r="A80" s="7"/>
      <c r="B80" s="6"/>
      <c r="C80" s="6"/>
      <c r="D80" s="3"/>
      <c r="E80" s="3"/>
      <c r="F80" s="3"/>
      <c r="G80" s="3"/>
      <c r="H80" s="3"/>
      <c r="I80" s="3"/>
      <c r="J80" s="3"/>
      <c r="K80" s="3"/>
      <c r="L80" s="3"/>
      <c r="M80" s="3"/>
      <c r="N80" s="3"/>
      <c r="O80" s="3"/>
      <c r="P80" s="3"/>
      <c r="Q80" s="3"/>
      <c r="R80" s="3"/>
      <c r="S80" s="3"/>
      <c r="T80" s="3"/>
      <c r="U80" s="3"/>
      <c r="V80" s="3"/>
      <c r="W80" s="3"/>
      <c r="X80" s="3"/>
      <c r="Y80" s="3"/>
      <c r="Z80" s="3"/>
    </row>
    <row r="81">
      <c r="A81" s="7"/>
      <c r="B81" s="6"/>
      <c r="C81" s="6"/>
      <c r="D81" s="3"/>
      <c r="E81" s="3"/>
      <c r="F81" s="3"/>
      <c r="G81" s="3"/>
      <c r="H81" s="3"/>
      <c r="I81" s="3"/>
      <c r="J81" s="3"/>
      <c r="K81" s="3"/>
      <c r="L81" s="3"/>
      <c r="M81" s="3"/>
      <c r="N81" s="3"/>
      <c r="O81" s="3"/>
      <c r="P81" s="3"/>
      <c r="Q81" s="3"/>
      <c r="R81" s="3"/>
      <c r="S81" s="3"/>
      <c r="T81" s="3"/>
      <c r="U81" s="3"/>
      <c r="V81" s="3"/>
      <c r="W81" s="3"/>
      <c r="X81" s="3"/>
      <c r="Y81" s="3"/>
      <c r="Z81" s="3"/>
    </row>
    <row r="82">
      <c r="A82" s="7"/>
      <c r="B82" s="6"/>
      <c r="C82" s="6"/>
      <c r="D82" s="3"/>
      <c r="E82" s="3"/>
      <c r="F82" s="3"/>
      <c r="G82" s="3"/>
      <c r="H82" s="3"/>
      <c r="I82" s="3"/>
      <c r="J82" s="3"/>
      <c r="K82" s="3"/>
      <c r="L82" s="3"/>
      <c r="M82" s="3"/>
      <c r="N82" s="3"/>
      <c r="O82" s="3"/>
      <c r="P82" s="3"/>
      <c r="Q82" s="3"/>
      <c r="R82" s="3"/>
      <c r="S82" s="3"/>
      <c r="T82" s="3"/>
      <c r="U82" s="3"/>
      <c r="V82" s="3"/>
      <c r="W82" s="3"/>
      <c r="X82" s="3"/>
      <c r="Y82" s="3"/>
      <c r="Z82" s="3"/>
    </row>
    <row r="83">
      <c r="A83" s="7"/>
      <c r="B83" s="6"/>
      <c r="C83" s="6"/>
      <c r="D83" s="3"/>
      <c r="E83" s="3"/>
      <c r="F83" s="3"/>
      <c r="G83" s="3"/>
      <c r="H83" s="3"/>
      <c r="I83" s="3"/>
      <c r="J83" s="3"/>
      <c r="K83" s="3"/>
      <c r="L83" s="3"/>
      <c r="M83" s="3"/>
      <c r="N83" s="3"/>
      <c r="O83" s="3"/>
      <c r="P83" s="3"/>
      <c r="Q83" s="3"/>
      <c r="R83" s="3"/>
      <c r="S83" s="3"/>
      <c r="T83" s="3"/>
      <c r="U83" s="3"/>
      <c r="V83" s="3"/>
      <c r="W83" s="3"/>
      <c r="X83" s="3"/>
      <c r="Y83" s="3"/>
      <c r="Z83" s="3"/>
    </row>
    <row r="84">
      <c r="A84" s="7"/>
      <c r="B84" s="6"/>
      <c r="C84" s="6"/>
      <c r="D84" s="3"/>
      <c r="E84" s="3"/>
      <c r="F84" s="3"/>
      <c r="G84" s="3"/>
      <c r="H84" s="3"/>
      <c r="I84" s="3"/>
      <c r="J84" s="3"/>
      <c r="K84" s="3"/>
      <c r="L84" s="3"/>
      <c r="M84" s="3"/>
      <c r="N84" s="3"/>
      <c r="O84" s="3"/>
      <c r="P84" s="3"/>
      <c r="Q84" s="3"/>
      <c r="R84" s="3"/>
      <c r="S84" s="3"/>
      <c r="T84" s="3"/>
      <c r="U84" s="3"/>
      <c r="V84" s="3"/>
      <c r="W84" s="3"/>
      <c r="X84" s="3"/>
      <c r="Y84" s="3"/>
      <c r="Z84" s="3"/>
    </row>
    <row r="85">
      <c r="A85" s="7"/>
      <c r="B85" s="6"/>
      <c r="C85" s="6"/>
      <c r="D85" s="3"/>
      <c r="E85" s="3"/>
      <c r="F85" s="3"/>
      <c r="G85" s="3"/>
      <c r="H85" s="3"/>
      <c r="I85" s="3"/>
      <c r="J85" s="3"/>
      <c r="K85" s="3"/>
      <c r="L85" s="3"/>
      <c r="M85" s="3"/>
      <c r="N85" s="3"/>
      <c r="O85" s="3"/>
      <c r="P85" s="3"/>
      <c r="Q85" s="3"/>
      <c r="R85" s="3"/>
      <c r="S85" s="3"/>
      <c r="T85" s="3"/>
      <c r="U85" s="3"/>
      <c r="V85" s="3"/>
      <c r="W85" s="3"/>
      <c r="X85" s="3"/>
      <c r="Y85" s="3"/>
      <c r="Z85" s="3"/>
    </row>
    <row r="86">
      <c r="A86" s="7"/>
      <c r="B86" s="6"/>
      <c r="C86" s="6"/>
      <c r="D86" s="3"/>
      <c r="E86" s="3"/>
      <c r="F86" s="3"/>
      <c r="G86" s="3"/>
      <c r="H86" s="3"/>
      <c r="I86" s="3"/>
      <c r="J86" s="3"/>
      <c r="K86" s="3"/>
      <c r="L86" s="3"/>
      <c r="M86" s="3"/>
      <c r="N86" s="3"/>
      <c r="O86" s="3"/>
      <c r="P86" s="3"/>
      <c r="Q86" s="3"/>
      <c r="R86" s="3"/>
      <c r="S86" s="3"/>
      <c r="T86" s="3"/>
      <c r="U86" s="3"/>
      <c r="V86" s="3"/>
      <c r="W86" s="3"/>
      <c r="X86" s="3"/>
      <c r="Y86" s="3"/>
      <c r="Z86" s="3"/>
    </row>
    <row r="87">
      <c r="A87" s="7"/>
      <c r="B87" s="6"/>
      <c r="C87" s="6"/>
      <c r="D87" s="3"/>
      <c r="E87" s="3"/>
      <c r="F87" s="3"/>
      <c r="G87" s="3"/>
      <c r="H87" s="3"/>
      <c r="I87" s="3"/>
      <c r="J87" s="3"/>
      <c r="K87" s="3"/>
      <c r="L87" s="3"/>
      <c r="M87" s="3"/>
      <c r="N87" s="3"/>
      <c r="O87" s="3"/>
      <c r="P87" s="3"/>
      <c r="Q87" s="3"/>
      <c r="R87" s="3"/>
      <c r="S87" s="3"/>
      <c r="T87" s="3"/>
      <c r="U87" s="3"/>
      <c r="V87" s="3"/>
      <c r="W87" s="3"/>
      <c r="X87" s="3"/>
      <c r="Y87" s="3"/>
      <c r="Z87" s="3"/>
    </row>
    <row r="88">
      <c r="A88" s="7"/>
      <c r="B88" s="6"/>
      <c r="C88" s="6"/>
      <c r="D88" s="3"/>
      <c r="E88" s="3"/>
      <c r="F88" s="3"/>
      <c r="G88" s="3"/>
      <c r="H88" s="3"/>
      <c r="I88" s="3"/>
      <c r="J88" s="3"/>
      <c r="K88" s="3"/>
      <c r="L88" s="3"/>
      <c r="M88" s="3"/>
      <c r="N88" s="3"/>
      <c r="O88" s="3"/>
      <c r="P88" s="3"/>
      <c r="Q88" s="3"/>
      <c r="R88" s="3"/>
      <c r="S88" s="3"/>
      <c r="T88" s="3"/>
      <c r="U88" s="3"/>
      <c r="V88" s="3"/>
      <c r="W88" s="3"/>
      <c r="X88" s="3"/>
      <c r="Y88" s="3"/>
      <c r="Z88" s="3"/>
    </row>
    <row r="89">
      <c r="A89" s="7"/>
      <c r="B89" s="6"/>
      <c r="C89" s="6"/>
      <c r="D89" s="3"/>
      <c r="E89" s="3"/>
      <c r="F89" s="3"/>
      <c r="G89" s="3"/>
      <c r="H89" s="3"/>
      <c r="I89" s="3"/>
      <c r="J89" s="3"/>
      <c r="K89" s="3"/>
      <c r="L89" s="3"/>
      <c r="M89" s="3"/>
      <c r="N89" s="3"/>
      <c r="O89" s="3"/>
      <c r="P89" s="3"/>
      <c r="Q89" s="3"/>
      <c r="R89" s="3"/>
      <c r="S89" s="3"/>
      <c r="T89" s="3"/>
      <c r="U89" s="3"/>
      <c r="V89" s="3"/>
      <c r="W89" s="3"/>
      <c r="X89" s="3"/>
      <c r="Y89" s="3"/>
      <c r="Z89" s="3"/>
    </row>
    <row r="90">
      <c r="A90" s="7"/>
      <c r="B90" s="6"/>
      <c r="C90" s="6"/>
      <c r="D90" s="3"/>
      <c r="E90" s="3"/>
      <c r="F90" s="3"/>
      <c r="G90" s="3"/>
      <c r="H90" s="3"/>
      <c r="I90" s="3"/>
      <c r="J90" s="3"/>
      <c r="K90" s="3"/>
      <c r="L90" s="3"/>
      <c r="M90" s="3"/>
      <c r="N90" s="3"/>
      <c r="O90" s="3"/>
      <c r="P90" s="3"/>
      <c r="Q90" s="3"/>
      <c r="R90" s="3"/>
      <c r="S90" s="3"/>
      <c r="T90" s="3"/>
      <c r="U90" s="3"/>
      <c r="V90" s="3"/>
      <c r="W90" s="3"/>
      <c r="X90" s="3"/>
      <c r="Y90" s="3"/>
      <c r="Z90" s="3"/>
    </row>
    <row r="91">
      <c r="A91" s="7"/>
      <c r="B91" s="6"/>
      <c r="C91" s="6"/>
      <c r="D91" s="3"/>
      <c r="E91" s="3"/>
      <c r="F91" s="3"/>
      <c r="G91" s="3"/>
      <c r="H91" s="3"/>
      <c r="I91" s="3"/>
      <c r="J91" s="3"/>
      <c r="K91" s="3"/>
      <c r="L91" s="3"/>
      <c r="M91" s="3"/>
      <c r="N91" s="3"/>
      <c r="O91" s="3"/>
      <c r="P91" s="3"/>
      <c r="Q91" s="3"/>
      <c r="R91" s="3"/>
      <c r="S91" s="3"/>
      <c r="T91" s="3"/>
      <c r="U91" s="3"/>
      <c r="V91" s="3"/>
      <c r="W91" s="3"/>
      <c r="X91" s="3"/>
      <c r="Y91" s="3"/>
      <c r="Z91" s="3"/>
    </row>
    <row r="92">
      <c r="A92" s="7"/>
      <c r="B92" s="6"/>
      <c r="C92" s="6"/>
      <c r="D92" s="3"/>
      <c r="E92" s="3"/>
      <c r="F92" s="3"/>
      <c r="G92" s="3"/>
      <c r="H92" s="3"/>
      <c r="I92" s="3"/>
      <c r="J92" s="3"/>
      <c r="K92" s="3"/>
      <c r="L92" s="3"/>
      <c r="M92" s="3"/>
      <c r="N92" s="3"/>
      <c r="O92" s="3"/>
      <c r="P92" s="3"/>
      <c r="Q92" s="3"/>
      <c r="R92" s="3"/>
      <c r="S92" s="3"/>
      <c r="T92" s="3"/>
      <c r="U92" s="3"/>
      <c r="V92" s="3"/>
      <c r="W92" s="3"/>
      <c r="X92" s="3"/>
      <c r="Y92" s="3"/>
      <c r="Z92" s="3"/>
    </row>
    <row r="93">
      <c r="A93" s="7"/>
      <c r="B93" s="6"/>
      <c r="C93" s="6"/>
      <c r="D93" s="3"/>
      <c r="E93" s="3"/>
      <c r="F93" s="3"/>
      <c r="G93" s="3"/>
      <c r="H93" s="3"/>
      <c r="I93" s="3"/>
      <c r="J93" s="3"/>
      <c r="K93" s="3"/>
      <c r="L93" s="3"/>
      <c r="M93" s="3"/>
      <c r="N93" s="3"/>
      <c r="O93" s="3"/>
      <c r="P93" s="3"/>
      <c r="Q93" s="3"/>
      <c r="R93" s="3"/>
      <c r="S93" s="3"/>
      <c r="T93" s="3"/>
      <c r="U93" s="3"/>
      <c r="V93" s="3"/>
      <c r="W93" s="3"/>
      <c r="X93" s="3"/>
      <c r="Y93" s="3"/>
      <c r="Z93" s="3"/>
    </row>
    <row r="94">
      <c r="A94" s="7"/>
      <c r="B94" s="6"/>
      <c r="C94" s="6"/>
      <c r="D94" s="3"/>
      <c r="E94" s="3"/>
      <c r="F94" s="3"/>
      <c r="G94" s="3"/>
      <c r="H94" s="3"/>
      <c r="I94" s="3"/>
      <c r="J94" s="3"/>
      <c r="K94" s="3"/>
      <c r="L94" s="3"/>
      <c r="M94" s="3"/>
      <c r="N94" s="3"/>
      <c r="O94" s="3"/>
      <c r="P94" s="3"/>
      <c r="Q94" s="3"/>
      <c r="R94" s="3"/>
      <c r="S94" s="3"/>
      <c r="T94" s="3"/>
      <c r="U94" s="3"/>
      <c r="V94" s="3"/>
      <c r="W94" s="3"/>
      <c r="X94" s="3"/>
      <c r="Y94" s="3"/>
      <c r="Z94" s="3"/>
    </row>
    <row r="95">
      <c r="A95" s="7"/>
      <c r="B95" s="6"/>
      <c r="C95" s="6"/>
      <c r="D95" s="3"/>
      <c r="E95" s="3"/>
      <c r="F95" s="3"/>
      <c r="G95" s="3"/>
      <c r="H95" s="3"/>
      <c r="I95" s="3"/>
      <c r="J95" s="3"/>
      <c r="K95" s="3"/>
      <c r="L95" s="3"/>
      <c r="M95" s="3"/>
      <c r="N95" s="3"/>
      <c r="O95" s="3"/>
      <c r="P95" s="3"/>
      <c r="Q95" s="3"/>
      <c r="R95" s="3"/>
      <c r="S95" s="3"/>
      <c r="T95" s="3"/>
      <c r="U95" s="3"/>
      <c r="V95" s="3"/>
      <c r="W95" s="3"/>
      <c r="X95" s="3"/>
      <c r="Y95" s="3"/>
      <c r="Z95" s="3"/>
    </row>
    <row r="96">
      <c r="A96" s="7"/>
      <c r="B96" s="6"/>
      <c r="C96" s="6"/>
      <c r="D96" s="3"/>
      <c r="E96" s="3"/>
      <c r="F96" s="3"/>
      <c r="G96" s="3"/>
      <c r="H96" s="3"/>
      <c r="I96" s="3"/>
      <c r="J96" s="3"/>
      <c r="K96" s="3"/>
      <c r="L96" s="3"/>
      <c r="M96" s="3"/>
      <c r="N96" s="3"/>
      <c r="O96" s="3"/>
      <c r="P96" s="3"/>
      <c r="Q96" s="3"/>
      <c r="R96" s="3"/>
      <c r="S96" s="3"/>
      <c r="T96" s="3"/>
      <c r="U96" s="3"/>
      <c r="V96" s="3"/>
      <c r="W96" s="3"/>
      <c r="X96" s="3"/>
      <c r="Y96" s="3"/>
      <c r="Z96" s="3"/>
    </row>
    <row r="97">
      <c r="A97" s="7"/>
      <c r="B97" s="6"/>
      <c r="C97" s="6"/>
      <c r="D97" s="3"/>
      <c r="E97" s="3"/>
      <c r="F97" s="3"/>
      <c r="G97" s="3"/>
      <c r="H97" s="3"/>
      <c r="I97" s="3"/>
      <c r="J97" s="3"/>
      <c r="K97" s="3"/>
      <c r="L97" s="3"/>
      <c r="M97" s="3"/>
      <c r="N97" s="3"/>
      <c r="O97" s="3"/>
      <c r="P97" s="3"/>
      <c r="Q97" s="3"/>
      <c r="R97" s="3"/>
      <c r="S97" s="3"/>
      <c r="T97" s="3"/>
      <c r="U97" s="3"/>
      <c r="V97" s="3"/>
      <c r="W97" s="3"/>
      <c r="X97" s="3"/>
      <c r="Y97" s="3"/>
      <c r="Z97" s="3"/>
    </row>
    <row r="98">
      <c r="A98" s="7"/>
      <c r="B98" s="6"/>
      <c r="C98" s="6"/>
      <c r="D98" s="3"/>
      <c r="E98" s="3"/>
      <c r="F98" s="3"/>
      <c r="G98" s="3"/>
      <c r="H98" s="3"/>
      <c r="I98" s="3"/>
      <c r="J98" s="3"/>
      <c r="K98" s="3"/>
      <c r="L98" s="3"/>
      <c r="M98" s="3"/>
      <c r="N98" s="3"/>
      <c r="O98" s="3"/>
      <c r="P98" s="3"/>
      <c r="Q98" s="3"/>
      <c r="R98" s="3"/>
      <c r="S98" s="3"/>
      <c r="T98" s="3"/>
      <c r="U98" s="3"/>
      <c r="V98" s="3"/>
      <c r="W98" s="3"/>
      <c r="X98" s="3"/>
      <c r="Y98" s="3"/>
      <c r="Z98" s="3"/>
    </row>
    <row r="99">
      <c r="A99" s="7"/>
      <c r="B99" s="6"/>
      <c r="C99" s="6"/>
      <c r="D99" s="3"/>
      <c r="E99" s="3"/>
      <c r="F99" s="3"/>
      <c r="G99" s="3"/>
      <c r="H99" s="3"/>
      <c r="I99" s="3"/>
      <c r="J99" s="3"/>
      <c r="K99" s="3"/>
      <c r="L99" s="3"/>
      <c r="M99" s="3"/>
      <c r="N99" s="3"/>
      <c r="O99" s="3"/>
      <c r="P99" s="3"/>
      <c r="Q99" s="3"/>
      <c r="R99" s="3"/>
      <c r="S99" s="3"/>
      <c r="T99" s="3"/>
      <c r="U99" s="3"/>
      <c r="V99" s="3"/>
      <c r="W99" s="3"/>
      <c r="X99" s="3"/>
      <c r="Y99" s="3"/>
      <c r="Z99" s="3"/>
    </row>
    <row r="100">
      <c r="A100" s="7"/>
      <c r="B100" s="6"/>
      <c r="C100" s="6"/>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6"/>
      <c r="C101" s="6"/>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6"/>
      <c r="C102" s="6"/>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6"/>
      <c r="C103" s="6"/>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6"/>
      <c r="C104" s="6"/>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6"/>
      <c r="C105" s="6"/>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6"/>
      <c r="C106" s="6"/>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6"/>
      <c r="C107" s="6"/>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6"/>
      <c r="C108" s="6"/>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6"/>
      <c r="C109" s="6"/>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6"/>
      <c r="C110" s="6"/>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6"/>
      <c r="C111" s="6"/>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6"/>
      <c r="C112" s="6"/>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6"/>
      <c r="C113" s="6"/>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6"/>
      <c r="C114" s="6"/>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6"/>
      <c r="C115" s="6"/>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6"/>
      <c r="C116" s="6"/>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6"/>
      <c r="C117" s="6"/>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6"/>
      <c r="C118" s="6"/>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6"/>
      <c r="C119" s="6"/>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6"/>
      <c r="C120" s="6"/>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6"/>
      <c r="C121" s="6"/>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6"/>
      <c r="C122" s="6"/>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6"/>
      <c r="C123" s="6"/>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6"/>
      <c r="C124" s="6"/>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6"/>
      <c r="C125" s="6"/>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6"/>
      <c r="C126" s="6"/>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6"/>
      <c r="C127" s="6"/>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6"/>
      <c r="C128" s="6"/>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6"/>
      <c r="C129" s="6"/>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6"/>
      <c r="C130" s="6"/>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6"/>
      <c r="C131" s="6"/>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6"/>
      <c r="C132" s="6"/>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6"/>
      <c r="C133" s="6"/>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6"/>
      <c r="C134" s="6"/>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6"/>
      <c r="C135" s="6"/>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6"/>
      <c r="C136" s="6"/>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6"/>
      <c r="C137" s="6"/>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6"/>
      <c r="C138" s="6"/>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6"/>
      <c r="C139" s="6"/>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6"/>
      <c r="C140" s="6"/>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6"/>
      <c r="C141" s="6"/>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6"/>
      <c r="C142" s="6"/>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6"/>
      <c r="C143" s="6"/>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6"/>
      <c r="C144" s="6"/>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6"/>
      <c r="C145" s="6"/>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6"/>
      <c r="C146" s="6"/>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6"/>
      <c r="C147" s="6"/>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6"/>
      <c r="C148" s="6"/>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6"/>
      <c r="C149" s="6"/>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6"/>
      <c r="C150" s="6"/>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6"/>
      <c r="C151" s="6"/>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6"/>
      <c r="C152" s="6"/>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6"/>
      <c r="C153" s="6"/>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6"/>
      <c r="C154" s="6"/>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6"/>
      <c r="C155" s="6"/>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6"/>
      <c r="C156" s="6"/>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6"/>
      <c r="C157" s="6"/>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6"/>
      <c r="C158" s="6"/>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6"/>
      <c r="C159" s="6"/>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6"/>
      <c r="C160" s="6"/>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6"/>
      <c r="C161" s="6"/>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6"/>
      <c r="C162" s="6"/>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6"/>
      <c r="C163" s="6"/>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6"/>
      <c r="C164" s="6"/>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6"/>
      <c r="C165" s="6"/>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6"/>
      <c r="C166" s="6"/>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6"/>
      <c r="C167" s="6"/>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6"/>
      <c r="C168" s="6"/>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6"/>
      <c r="C169" s="6"/>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6"/>
      <c r="C170" s="6"/>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6"/>
      <c r="C171" s="6"/>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6"/>
      <c r="C172" s="6"/>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6"/>
      <c r="C173" s="6"/>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6"/>
      <c r="C174" s="6"/>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6"/>
      <c r="C175" s="6"/>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6"/>
      <c r="C176" s="6"/>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6"/>
      <c r="C177" s="6"/>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6"/>
      <c r="C178" s="6"/>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6"/>
      <c r="C179" s="6"/>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6"/>
      <c r="C180" s="6"/>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6"/>
      <c r="C181" s="6"/>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6"/>
      <c r="C182" s="6"/>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6"/>
      <c r="C183" s="6"/>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6"/>
      <c r="C184" s="6"/>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6"/>
      <c r="C185" s="6"/>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6"/>
      <c r="C186" s="6"/>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6"/>
      <c r="C187" s="6"/>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6"/>
      <c r="C188" s="6"/>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6"/>
      <c r="C189" s="6"/>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6"/>
      <c r="C190" s="6"/>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6"/>
      <c r="C191" s="6"/>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6"/>
      <c r="C192" s="6"/>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6"/>
      <c r="C193" s="6"/>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6"/>
      <c r="C194" s="6"/>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6"/>
      <c r="C195" s="6"/>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6"/>
      <c r="C196" s="6"/>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6"/>
      <c r="C197" s="6"/>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6"/>
      <c r="C198" s="6"/>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6"/>
      <c r="C199" s="6"/>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6"/>
      <c r="C200" s="6"/>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6"/>
      <c r="C201" s="6"/>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6"/>
      <c r="C202" s="6"/>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6"/>
      <c r="C203" s="6"/>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6"/>
      <c r="C204" s="6"/>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6"/>
      <c r="C205" s="6"/>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6"/>
      <c r="C206" s="6"/>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6"/>
      <c r="C207" s="6"/>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6"/>
      <c r="C208" s="6"/>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6"/>
      <c r="C209" s="6"/>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6"/>
      <c r="C210" s="6"/>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6"/>
      <c r="C211" s="6"/>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6"/>
      <c r="C212" s="6"/>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6"/>
      <c r="C213" s="6"/>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6"/>
      <c r="C214" s="6"/>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6"/>
      <c r="C215" s="6"/>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6"/>
      <c r="C216" s="6"/>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6"/>
      <c r="C217" s="6"/>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6"/>
      <c r="C218" s="6"/>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6"/>
      <c r="C219" s="6"/>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6"/>
      <c r="C220" s="6"/>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6"/>
      <c r="C221" s="6"/>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6"/>
      <c r="C222" s="6"/>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6"/>
      <c r="C223" s="6"/>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6"/>
      <c r="C224" s="6"/>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6"/>
      <c r="C225" s="6"/>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6"/>
      <c r="C226" s="6"/>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6"/>
      <c r="C227" s="6"/>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6"/>
      <c r="C228" s="6"/>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6"/>
      <c r="C229" s="6"/>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6"/>
      <c r="C230" s="6"/>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6"/>
      <c r="C231" s="6"/>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6"/>
      <c r="C232" s="6"/>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6"/>
      <c r="C233" s="6"/>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6"/>
      <c r="C234" s="6"/>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6"/>
      <c r="C235" s="6"/>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6"/>
      <c r="C236" s="6"/>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6"/>
      <c r="C237" s="6"/>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6"/>
      <c r="C238" s="6"/>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6"/>
      <c r="C239" s="6"/>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6"/>
      <c r="C240" s="6"/>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6"/>
      <c r="C241" s="6"/>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6"/>
      <c r="C242" s="6"/>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6"/>
      <c r="C243" s="6"/>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6"/>
      <c r="C244" s="6"/>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6"/>
      <c r="C245" s="6"/>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6"/>
      <c r="C246" s="6"/>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6"/>
      <c r="C247" s="6"/>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6"/>
      <c r="C248" s="6"/>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6"/>
      <c r="C249" s="6"/>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6"/>
      <c r="C250" s="6"/>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6"/>
      <c r="C251" s="6"/>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6"/>
      <c r="C252" s="6"/>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6"/>
      <c r="C253" s="6"/>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6"/>
      <c r="C254" s="6"/>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6"/>
      <c r="C255" s="6"/>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6"/>
      <c r="C256" s="6"/>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6"/>
      <c r="C257" s="6"/>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6"/>
      <c r="C258" s="6"/>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6"/>
      <c r="C259" s="6"/>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6"/>
      <c r="C260" s="6"/>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6"/>
      <c r="C261" s="6"/>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6"/>
      <c r="C262" s="6"/>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6"/>
      <c r="C263" s="6"/>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6"/>
      <c r="C264" s="6"/>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6"/>
      <c r="C265" s="6"/>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6"/>
      <c r="C266" s="6"/>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6"/>
      <c r="C267" s="6"/>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6"/>
      <c r="C268" s="6"/>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6"/>
      <c r="C269" s="6"/>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6"/>
      <c r="C270" s="6"/>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6"/>
      <c r="C271" s="6"/>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6"/>
      <c r="C272" s="6"/>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6"/>
      <c r="C273" s="6"/>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6"/>
      <c r="C274" s="6"/>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6"/>
      <c r="C275" s="6"/>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6"/>
      <c r="C276" s="6"/>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6"/>
      <c r="C277" s="6"/>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6"/>
      <c r="C278" s="6"/>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6"/>
      <c r="C279" s="6"/>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6"/>
      <c r="C280" s="6"/>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6"/>
      <c r="C281" s="6"/>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6"/>
      <c r="C282" s="6"/>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6"/>
      <c r="C283" s="6"/>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6"/>
      <c r="C284" s="6"/>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6"/>
      <c r="C285" s="6"/>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6"/>
      <c r="C286" s="6"/>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6"/>
      <c r="C287" s="6"/>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6"/>
      <c r="C288" s="6"/>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6"/>
      <c r="C289" s="6"/>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6"/>
      <c r="C290" s="6"/>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6"/>
      <c r="C291" s="6"/>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6"/>
      <c r="C292" s="6"/>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6"/>
      <c r="C293" s="6"/>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6"/>
      <c r="C294" s="6"/>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6"/>
      <c r="C295" s="6"/>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6"/>
      <c r="C296" s="6"/>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6"/>
      <c r="C297" s="6"/>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6"/>
      <c r="C298" s="6"/>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6"/>
      <c r="C299" s="6"/>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6"/>
      <c r="C300" s="6"/>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6"/>
      <c r="C301" s="6"/>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6"/>
      <c r="C302" s="6"/>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6"/>
      <c r="C303" s="6"/>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6"/>
      <c r="C304" s="6"/>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6"/>
      <c r="C305" s="6"/>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6"/>
      <c r="C306" s="6"/>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6"/>
      <c r="C307" s="6"/>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6"/>
      <c r="C308" s="6"/>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6"/>
      <c r="C309" s="6"/>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6"/>
      <c r="C310" s="6"/>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6"/>
      <c r="C311" s="6"/>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6"/>
      <c r="C312" s="6"/>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6"/>
      <c r="C313" s="6"/>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6"/>
      <c r="C314" s="6"/>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6"/>
      <c r="C315" s="6"/>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6"/>
      <c r="C316" s="6"/>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6"/>
      <c r="C317" s="6"/>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6"/>
      <c r="C318" s="6"/>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6"/>
      <c r="C319" s="6"/>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6"/>
      <c r="C320" s="6"/>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6"/>
      <c r="C321" s="6"/>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6"/>
      <c r="C322" s="6"/>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6"/>
      <c r="C323" s="6"/>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6"/>
      <c r="C324" s="6"/>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6"/>
      <c r="C325" s="6"/>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6"/>
      <c r="C326" s="6"/>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6"/>
      <c r="C327" s="6"/>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6"/>
      <c r="C328" s="6"/>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6"/>
      <c r="C329" s="6"/>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6"/>
      <c r="C330" s="6"/>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6"/>
      <c r="C331" s="6"/>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6"/>
      <c r="C332" s="6"/>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6"/>
      <c r="C333" s="6"/>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6"/>
      <c r="C334" s="6"/>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6"/>
      <c r="C335" s="6"/>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6"/>
      <c r="C336" s="6"/>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6"/>
      <c r="C337" s="6"/>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6"/>
      <c r="C338" s="6"/>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6"/>
      <c r="C339" s="6"/>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6"/>
      <c r="C340" s="6"/>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6"/>
      <c r="C341" s="6"/>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6"/>
      <c r="C342" s="6"/>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6"/>
      <c r="C343" s="6"/>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6"/>
      <c r="C344" s="6"/>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6"/>
      <c r="C345" s="6"/>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6"/>
      <c r="C346" s="6"/>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6"/>
      <c r="C347" s="6"/>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6"/>
      <c r="C348" s="6"/>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6"/>
      <c r="C349" s="6"/>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6"/>
      <c r="C350" s="6"/>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6"/>
      <c r="C351" s="6"/>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6"/>
      <c r="C352" s="6"/>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6"/>
      <c r="C353" s="6"/>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6"/>
      <c r="C354" s="6"/>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6"/>
      <c r="C355" s="6"/>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6"/>
      <c r="C356" s="6"/>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6"/>
      <c r="C357" s="6"/>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6"/>
      <c r="C358" s="6"/>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6"/>
      <c r="C359" s="6"/>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6"/>
      <c r="C360" s="6"/>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6"/>
      <c r="C361" s="6"/>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6"/>
      <c r="C362" s="6"/>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6"/>
      <c r="C363" s="6"/>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6"/>
      <c r="C364" s="6"/>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6"/>
      <c r="C365" s="6"/>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6"/>
      <c r="C366" s="6"/>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6"/>
      <c r="C367" s="6"/>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6"/>
      <c r="C368" s="6"/>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6"/>
      <c r="C369" s="6"/>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6"/>
      <c r="C370" s="6"/>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6"/>
      <c r="C371" s="6"/>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6"/>
      <c r="C372" s="6"/>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6"/>
      <c r="C373" s="6"/>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6"/>
      <c r="C374" s="6"/>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6"/>
      <c r="C375" s="6"/>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6"/>
      <c r="C376" s="6"/>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6"/>
      <c r="C377" s="6"/>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6"/>
      <c r="C378" s="6"/>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6"/>
      <c r="C379" s="6"/>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6"/>
      <c r="C380" s="6"/>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6"/>
      <c r="C381" s="6"/>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6"/>
      <c r="C382" s="6"/>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6"/>
      <c r="C383" s="6"/>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6"/>
      <c r="C384" s="6"/>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6"/>
      <c r="C385" s="6"/>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6"/>
      <c r="C386" s="6"/>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6"/>
      <c r="C387" s="6"/>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6"/>
      <c r="C388" s="6"/>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6"/>
      <c r="C389" s="6"/>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6"/>
      <c r="C390" s="6"/>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6"/>
      <c r="C391" s="6"/>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6"/>
      <c r="C392" s="6"/>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6"/>
      <c r="C393" s="6"/>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6"/>
      <c r="C394" s="6"/>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6"/>
      <c r="C395" s="6"/>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6"/>
      <c r="C396" s="6"/>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6"/>
      <c r="C397" s="6"/>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6"/>
      <c r="C398" s="6"/>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6"/>
      <c r="C399" s="6"/>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6"/>
      <c r="C400" s="6"/>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6"/>
      <c r="C401" s="6"/>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6"/>
      <c r="C402" s="6"/>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6"/>
      <c r="C403" s="6"/>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6"/>
      <c r="C404" s="6"/>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6"/>
      <c r="C405" s="6"/>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6"/>
      <c r="C406" s="6"/>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6"/>
      <c r="C407" s="6"/>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6"/>
      <c r="C408" s="6"/>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6"/>
      <c r="C409" s="6"/>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6"/>
      <c r="C410" s="6"/>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6"/>
      <c r="C411" s="6"/>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6"/>
      <c r="C412" s="6"/>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6"/>
      <c r="C413" s="6"/>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6"/>
      <c r="C414" s="6"/>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6"/>
      <c r="C415" s="6"/>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6"/>
      <c r="C416" s="6"/>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6"/>
      <c r="C417" s="6"/>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6"/>
      <c r="C418" s="6"/>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6"/>
      <c r="C419" s="6"/>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6"/>
      <c r="C420" s="6"/>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6"/>
      <c r="C421" s="6"/>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6"/>
      <c r="C422" s="6"/>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6"/>
      <c r="C423" s="6"/>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6"/>
      <c r="C424" s="6"/>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6"/>
      <c r="C425" s="6"/>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6"/>
      <c r="C426" s="6"/>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6"/>
      <c r="C427" s="6"/>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6"/>
      <c r="C428" s="6"/>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6"/>
      <c r="C429" s="6"/>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6"/>
      <c r="C430" s="6"/>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6"/>
      <c r="C431" s="6"/>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6"/>
      <c r="C432" s="6"/>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6"/>
      <c r="C433" s="6"/>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6"/>
      <c r="C434" s="6"/>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6"/>
      <c r="C435" s="6"/>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6"/>
      <c r="C436" s="6"/>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6"/>
      <c r="C437" s="6"/>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6"/>
      <c r="C438" s="6"/>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6"/>
      <c r="C439" s="6"/>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6"/>
      <c r="C440" s="6"/>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6"/>
      <c r="C441" s="6"/>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6"/>
      <c r="C442" s="6"/>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6"/>
      <c r="C443" s="6"/>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6"/>
      <c r="C444" s="6"/>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6"/>
      <c r="C445" s="6"/>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6"/>
      <c r="C446" s="6"/>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6"/>
      <c r="C447" s="6"/>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6"/>
      <c r="C448" s="6"/>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6"/>
      <c r="C449" s="6"/>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6"/>
      <c r="C450" s="6"/>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6"/>
      <c r="C451" s="6"/>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6"/>
      <c r="C452" s="6"/>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6"/>
      <c r="C453" s="6"/>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6"/>
      <c r="C454" s="6"/>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6"/>
      <c r="C455" s="6"/>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6"/>
      <c r="C456" s="6"/>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6"/>
      <c r="C457" s="6"/>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6"/>
      <c r="C458" s="6"/>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6"/>
      <c r="C459" s="6"/>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6"/>
      <c r="C460" s="6"/>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6"/>
      <c r="C461" s="6"/>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6"/>
      <c r="C462" s="6"/>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6"/>
      <c r="C463" s="6"/>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6"/>
      <c r="C464" s="6"/>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6"/>
      <c r="C465" s="6"/>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6"/>
      <c r="C466" s="6"/>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6"/>
      <c r="C467" s="6"/>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6"/>
      <c r="C468" s="6"/>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6"/>
      <c r="C469" s="6"/>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6"/>
      <c r="C470" s="6"/>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6"/>
      <c r="C471" s="6"/>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6"/>
      <c r="C472" s="6"/>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6"/>
      <c r="C473" s="6"/>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6"/>
      <c r="C474" s="6"/>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6"/>
      <c r="C475" s="6"/>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6"/>
      <c r="C476" s="6"/>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6"/>
      <c r="C477" s="6"/>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6"/>
      <c r="C478" s="6"/>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6"/>
      <c r="C479" s="6"/>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6"/>
      <c r="C480" s="6"/>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6"/>
      <c r="C481" s="6"/>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6"/>
      <c r="C482" s="6"/>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6"/>
      <c r="C483" s="6"/>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6"/>
      <c r="C484" s="6"/>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6"/>
      <c r="C485" s="6"/>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6"/>
      <c r="C486" s="6"/>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6"/>
      <c r="C487" s="6"/>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6"/>
      <c r="C488" s="6"/>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6"/>
      <c r="C489" s="6"/>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6"/>
      <c r="C490" s="6"/>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6"/>
      <c r="C491" s="6"/>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6"/>
      <c r="C492" s="6"/>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6"/>
      <c r="C493" s="6"/>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6"/>
      <c r="C494" s="6"/>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6"/>
      <c r="C495" s="6"/>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6"/>
      <c r="C496" s="6"/>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6"/>
      <c r="C497" s="6"/>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6"/>
      <c r="C498" s="6"/>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6"/>
      <c r="C499" s="6"/>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6"/>
      <c r="C500" s="6"/>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6"/>
      <c r="C501" s="6"/>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6"/>
      <c r="C502" s="6"/>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6"/>
      <c r="C503" s="6"/>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6"/>
      <c r="C504" s="6"/>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6"/>
      <c r="C505" s="6"/>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6"/>
      <c r="C506" s="6"/>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6"/>
      <c r="C507" s="6"/>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6"/>
      <c r="C508" s="6"/>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6"/>
      <c r="C509" s="6"/>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6"/>
      <c r="C510" s="6"/>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6"/>
      <c r="C511" s="6"/>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6"/>
      <c r="C512" s="6"/>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6"/>
      <c r="C513" s="6"/>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6"/>
      <c r="C514" s="6"/>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6"/>
      <c r="C515" s="6"/>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6"/>
      <c r="C516" s="6"/>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6"/>
      <c r="C517" s="6"/>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6"/>
      <c r="C518" s="6"/>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6"/>
      <c r="C519" s="6"/>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6"/>
      <c r="C520" s="6"/>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6"/>
      <c r="C521" s="6"/>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6"/>
      <c r="C522" s="6"/>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6"/>
      <c r="C523" s="6"/>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6"/>
      <c r="C524" s="6"/>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6"/>
      <c r="C525" s="6"/>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6"/>
      <c r="C526" s="6"/>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6"/>
      <c r="C527" s="6"/>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6"/>
      <c r="C528" s="6"/>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6"/>
      <c r="C529" s="6"/>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6"/>
      <c r="C530" s="6"/>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6"/>
      <c r="C531" s="6"/>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6"/>
      <c r="C532" s="6"/>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6"/>
      <c r="C533" s="6"/>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6"/>
      <c r="C534" s="6"/>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6"/>
      <c r="C535" s="6"/>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6"/>
      <c r="C536" s="6"/>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6"/>
      <c r="C537" s="6"/>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6"/>
      <c r="C538" s="6"/>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6"/>
      <c r="C539" s="6"/>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6"/>
      <c r="C540" s="6"/>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6"/>
      <c r="C541" s="6"/>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6"/>
      <c r="C542" s="6"/>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6"/>
      <c r="C543" s="6"/>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6"/>
      <c r="C544" s="6"/>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6"/>
      <c r="C545" s="6"/>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6"/>
      <c r="C546" s="6"/>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6"/>
      <c r="C547" s="6"/>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6"/>
      <c r="C548" s="6"/>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6"/>
      <c r="C549" s="6"/>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6"/>
      <c r="C550" s="6"/>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6"/>
      <c r="C551" s="6"/>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6"/>
      <c r="C552" s="6"/>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6"/>
      <c r="C553" s="6"/>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6"/>
      <c r="C554" s="6"/>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6"/>
      <c r="C555" s="6"/>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6"/>
      <c r="C556" s="6"/>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6"/>
      <c r="C557" s="6"/>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6"/>
      <c r="C558" s="6"/>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6"/>
      <c r="C559" s="6"/>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6"/>
      <c r="C560" s="6"/>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6"/>
      <c r="C561" s="6"/>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6"/>
      <c r="C562" s="6"/>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6"/>
      <c r="C563" s="6"/>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6"/>
      <c r="C564" s="6"/>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6"/>
      <c r="C565" s="6"/>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6"/>
      <c r="C566" s="6"/>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6"/>
      <c r="C567" s="6"/>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6"/>
      <c r="C568" s="6"/>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6"/>
      <c r="C569" s="6"/>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6"/>
      <c r="C570" s="6"/>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6"/>
      <c r="C571" s="6"/>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6"/>
      <c r="C572" s="6"/>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6"/>
      <c r="C573" s="6"/>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6"/>
      <c r="C574" s="6"/>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6"/>
      <c r="C575" s="6"/>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6"/>
      <c r="C576" s="6"/>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6"/>
      <c r="C577" s="6"/>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6"/>
      <c r="C578" s="6"/>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6"/>
      <c r="C579" s="6"/>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6"/>
      <c r="C580" s="6"/>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6"/>
      <c r="C581" s="6"/>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6"/>
      <c r="C582" s="6"/>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6"/>
      <c r="C583" s="6"/>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6"/>
      <c r="C584" s="6"/>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6"/>
      <c r="C585" s="6"/>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6"/>
      <c r="C586" s="6"/>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6"/>
      <c r="C587" s="6"/>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6"/>
      <c r="C588" s="6"/>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6"/>
      <c r="C589" s="6"/>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6"/>
      <c r="C590" s="6"/>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6"/>
      <c r="C591" s="6"/>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6"/>
      <c r="C592" s="6"/>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6"/>
      <c r="C593" s="6"/>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6"/>
      <c r="C594" s="6"/>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6"/>
      <c r="C595" s="6"/>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6"/>
      <c r="C596" s="6"/>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6"/>
      <c r="C597" s="6"/>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6"/>
      <c r="C598" s="6"/>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6"/>
      <c r="C599" s="6"/>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6"/>
      <c r="C600" s="6"/>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6"/>
      <c r="C601" s="6"/>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6"/>
      <c r="C602" s="6"/>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6"/>
      <c r="C603" s="6"/>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6"/>
      <c r="C604" s="6"/>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6"/>
      <c r="C605" s="6"/>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6"/>
      <c r="C606" s="6"/>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6"/>
      <c r="C607" s="6"/>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6"/>
      <c r="C608" s="6"/>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6"/>
      <c r="C609" s="6"/>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6"/>
      <c r="C610" s="6"/>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6"/>
      <c r="C611" s="6"/>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6"/>
      <c r="C612" s="6"/>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6"/>
      <c r="C613" s="6"/>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6"/>
      <c r="C614" s="6"/>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6"/>
      <c r="C615" s="6"/>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6"/>
      <c r="C616" s="6"/>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6"/>
      <c r="C617" s="6"/>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6"/>
      <c r="C618" s="6"/>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6"/>
      <c r="C619" s="6"/>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6"/>
      <c r="C620" s="6"/>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6"/>
      <c r="C621" s="6"/>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6"/>
      <c r="C622" s="6"/>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6"/>
      <c r="C623" s="6"/>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6"/>
      <c r="C624" s="6"/>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6"/>
      <c r="C625" s="6"/>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6"/>
      <c r="C626" s="6"/>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6"/>
      <c r="C627" s="6"/>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6"/>
      <c r="C628" s="6"/>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6"/>
      <c r="C629" s="6"/>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6"/>
      <c r="C630" s="6"/>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6"/>
      <c r="C631" s="6"/>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6"/>
      <c r="C632" s="6"/>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6"/>
      <c r="C633" s="6"/>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6"/>
      <c r="C634" s="6"/>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6"/>
      <c r="C635" s="6"/>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6"/>
      <c r="C636" s="6"/>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6"/>
      <c r="C637" s="6"/>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6"/>
      <c r="C638" s="6"/>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6"/>
      <c r="C639" s="6"/>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6"/>
      <c r="C640" s="6"/>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6"/>
      <c r="C641" s="6"/>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6"/>
      <c r="C642" s="6"/>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6"/>
      <c r="C643" s="6"/>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6"/>
      <c r="C644" s="6"/>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6"/>
      <c r="C645" s="6"/>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6"/>
      <c r="C646" s="6"/>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6"/>
      <c r="C647" s="6"/>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6"/>
      <c r="C648" s="6"/>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6"/>
      <c r="C649" s="6"/>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6"/>
      <c r="C650" s="6"/>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6"/>
      <c r="C651" s="6"/>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6"/>
      <c r="C652" s="6"/>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6"/>
      <c r="C653" s="6"/>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6"/>
      <c r="C654" s="6"/>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6"/>
      <c r="C655" s="6"/>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6"/>
      <c r="C656" s="6"/>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6"/>
      <c r="C657" s="6"/>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6"/>
      <c r="C658" s="6"/>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6"/>
      <c r="C659" s="6"/>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6"/>
      <c r="C660" s="6"/>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6"/>
      <c r="C661" s="6"/>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6"/>
      <c r="C662" s="6"/>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6"/>
      <c r="C663" s="6"/>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6"/>
      <c r="C664" s="6"/>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6"/>
      <c r="C665" s="6"/>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6"/>
      <c r="C666" s="6"/>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6"/>
      <c r="C667" s="6"/>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6"/>
      <c r="C668" s="6"/>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6"/>
      <c r="C669" s="6"/>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6"/>
      <c r="C670" s="6"/>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6"/>
      <c r="C671" s="6"/>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6"/>
      <c r="C672" s="6"/>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6"/>
      <c r="C673" s="6"/>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6"/>
      <c r="C674" s="6"/>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6"/>
      <c r="C675" s="6"/>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6"/>
      <c r="C676" s="6"/>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6"/>
      <c r="C677" s="6"/>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6"/>
      <c r="C678" s="6"/>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6"/>
      <c r="C679" s="6"/>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6"/>
      <c r="C680" s="6"/>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6"/>
      <c r="C681" s="6"/>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6"/>
      <c r="C682" s="6"/>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6"/>
      <c r="C683" s="6"/>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6"/>
      <c r="C684" s="6"/>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6"/>
      <c r="C685" s="6"/>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6"/>
      <c r="C686" s="6"/>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6"/>
      <c r="C687" s="6"/>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6"/>
      <c r="C688" s="6"/>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6"/>
      <c r="C689" s="6"/>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6"/>
      <c r="C690" s="6"/>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6"/>
      <c r="C691" s="6"/>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6"/>
      <c r="C692" s="6"/>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6"/>
      <c r="C693" s="6"/>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6"/>
      <c r="C694" s="6"/>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6"/>
      <c r="C695" s="6"/>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6"/>
      <c r="C696" s="6"/>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6"/>
      <c r="C697" s="6"/>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6"/>
      <c r="C698" s="6"/>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6"/>
      <c r="C699" s="6"/>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6"/>
      <c r="C700" s="6"/>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6"/>
      <c r="C701" s="6"/>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6"/>
      <c r="C702" s="6"/>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6"/>
      <c r="C703" s="6"/>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6"/>
      <c r="C704" s="6"/>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6"/>
      <c r="C705" s="6"/>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6"/>
      <c r="C706" s="6"/>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6"/>
      <c r="C707" s="6"/>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6"/>
      <c r="C708" s="6"/>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6"/>
      <c r="C709" s="6"/>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6"/>
      <c r="C710" s="6"/>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6"/>
      <c r="C711" s="6"/>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6"/>
      <c r="C712" s="6"/>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6"/>
      <c r="C713" s="6"/>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6"/>
      <c r="C714" s="6"/>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6"/>
      <c r="C715" s="6"/>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6"/>
      <c r="C716" s="6"/>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6"/>
      <c r="C717" s="6"/>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6"/>
      <c r="C718" s="6"/>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6"/>
      <c r="C719" s="6"/>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6"/>
      <c r="C720" s="6"/>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6"/>
      <c r="C721" s="6"/>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6"/>
      <c r="C722" s="6"/>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6"/>
      <c r="C723" s="6"/>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6"/>
      <c r="C724" s="6"/>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6"/>
      <c r="C725" s="6"/>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6"/>
      <c r="C726" s="6"/>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6"/>
      <c r="C727" s="6"/>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6"/>
      <c r="C728" s="6"/>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6"/>
      <c r="C729" s="6"/>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6"/>
      <c r="C730" s="6"/>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6"/>
      <c r="C731" s="6"/>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6"/>
      <c r="C732" s="6"/>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6"/>
      <c r="C733" s="6"/>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6"/>
      <c r="C734" s="6"/>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6"/>
      <c r="C735" s="6"/>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6"/>
      <c r="C736" s="6"/>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6"/>
      <c r="C737" s="6"/>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6"/>
      <c r="C738" s="6"/>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6"/>
      <c r="C739" s="6"/>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6"/>
      <c r="C740" s="6"/>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6"/>
      <c r="C741" s="6"/>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6"/>
      <c r="C742" s="6"/>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6"/>
      <c r="C743" s="6"/>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6"/>
      <c r="C744" s="6"/>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6"/>
      <c r="C745" s="6"/>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6"/>
      <c r="C746" s="6"/>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6"/>
      <c r="C747" s="6"/>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6"/>
      <c r="C748" s="6"/>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6"/>
      <c r="C749" s="6"/>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6"/>
      <c r="C750" s="6"/>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6"/>
      <c r="C751" s="6"/>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6"/>
      <c r="C752" s="6"/>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6"/>
      <c r="C753" s="6"/>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6"/>
      <c r="C754" s="6"/>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6"/>
      <c r="C755" s="6"/>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6"/>
      <c r="C756" s="6"/>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6"/>
      <c r="C757" s="6"/>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6"/>
      <c r="C758" s="6"/>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6"/>
      <c r="C759" s="6"/>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6"/>
      <c r="C760" s="6"/>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6"/>
      <c r="C761" s="6"/>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6"/>
      <c r="C762" s="6"/>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6"/>
      <c r="C763" s="6"/>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6"/>
      <c r="C764" s="6"/>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6"/>
      <c r="C765" s="6"/>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6"/>
      <c r="C766" s="6"/>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6"/>
      <c r="C767" s="6"/>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6"/>
      <c r="C768" s="6"/>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6"/>
      <c r="C769" s="6"/>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6"/>
      <c r="C770" s="6"/>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6"/>
      <c r="C771" s="6"/>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6"/>
      <c r="C772" s="6"/>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6"/>
      <c r="C773" s="6"/>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6"/>
      <c r="C774" s="6"/>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6"/>
      <c r="C775" s="6"/>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6"/>
      <c r="C776" s="6"/>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6"/>
      <c r="C777" s="6"/>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6"/>
      <c r="C778" s="6"/>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6"/>
      <c r="C779" s="6"/>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6"/>
      <c r="C780" s="6"/>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6"/>
      <c r="C781" s="6"/>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6"/>
      <c r="C782" s="6"/>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6"/>
      <c r="C783" s="6"/>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6"/>
      <c r="C784" s="6"/>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6"/>
      <c r="C785" s="6"/>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6"/>
      <c r="C786" s="6"/>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6"/>
      <c r="C787" s="6"/>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6"/>
      <c r="C788" s="6"/>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6"/>
      <c r="C789" s="6"/>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6"/>
      <c r="C790" s="6"/>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6"/>
      <c r="C791" s="6"/>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6"/>
      <c r="C792" s="6"/>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6"/>
      <c r="C793" s="6"/>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6"/>
      <c r="C794" s="6"/>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6"/>
      <c r="C795" s="6"/>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6"/>
      <c r="C796" s="6"/>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6"/>
      <c r="C797" s="6"/>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6"/>
      <c r="C798" s="6"/>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6"/>
      <c r="C799" s="6"/>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6"/>
      <c r="C800" s="6"/>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6"/>
      <c r="C801" s="6"/>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6"/>
      <c r="C802" s="6"/>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6"/>
      <c r="C803" s="6"/>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6"/>
      <c r="C804" s="6"/>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6"/>
      <c r="C805" s="6"/>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6"/>
      <c r="C806" s="6"/>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6"/>
      <c r="C807" s="6"/>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6"/>
      <c r="C808" s="6"/>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6"/>
      <c r="C809" s="6"/>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6"/>
      <c r="C810" s="6"/>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6"/>
      <c r="C811" s="6"/>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6"/>
      <c r="C812" s="6"/>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6"/>
      <c r="C813" s="6"/>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6"/>
      <c r="C814" s="6"/>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6"/>
      <c r="C815" s="6"/>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6"/>
      <c r="C816" s="6"/>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6"/>
      <c r="C817" s="6"/>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6"/>
      <c r="C818" s="6"/>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6"/>
      <c r="C819" s="6"/>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6"/>
      <c r="C820" s="6"/>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6"/>
      <c r="C821" s="6"/>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6"/>
      <c r="C822" s="6"/>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6"/>
      <c r="C823" s="6"/>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6"/>
      <c r="C824" s="6"/>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6"/>
      <c r="C825" s="6"/>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6"/>
      <c r="C826" s="6"/>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6"/>
      <c r="C827" s="6"/>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6"/>
      <c r="C828" s="6"/>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6"/>
      <c r="C829" s="6"/>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6"/>
      <c r="C830" s="6"/>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6"/>
      <c r="C831" s="6"/>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6"/>
      <c r="C832" s="6"/>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6"/>
      <c r="C833" s="6"/>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6"/>
      <c r="C834" s="6"/>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6"/>
      <c r="C835" s="6"/>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6"/>
      <c r="C836" s="6"/>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6"/>
      <c r="C837" s="6"/>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6"/>
      <c r="C838" s="6"/>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6"/>
      <c r="C839" s="6"/>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6"/>
      <c r="C840" s="6"/>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6"/>
      <c r="C841" s="6"/>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6"/>
      <c r="C842" s="6"/>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6"/>
      <c r="C843" s="6"/>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6"/>
      <c r="C844" s="6"/>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6"/>
      <c r="C845" s="6"/>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6"/>
      <c r="C846" s="6"/>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6"/>
      <c r="C847" s="6"/>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6"/>
      <c r="C848" s="6"/>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6"/>
      <c r="C849" s="6"/>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6"/>
      <c r="C850" s="6"/>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6"/>
      <c r="C851" s="6"/>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6"/>
      <c r="C852" s="6"/>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6"/>
      <c r="C853" s="6"/>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6"/>
      <c r="C854" s="6"/>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6"/>
      <c r="C855" s="6"/>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6"/>
      <c r="C856" s="6"/>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6"/>
      <c r="C857" s="6"/>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6"/>
      <c r="C858" s="6"/>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6"/>
      <c r="C859" s="6"/>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6"/>
      <c r="C860" s="6"/>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6"/>
      <c r="C861" s="6"/>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6"/>
      <c r="C862" s="6"/>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6"/>
      <c r="C863" s="6"/>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6"/>
      <c r="C864" s="6"/>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6"/>
      <c r="C865" s="6"/>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6"/>
      <c r="C866" s="6"/>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6"/>
      <c r="C867" s="6"/>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6"/>
      <c r="C868" s="6"/>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6"/>
      <c r="C869" s="6"/>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6"/>
      <c r="C870" s="6"/>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6"/>
      <c r="C871" s="6"/>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6"/>
      <c r="C872" s="6"/>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6"/>
      <c r="C873" s="6"/>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6"/>
      <c r="C874" s="6"/>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6"/>
      <c r="C875" s="6"/>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6"/>
      <c r="C876" s="6"/>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6"/>
      <c r="C877" s="6"/>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6"/>
      <c r="C878" s="6"/>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6"/>
      <c r="C879" s="6"/>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6"/>
      <c r="C880" s="6"/>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6"/>
      <c r="C881" s="6"/>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6"/>
      <c r="C882" s="6"/>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6"/>
      <c r="C883" s="6"/>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6"/>
      <c r="C884" s="6"/>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6"/>
      <c r="C885" s="6"/>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6"/>
      <c r="C886" s="6"/>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6"/>
      <c r="C887" s="6"/>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6"/>
      <c r="C888" s="6"/>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6"/>
      <c r="C889" s="6"/>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6"/>
      <c r="C890" s="6"/>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6"/>
      <c r="C891" s="6"/>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6"/>
      <c r="C892" s="6"/>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6"/>
      <c r="C893" s="6"/>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6"/>
      <c r="C894" s="6"/>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6"/>
      <c r="C895" s="6"/>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6"/>
      <c r="C896" s="6"/>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6"/>
      <c r="C897" s="6"/>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6"/>
      <c r="C898" s="6"/>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6"/>
      <c r="C899" s="6"/>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6"/>
      <c r="C900" s="6"/>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6"/>
      <c r="C901" s="6"/>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6"/>
      <c r="C902" s="6"/>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6"/>
      <c r="C903" s="6"/>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6"/>
      <c r="C904" s="6"/>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6"/>
      <c r="C905" s="6"/>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6"/>
      <c r="C906" s="6"/>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6"/>
      <c r="C907" s="6"/>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6"/>
      <c r="C908" s="6"/>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6"/>
      <c r="C909" s="6"/>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6"/>
      <c r="C910" s="6"/>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6"/>
      <c r="C911" s="6"/>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6"/>
      <c r="C912" s="6"/>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6"/>
      <c r="C913" s="6"/>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6"/>
      <c r="C914" s="6"/>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6"/>
      <c r="C915" s="6"/>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6"/>
      <c r="C916" s="6"/>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6"/>
      <c r="C917" s="6"/>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6"/>
      <c r="C918" s="6"/>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6"/>
      <c r="C919" s="6"/>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6"/>
      <c r="C920" s="6"/>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6"/>
      <c r="C921" s="6"/>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6"/>
      <c r="C922" s="6"/>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6"/>
      <c r="C923" s="6"/>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6"/>
      <c r="C924" s="6"/>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6"/>
      <c r="C925" s="6"/>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6"/>
      <c r="C926" s="6"/>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6"/>
      <c r="C927" s="6"/>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6"/>
      <c r="C928" s="6"/>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6"/>
      <c r="C929" s="6"/>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6"/>
      <c r="C930" s="6"/>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6"/>
      <c r="C931" s="6"/>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6"/>
      <c r="C932" s="6"/>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6"/>
      <c r="C933" s="6"/>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6"/>
      <c r="C934" s="6"/>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6"/>
      <c r="C935" s="6"/>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6"/>
      <c r="C936" s="6"/>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6"/>
      <c r="C937" s="6"/>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6"/>
      <c r="C938" s="6"/>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6"/>
      <c r="C939" s="6"/>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6"/>
      <c r="C940" s="6"/>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6"/>
      <c r="C941" s="6"/>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6"/>
      <c r="C942" s="6"/>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6"/>
      <c r="C943" s="6"/>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6"/>
      <c r="C944" s="6"/>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6"/>
      <c r="C945" s="6"/>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6"/>
      <c r="C946" s="6"/>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6"/>
      <c r="C947" s="6"/>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6"/>
      <c r="C948" s="6"/>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6"/>
      <c r="C949" s="6"/>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6"/>
      <c r="C950" s="6"/>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6"/>
      <c r="C951" s="6"/>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6"/>
      <c r="C952" s="6"/>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6"/>
      <c r="C953" s="6"/>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6"/>
      <c r="C954" s="6"/>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6"/>
      <c r="C955" s="6"/>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6"/>
      <c r="C956" s="6"/>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6"/>
      <c r="C957" s="6"/>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6"/>
      <c r="C958" s="6"/>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6"/>
      <c r="C959" s="6"/>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6"/>
      <c r="C960" s="6"/>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6"/>
      <c r="C961" s="6"/>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6"/>
      <c r="C962" s="6"/>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6"/>
      <c r="C963" s="6"/>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6"/>
      <c r="C964" s="6"/>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6"/>
      <c r="C965" s="6"/>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6"/>
      <c r="C966" s="6"/>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6"/>
      <c r="C967" s="6"/>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6"/>
      <c r="C968" s="6"/>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6"/>
      <c r="C969" s="6"/>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6"/>
      <c r="C970" s="6"/>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6"/>
      <c r="C971" s="6"/>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6"/>
      <c r="C972" s="6"/>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6"/>
      <c r="C973" s="6"/>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6"/>
      <c r="C974" s="6"/>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6"/>
      <c r="C975" s="6"/>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6"/>
      <c r="C976" s="6"/>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6"/>
      <c r="C977" s="6"/>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6"/>
      <c r="C978" s="6"/>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6"/>
      <c r="C979" s="6"/>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6"/>
      <c r="C980" s="6"/>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6"/>
      <c r="C981" s="6"/>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6"/>
      <c r="C982" s="6"/>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6"/>
      <c r="C983" s="6"/>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6"/>
      <c r="C984" s="6"/>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6"/>
      <c r="C985" s="6"/>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6"/>
      <c r="C986" s="6"/>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6"/>
      <c r="C987" s="6"/>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6"/>
      <c r="C988" s="6"/>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6"/>
      <c r="C989" s="6"/>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6"/>
      <c r="C990" s="6"/>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6"/>
      <c r="C991" s="6"/>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6"/>
      <c r="C992" s="6"/>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6"/>
      <c r="C993" s="6"/>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6"/>
      <c r="C994" s="6"/>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6"/>
      <c r="C995" s="6"/>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6"/>
      <c r="C996" s="6"/>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6"/>
      <c r="C997" s="6"/>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6"/>
      <c r="C998" s="6"/>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6"/>
      <c r="C999" s="6"/>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6"/>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C$4"/>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101.25"/>
    <col customWidth="1" min="3" max="3" width="38.0"/>
  </cols>
  <sheetData>
    <row r="1">
      <c r="A1" s="1" t="s">
        <v>0</v>
      </c>
      <c r="B1" s="2" t="s">
        <v>1</v>
      </c>
      <c r="C1" s="2" t="s">
        <v>2</v>
      </c>
      <c r="D1" s="3"/>
      <c r="E1" s="3"/>
      <c r="F1" s="3"/>
      <c r="G1" s="3"/>
      <c r="H1" s="3"/>
      <c r="I1" s="3"/>
      <c r="J1" s="3"/>
      <c r="K1" s="3"/>
      <c r="L1" s="3"/>
      <c r="M1" s="3"/>
      <c r="N1" s="3"/>
      <c r="O1" s="3"/>
      <c r="P1" s="3"/>
      <c r="Q1" s="3"/>
      <c r="R1" s="3"/>
      <c r="S1" s="3"/>
      <c r="T1" s="3"/>
      <c r="U1" s="3"/>
      <c r="V1" s="3"/>
      <c r="W1" s="3"/>
      <c r="X1" s="3"/>
      <c r="Y1" s="3"/>
      <c r="Z1" s="3"/>
    </row>
    <row r="2">
      <c r="A2" s="4">
        <v>1.0</v>
      </c>
      <c r="B2" s="5" t="s">
        <v>6</v>
      </c>
      <c r="C2" s="6"/>
      <c r="D2" s="3"/>
      <c r="E2" s="3"/>
      <c r="F2" s="3"/>
      <c r="G2" s="3"/>
      <c r="H2" s="3"/>
      <c r="I2" s="3"/>
      <c r="J2" s="3"/>
      <c r="K2" s="3"/>
      <c r="L2" s="3"/>
      <c r="M2" s="3"/>
      <c r="N2" s="3"/>
      <c r="O2" s="3"/>
      <c r="P2" s="3"/>
      <c r="Q2" s="3"/>
      <c r="R2" s="3"/>
      <c r="S2" s="3"/>
      <c r="T2" s="3"/>
      <c r="U2" s="3"/>
      <c r="V2" s="3"/>
      <c r="W2" s="3"/>
      <c r="X2" s="3"/>
      <c r="Y2" s="3"/>
      <c r="Z2" s="3"/>
    </row>
    <row r="3">
      <c r="A3" s="4">
        <v>2.0</v>
      </c>
      <c r="B3" s="5" t="s">
        <v>7</v>
      </c>
      <c r="C3" s="6"/>
      <c r="D3" s="3"/>
      <c r="E3" s="3"/>
      <c r="F3" s="3"/>
      <c r="G3" s="3"/>
      <c r="H3" s="3"/>
      <c r="I3" s="3"/>
      <c r="J3" s="3"/>
      <c r="K3" s="3"/>
      <c r="L3" s="3"/>
      <c r="M3" s="3"/>
      <c r="N3" s="3"/>
      <c r="O3" s="3"/>
      <c r="P3" s="3"/>
      <c r="Q3" s="3"/>
      <c r="R3" s="3"/>
      <c r="S3" s="3"/>
      <c r="T3" s="3"/>
      <c r="U3" s="3"/>
      <c r="V3" s="3"/>
      <c r="W3" s="3"/>
      <c r="X3" s="3"/>
      <c r="Y3" s="3"/>
      <c r="Z3" s="3"/>
    </row>
    <row r="4">
      <c r="A4" s="4">
        <v>3.0</v>
      </c>
      <c r="B4" s="5" t="s">
        <v>8</v>
      </c>
      <c r="C4" s="6"/>
      <c r="D4" s="3"/>
      <c r="E4" s="3"/>
      <c r="F4" s="3"/>
      <c r="G4" s="3"/>
      <c r="H4" s="3"/>
      <c r="I4" s="3"/>
      <c r="J4" s="3"/>
      <c r="K4" s="3"/>
      <c r="L4" s="3"/>
      <c r="M4" s="3"/>
      <c r="N4" s="3"/>
      <c r="O4" s="3"/>
      <c r="P4" s="3"/>
      <c r="Q4" s="3"/>
      <c r="R4" s="3"/>
      <c r="S4" s="3"/>
      <c r="T4" s="3"/>
      <c r="U4" s="3"/>
      <c r="V4" s="3"/>
      <c r="W4" s="3"/>
      <c r="X4" s="3"/>
      <c r="Y4" s="3"/>
      <c r="Z4" s="3"/>
    </row>
    <row r="5">
      <c r="A5" s="7"/>
      <c r="B5" s="6"/>
      <c r="C5" s="6"/>
      <c r="D5" s="3"/>
      <c r="E5" s="3"/>
      <c r="F5" s="3"/>
      <c r="G5" s="3"/>
      <c r="H5" s="3"/>
      <c r="I5" s="3"/>
      <c r="J5" s="3"/>
      <c r="K5" s="3"/>
      <c r="L5" s="3"/>
      <c r="M5" s="3"/>
      <c r="N5" s="3"/>
      <c r="O5" s="3"/>
      <c r="P5" s="3"/>
      <c r="Q5" s="3"/>
      <c r="R5" s="3"/>
      <c r="S5" s="3"/>
      <c r="T5" s="3"/>
      <c r="U5" s="3"/>
      <c r="V5" s="3"/>
      <c r="W5" s="3"/>
      <c r="X5" s="3"/>
      <c r="Y5" s="3"/>
      <c r="Z5" s="3"/>
    </row>
    <row r="6">
      <c r="A6" s="7"/>
      <c r="B6" s="6"/>
      <c r="C6" s="6"/>
      <c r="D6" s="3"/>
      <c r="E6" s="3"/>
      <c r="F6" s="3"/>
      <c r="G6" s="3"/>
      <c r="H6" s="3"/>
      <c r="I6" s="3"/>
      <c r="J6" s="3"/>
      <c r="K6" s="3"/>
      <c r="L6" s="3"/>
      <c r="M6" s="3"/>
      <c r="N6" s="3"/>
      <c r="O6" s="3"/>
      <c r="P6" s="3"/>
      <c r="Q6" s="3"/>
      <c r="R6" s="3"/>
      <c r="S6" s="3"/>
      <c r="T6" s="3"/>
      <c r="U6" s="3"/>
      <c r="V6" s="3"/>
      <c r="W6" s="3"/>
      <c r="X6" s="3"/>
      <c r="Y6" s="3"/>
      <c r="Z6" s="3"/>
    </row>
    <row r="7">
      <c r="A7" s="7"/>
      <c r="B7" s="6"/>
      <c r="C7" s="6"/>
      <c r="D7" s="3"/>
      <c r="E7" s="3"/>
      <c r="F7" s="3"/>
      <c r="G7" s="3"/>
      <c r="H7" s="3"/>
      <c r="I7" s="3"/>
      <c r="J7" s="3"/>
      <c r="K7" s="3"/>
      <c r="L7" s="3"/>
      <c r="M7" s="3"/>
      <c r="N7" s="3"/>
      <c r="O7" s="3"/>
      <c r="P7" s="3"/>
      <c r="Q7" s="3"/>
      <c r="R7" s="3"/>
      <c r="S7" s="3"/>
      <c r="T7" s="3"/>
      <c r="U7" s="3"/>
      <c r="V7" s="3"/>
      <c r="W7" s="3"/>
      <c r="X7" s="3"/>
      <c r="Y7" s="3"/>
      <c r="Z7" s="3"/>
    </row>
    <row r="8">
      <c r="A8" s="7"/>
      <c r="B8" s="6"/>
      <c r="C8" s="6"/>
      <c r="D8" s="3"/>
      <c r="E8" s="3"/>
      <c r="F8" s="3"/>
      <c r="G8" s="3"/>
      <c r="H8" s="3"/>
      <c r="I8" s="3"/>
      <c r="J8" s="3"/>
      <c r="K8" s="3"/>
      <c r="L8" s="3"/>
      <c r="M8" s="3"/>
      <c r="N8" s="3"/>
      <c r="O8" s="3"/>
      <c r="P8" s="3"/>
      <c r="Q8" s="3"/>
      <c r="R8" s="3"/>
      <c r="S8" s="3"/>
      <c r="T8" s="3"/>
      <c r="U8" s="3"/>
      <c r="V8" s="3"/>
      <c r="W8" s="3"/>
      <c r="X8" s="3"/>
      <c r="Y8" s="3"/>
      <c r="Z8" s="3"/>
    </row>
    <row r="9">
      <c r="A9" s="7"/>
      <c r="B9" s="6"/>
      <c r="C9" s="6"/>
      <c r="D9" s="3"/>
      <c r="E9" s="3"/>
      <c r="F9" s="3"/>
      <c r="G9" s="3"/>
      <c r="H9" s="3"/>
      <c r="I9" s="3"/>
      <c r="J9" s="3"/>
      <c r="K9" s="3"/>
      <c r="L9" s="3"/>
      <c r="M9" s="3"/>
      <c r="N9" s="3"/>
      <c r="O9" s="3"/>
      <c r="P9" s="3"/>
      <c r="Q9" s="3"/>
      <c r="R9" s="3"/>
      <c r="S9" s="3"/>
      <c r="T9" s="3"/>
      <c r="U9" s="3"/>
      <c r="V9" s="3"/>
      <c r="W9" s="3"/>
      <c r="X9" s="3"/>
      <c r="Y9" s="3"/>
      <c r="Z9" s="3"/>
    </row>
    <row r="10">
      <c r="A10" s="7"/>
      <c r="B10" s="6"/>
      <c r="C10" s="6"/>
      <c r="D10" s="3"/>
      <c r="E10" s="3"/>
      <c r="F10" s="3"/>
      <c r="G10" s="3"/>
      <c r="H10" s="3"/>
      <c r="I10" s="3"/>
      <c r="J10" s="3"/>
      <c r="K10" s="3"/>
      <c r="L10" s="3"/>
      <c r="M10" s="3"/>
      <c r="N10" s="3"/>
      <c r="O10" s="3"/>
      <c r="P10" s="3"/>
      <c r="Q10" s="3"/>
      <c r="R10" s="3"/>
      <c r="S10" s="3"/>
      <c r="T10" s="3"/>
      <c r="U10" s="3"/>
      <c r="V10" s="3"/>
      <c r="W10" s="3"/>
      <c r="X10" s="3"/>
      <c r="Y10" s="3"/>
      <c r="Z10" s="3"/>
    </row>
    <row r="11">
      <c r="A11" s="7"/>
      <c r="B11" s="6"/>
      <c r="C11" s="6"/>
      <c r="D11" s="3"/>
      <c r="E11" s="3"/>
      <c r="F11" s="3"/>
      <c r="G11" s="3"/>
      <c r="H11" s="3"/>
      <c r="I11" s="3"/>
      <c r="J11" s="3"/>
      <c r="K11" s="3"/>
      <c r="L11" s="3"/>
      <c r="M11" s="3"/>
      <c r="N11" s="3"/>
      <c r="O11" s="3"/>
      <c r="P11" s="3"/>
      <c r="Q11" s="3"/>
      <c r="R11" s="3"/>
      <c r="S11" s="3"/>
      <c r="T11" s="3"/>
      <c r="U11" s="3"/>
      <c r="V11" s="3"/>
      <c r="W11" s="3"/>
      <c r="X11" s="3"/>
      <c r="Y11" s="3"/>
      <c r="Z11" s="3"/>
    </row>
    <row r="12">
      <c r="A12" s="7"/>
      <c r="B12" s="6"/>
      <c r="C12" s="6"/>
      <c r="D12" s="3"/>
      <c r="E12" s="3"/>
      <c r="F12" s="3"/>
      <c r="G12" s="3"/>
      <c r="H12" s="3"/>
      <c r="I12" s="3"/>
      <c r="J12" s="3"/>
      <c r="K12" s="3"/>
      <c r="L12" s="3"/>
      <c r="M12" s="3"/>
      <c r="N12" s="3"/>
      <c r="O12" s="3"/>
      <c r="P12" s="3"/>
      <c r="Q12" s="3"/>
      <c r="R12" s="3"/>
      <c r="S12" s="3"/>
      <c r="T12" s="3"/>
      <c r="U12" s="3"/>
      <c r="V12" s="3"/>
      <c r="W12" s="3"/>
      <c r="X12" s="3"/>
      <c r="Y12" s="3"/>
      <c r="Z12" s="3"/>
    </row>
    <row r="13">
      <c r="A13" s="7"/>
      <c r="B13" s="6"/>
      <c r="C13" s="6"/>
      <c r="D13" s="3"/>
      <c r="E13" s="3"/>
      <c r="F13" s="3"/>
      <c r="G13" s="3"/>
      <c r="H13" s="3"/>
      <c r="I13" s="3"/>
      <c r="J13" s="3"/>
      <c r="K13" s="3"/>
      <c r="L13" s="3"/>
      <c r="M13" s="3"/>
      <c r="N13" s="3"/>
      <c r="O13" s="3"/>
      <c r="P13" s="3"/>
      <c r="Q13" s="3"/>
      <c r="R13" s="3"/>
      <c r="S13" s="3"/>
      <c r="T13" s="3"/>
      <c r="U13" s="3"/>
      <c r="V13" s="3"/>
      <c r="W13" s="3"/>
      <c r="X13" s="3"/>
      <c r="Y13" s="3"/>
      <c r="Z13" s="3"/>
    </row>
    <row r="14">
      <c r="A14" s="7"/>
      <c r="B14" s="6"/>
      <c r="C14" s="6"/>
      <c r="D14" s="3"/>
      <c r="E14" s="3"/>
      <c r="F14" s="3"/>
      <c r="G14" s="3"/>
      <c r="H14" s="3"/>
      <c r="I14" s="3"/>
      <c r="J14" s="3"/>
      <c r="K14" s="3"/>
      <c r="L14" s="3"/>
      <c r="M14" s="3"/>
      <c r="N14" s="3"/>
      <c r="O14" s="3"/>
      <c r="P14" s="3"/>
      <c r="Q14" s="3"/>
      <c r="R14" s="3"/>
      <c r="S14" s="3"/>
      <c r="T14" s="3"/>
      <c r="U14" s="3"/>
      <c r="V14" s="3"/>
      <c r="W14" s="3"/>
      <c r="X14" s="3"/>
      <c r="Y14" s="3"/>
      <c r="Z14" s="3"/>
    </row>
    <row r="15">
      <c r="A15" s="7"/>
      <c r="B15" s="6"/>
      <c r="C15" s="6"/>
      <c r="D15" s="3"/>
      <c r="E15" s="3"/>
      <c r="F15" s="3"/>
      <c r="G15" s="3"/>
      <c r="H15" s="3"/>
      <c r="I15" s="3"/>
      <c r="J15" s="3"/>
      <c r="K15" s="3"/>
      <c r="L15" s="3"/>
      <c r="M15" s="3"/>
      <c r="N15" s="3"/>
      <c r="O15" s="3"/>
      <c r="P15" s="3"/>
      <c r="Q15" s="3"/>
      <c r="R15" s="3"/>
      <c r="S15" s="3"/>
      <c r="T15" s="3"/>
      <c r="U15" s="3"/>
      <c r="V15" s="3"/>
      <c r="W15" s="3"/>
      <c r="X15" s="3"/>
      <c r="Y15" s="3"/>
      <c r="Z15" s="3"/>
    </row>
    <row r="16">
      <c r="A16" s="7"/>
      <c r="B16" s="6"/>
      <c r="C16" s="6"/>
      <c r="D16" s="3"/>
      <c r="E16" s="3"/>
      <c r="F16" s="3"/>
      <c r="G16" s="3"/>
      <c r="H16" s="3"/>
      <c r="I16" s="3"/>
      <c r="J16" s="3"/>
      <c r="K16" s="3"/>
      <c r="L16" s="3"/>
      <c r="M16" s="3"/>
      <c r="N16" s="3"/>
      <c r="O16" s="3"/>
      <c r="P16" s="3"/>
      <c r="Q16" s="3"/>
      <c r="R16" s="3"/>
      <c r="S16" s="3"/>
      <c r="T16" s="3"/>
      <c r="U16" s="3"/>
      <c r="V16" s="3"/>
      <c r="W16" s="3"/>
      <c r="X16" s="3"/>
      <c r="Y16" s="3"/>
      <c r="Z16" s="3"/>
    </row>
    <row r="17">
      <c r="A17" s="7"/>
      <c r="B17" s="6"/>
      <c r="C17" s="6"/>
      <c r="D17" s="3"/>
      <c r="E17" s="3"/>
      <c r="F17" s="3"/>
      <c r="G17" s="3"/>
      <c r="H17" s="3"/>
      <c r="I17" s="3"/>
      <c r="J17" s="3"/>
      <c r="K17" s="3"/>
      <c r="L17" s="3"/>
      <c r="M17" s="3"/>
      <c r="N17" s="3"/>
      <c r="O17" s="3"/>
      <c r="P17" s="3"/>
      <c r="Q17" s="3"/>
      <c r="R17" s="3"/>
      <c r="S17" s="3"/>
      <c r="T17" s="3"/>
      <c r="U17" s="3"/>
      <c r="V17" s="3"/>
      <c r="W17" s="3"/>
      <c r="X17" s="3"/>
      <c r="Y17" s="3"/>
      <c r="Z17" s="3"/>
    </row>
    <row r="18">
      <c r="A18" s="7"/>
      <c r="B18" s="6"/>
      <c r="C18" s="6"/>
      <c r="D18" s="3"/>
      <c r="E18" s="3"/>
      <c r="F18" s="3"/>
      <c r="G18" s="3"/>
      <c r="H18" s="3"/>
      <c r="I18" s="3"/>
      <c r="J18" s="3"/>
      <c r="K18" s="3"/>
      <c r="L18" s="3"/>
      <c r="M18" s="3"/>
      <c r="N18" s="3"/>
      <c r="O18" s="3"/>
      <c r="P18" s="3"/>
      <c r="Q18" s="3"/>
      <c r="R18" s="3"/>
      <c r="S18" s="3"/>
      <c r="T18" s="3"/>
      <c r="U18" s="3"/>
      <c r="V18" s="3"/>
      <c r="W18" s="3"/>
      <c r="X18" s="3"/>
      <c r="Y18" s="3"/>
      <c r="Z18" s="3"/>
    </row>
    <row r="19">
      <c r="A19" s="7"/>
      <c r="B19" s="6"/>
      <c r="C19" s="6"/>
      <c r="D19" s="3"/>
      <c r="E19" s="3"/>
      <c r="F19" s="3"/>
      <c r="G19" s="3"/>
      <c r="H19" s="3"/>
      <c r="I19" s="3"/>
      <c r="J19" s="3"/>
      <c r="K19" s="3"/>
      <c r="L19" s="3"/>
      <c r="M19" s="3"/>
      <c r="N19" s="3"/>
      <c r="O19" s="3"/>
      <c r="P19" s="3"/>
      <c r="Q19" s="3"/>
      <c r="R19" s="3"/>
      <c r="S19" s="3"/>
      <c r="T19" s="3"/>
      <c r="U19" s="3"/>
      <c r="V19" s="3"/>
      <c r="W19" s="3"/>
      <c r="X19" s="3"/>
      <c r="Y19" s="3"/>
      <c r="Z19" s="3"/>
    </row>
    <row r="20">
      <c r="A20" s="7"/>
      <c r="B20" s="6"/>
      <c r="C20" s="6"/>
      <c r="D20" s="3"/>
      <c r="E20" s="3"/>
      <c r="F20" s="3"/>
      <c r="G20" s="3"/>
      <c r="H20" s="3"/>
      <c r="I20" s="3"/>
      <c r="J20" s="3"/>
      <c r="K20" s="3"/>
      <c r="L20" s="3"/>
      <c r="M20" s="3"/>
      <c r="N20" s="3"/>
      <c r="O20" s="3"/>
      <c r="P20" s="3"/>
      <c r="Q20" s="3"/>
      <c r="R20" s="3"/>
      <c r="S20" s="3"/>
      <c r="T20" s="3"/>
      <c r="U20" s="3"/>
      <c r="V20" s="3"/>
      <c r="W20" s="3"/>
      <c r="X20" s="3"/>
      <c r="Y20" s="3"/>
      <c r="Z20" s="3"/>
    </row>
    <row r="21">
      <c r="A21" s="7"/>
      <c r="B21" s="6"/>
      <c r="C21" s="6"/>
      <c r="D21" s="3"/>
      <c r="E21" s="3"/>
      <c r="F21" s="3"/>
      <c r="G21" s="3"/>
      <c r="H21" s="3"/>
      <c r="I21" s="3"/>
      <c r="J21" s="3"/>
      <c r="K21" s="3"/>
      <c r="L21" s="3"/>
      <c r="M21" s="3"/>
      <c r="N21" s="3"/>
      <c r="O21" s="3"/>
      <c r="P21" s="3"/>
      <c r="Q21" s="3"/>
      <c r="R21" s="3"/>
      <c r="S21" s="3"/>
      <c r="T21" s="3"/>
      <c r="U21" s="3"/>
      <c r="V21" s="3"/>
      <c r="W21" s="3"/>
      <c r="X21" s="3"/>
      <c r="Y21" s="3"/>
      <c r="Z21" s="3"/>
    </row>
    <row r="22">
      <c r="A22" s="7"/>
      <c r="B22" s="6"/>
      <c r="C22" s="6"/>
      <c r="D22" s="3"/>
      <c r="E22" s="3"/>
      <c r="F22" s="3"/>
      <c r="G22" s="3"/>
      <c r="H22" s="3"/>
      <c r="I22" s="3"/>
      <c r="J22" s="3"/>
      <c r="K22" s="3"/>
      <c r="L22" s="3"/>
      <c r="M22" s="3"/>
      <c r="N22" s="3"/>
      <c r="O22" s="3"/>
      <c r="P22" s="3"/>
      <c r="Q22" s="3"/>
      <c r="R22" s="3"/>
      <c r="S22" s="3"/>
      <c r="T22" s="3"/>
      <c r="U22" s="3"/>
      <c r="V22" s="3"/>
      <c r="W22" s="3"/>
      <c r="X22" s="3"/>
      <c r="Y22" s="3"/>
      <c r="Z22" s="3"/>
    </row>
    <row r="23">
      <c r="A23" s="7"/>
      <c r="B23" s="6"/>
      <c r="C23" s="6"/>
      <c r="D23" s="3"/>
      <c r="E23" s="3"/>
      <c r="F23" s="3"/>
      <c r="G23" s="3"/>
      <c r="H23" s="3"/>
      <c r="I23" s="3"/>
      <c r="J23" s="3"/>
      <c r="K23" s="3"/>
      <c r="L23" s="3"/>
      <c r="M23" s="3"/>
      <c r="N23" s="3"/>
      <c r="O23" s="3"/>
      <c r="P23" s="3"/>
      <c r="Q23" s="3"/>
      <c r="R23" s="3"/>
      <c r="S23" s="3"/>
      <c r="T23" s="3"/>
      <c r="U23" s="3"/>
      <c r="V23" s="3"/>
      <c r="W23" s="3"/>
      <c r="X23" s="3"/>
      <c r="Y23" s="3"/>
      <c r="Z23" s="3"/>
    </row>
    <row r="24">
      <c r="A24" s="7"/>
      <c r="B24" s="6"/>
      <c r="C24" s="6"/>
      <c r="D24" s="3"/>
      <c r="E24" s="3"/>
      <c r="F24" s="3"/>
      <c r="G24" s="3"/>
      <c r="H24" s="3"/>
      <c r="I24" s="3"/>
      <c r="J24" s="3"/>
      <c r="K24" s="3"/>
      <c r="L24" s="3"/>
      <c r="M24" s="3"/>
      <c r="N24" s="3"/>
      <c r="O24" s="3"/>
      <c r="P24" s="3"/>
      <c r="Q24" s="3"/>
      <c r="R24" s="3"/>
      <c r="S24" s="3"/>
      <c r="T24" s="3"/>
      <c r="U24" s="3"/>
      <c r="V24" s="3"/>
      <c r="W24" s="3"/>
      <c r="X24" s="3"/>
      <c r="Y24" s="3"/>
      <c r="Z24" s="3"/>
    </row>
    <row r="25">
      <c r="A25" s="7"/>
      <c r="B25" s="6"/>
      <c r="C25" s="6"/>
      <c r="D25" s="3"/>
      <c r="E25" s="3"/>
      <c r="F25" s="3"/>
      <c r="G25" s="3"/>
      <c r="H25" s="3"/>
      <c r="I25" s="3"/>
      <c r="J25" s="3"/>
      <c r="K25" s="3"/>
      <c r="L25" s="3"/>
      <c r="M25" s="3"/>
      <c r="N25" s="3"/>
      <c r="O25" s="3"/>
      <c r="P25" s="3"/>
      <c r="Q25" s="3"/>
      <c r="R25" s="3"/>
      <c r="S25" s="3"/>
      <c r="T25" s="3"/>
      <c r="U25" s="3"/>
      <c r="V25" s="3"/>
      <c r="W25" s="3"/>
      <c r="X25" s="3"/>
      <c r="Y25" s="3"/>
      <c r="Z25" s="3"/>
    </row>
    <row r="26">
      <c r="A26" s="7"/>
      <c r="B26" s="6"/>
      <c r="C26" s="6"/>
      <c r="D26" s="3"/>
      <c r="E26" s="3"/>
      <c r="F26" s="3"/>
      <c r="G26" s="3"/>
      <c r="H26" s="3"/>
      <c r="I26" s="3"/>
      <c r="J26" s="3"/>
      <c r="K26" s="3"/>
      <c r="L26" s="3"/>
      <c r="M26" s="3"/>
      <c r="N26" s="3"/>
      <c r="O26" s="3"/>
      <c r="P26" s="3"/>
      <c r="Q26" s="3"/>
      <c r="R26" s="3"/>
      <c r="S26" s="3"/>
      <c r="T26" s="3"/>
      <c r="U26" s="3"/>
      <c r="V26" s="3"/>
      <c r="W26" s="3"/>
      <c r="X26" s="3"/>
      <c r="Y26" s="3"/>
      <c r="Z26" s="3"/>
    </row>
    <row r="27">
      <c r="A27" s="7"/>
      <c r="B27" s="6"/>
      <c r="C27" s="6"/>
      <c r="D27" s="3"/>
      <c r="E27" s="3"/>
      <c r="F27" s="3"/>
      <c r="G27" s="3"/>
      <c r="H27" s="3"/>
      <c r="I27" s="3"/>
      <c r="J27" s="3"/>
      <c r="K27" s="3"/>
      <c r="L27" s="3"/>
      <c r="M27" s="3"/>
      <c r="N27" s="3"/>
      <c r="O27" s="3"/>
      <c r="P27" s="3"/>
      <c r="Q27" s="3"/>
      <c r="R27" s="3"/>
      <c r="S27" s="3"/>
      <c r="T27" s="3"/>
      <c r="U27" s="3"/>
      <c r="V27" s="3"/>
      <c r="W27" s="3"/>
      <c r="X27" s="3"/>
      <c r="Y27" s="3"/>
      <c r="Z27" s="3"/>
    </row>
    <row r="28">
      <c r="A28" s="7"/>
      <c r="B28" s="6"/>
      <c r="C28" s="6"/>
      <c r="D28" s="3"/>
      <c r="E28" s="3"/>
      <c r="F28" s="3"/>
      <c r="G28" s="3"/>
      <c r="H28" s="3"/>
      <c r="I28" s="3"/>
      <c r="J28" s="3"/>
      <c r="K28" s="3"/>
      <c r="L28" s="3"/>
      <c r="M28" s="3"/>
      <c r="N28" s="3"/>
      <c r="O28" s="3"/>
      <c r="P28" s="3"/>
      <c r="Q28" s="3"/>
      <c r="R28" s="3"/>
      <c r="S28" s="3"/>
      <c r="T28" s="3"/>
      <c r="U28" s="3"/>
      <c r="V28" s="3"/>
      <c r="W28" s="3"/>
      <c r="X28" s="3"/>
      <c r="Y28" s="3"/>
      <c r="Z28" s="3"/>
    </row>
    <row r="29">
      <c r="A29" s="7"/>
      <c r="B29" s="6"/>
      <c r="C29" s="6"/>
      <c r="D29" s="3"/>
      <c r="E29" s="3"/>
      <c r="F29" s="3"/>
      <c r="G29" s="3"/>
      <c r="H29" s="3"/>
      <c r="I29" s="3"/>
      <c r="J29" s="3"/>
      <c r="K29" s="3"/>
      <c r="L29" s="3"/>
      <c r="M29" s="3"/>
      <c r="N29" s="3"/>
      <c r="O29" s="3"/>
      <c r="P29" s="3"/>
      <c r="Q29" s="3"/>
      <c r="R29" s="3"/>
      <c r="S29" s="3"/>
      <c r="T29" s="3"/>
      <c r="U29" s="3"/>
      <c r="V29" s="3"/>
      <c r="W29" s="3"/>
      <c r="X29" s="3"/>
      <c r="Y29" s="3"/>
      <c r="Z29" s="3"/>
    </row>
    <row r="30">
      <c r="A30" s="7"/>
      <c r="B30" s="6"/>
      <c r="C30" s="6"/>
      <c r="D30" s="3"/>
      <c r="E30" s="3"/>
      <c r="F30" s="3"/>
      <c r="G30" s="3"/>
      <c r="H30" s="3"/>
      <c r="I30" s="3"/>
      <c r="J30" s="3"/>
      <c r="K30" s="3"/>
      <c r="L30" s="3"/>
      <c r="M30" s="3"/>
      <c r="N30" s="3"/>
      <c r="O30" s="3"/>
      <c r="P30" s="3"/>
      <c r="Q30" s="3"/>
      <c r="R30" s="3"/>
      <c r="S30" s="3"/>
      <c r="T30" s="3"/>
      <c r="U30" s="3"/>
      <c r="V30" s="3"/>
      <c r="W30" s="3"/>
      <c r="X30" s="3"/>
      <c r="Y30" s="3"/>
      <c r="Z30" s="3"/>
    </row>
    <row r="31">
      <c r="A31" s="7"/>
      <c r="B31" s="6"/>
      <c r="C31" s="6"/>
      <c r="D31" s="3"/>
      <c r="E31" s="3"/>
      <c r="F31" s="3"/>
      <c r="G31" s="3"/>
      <c r="H31" s="3"/>
      <c r="I31" s="3"/>
      <c r="J31" s="3"/>
      <c r="K31" s="3"/>
      <c r="L31" s="3"/>
      <c r="M31" s="3"/>
      <c r="N31" s="3"/>
      <c r="O31" s="3"/>
      <c r="P31" s="3"/>
      <c r="Q31" s="3"/>
      <c r="R31" s="3"/>
      <c r="S31" s="3"/>
      <c r="T31" s="3"/>
      <c r="U31" s="3"/>
      <c r="V31" s="3"/>
      <c r="W31" s="3"/>
      <c r="X31" s="3"/>
      <c r="Y31" s="3"/>
      <c r="Z31" s="3"/>
    </row>
    <row r="32">
      <c r="A32" s="7"/>
      <c r="B32" s="6"/>
      <c r="C32" s="6"/>
      <c r="D32" s="3"/>
      <c r="E32" s="3"/>
      <c r="F32" s="3"/>
      <c r="G32" s="3"/>
      <c r="H32" s="3"/>
      <c r="I32" s="3"/>
      <c r="J32" s="3"/>
      <c r="K32" s="3"/>
      <c r="L32" s="3"/>
      <c r="M32" s="3"/>
      <c r="N32" s="3"/>
      <c r="O32" s="3"/>
      <c r="P32" s="3"/>
      <c r="Q32" s="3"/>
      <c r="R32" s="3"/>
      <c r="S32" s="3"/>
      <c r="T32" s="3"/>
      <c r="U32" s="3"/>
      <c r="V32" s="3"/>
      <c r="W32" s="3"/>
      <c r="X32" s="3"/>
      <c r="Y32" s="3"/>
      <c r="Z32" s="3"/>
    </row>
    <row r="33">
      <c r="A33" s="7"/>
      <c r="B33" s="6"/>
      <c r="C33" s="6"/>
      <c r="D33" s="3"/>
      <c r="E33" s="3"/>
      <c r="F33" s="3"/>
      <c r="G33" s="3"/>
      <c r="H33" s="3"/>
      <c r="I33" s="3"/>
      <c r="J33" s="3"/>
      <c r="K33" s="3"/>
      <c r="L33" s="3"/>
      <c r="M33" s="3"/>
      <c r="N33" s="3"/>
      <c r="O33" s="3"/>
      <c r="P33" s="3"/>
      <c r="Q33" s="3"/>
      <c r="R33" s="3"/>
      <c r="S33" s="3"/>
      <c r="T33" s="3"/>
      <c r="U33" s="3"/>
      <c r="V33" s="3"/>
      <c r="W33" s="3"/>
      <c r="X33" s="3"/>
      <c r="Y33" s="3"/>
      <c r="Z33" s="3"/>
    </row>
    <row r="34">
      <c r="A34" s="7"/>
      <c r="B34" s="6"/>
      <c r="C34" s="6"/>
      <c r="D34" s="3"/>
      <c r="E34" s="3"/>
      <c r="F34" s="3"/>
      <c r="G34" s="3"/>
      <c r="H34" s="3"/>
      <c r="I34" s="3"/>
      <c r="J34" s="3"/>
      <c r="K34" s="3"/>
      <c r="L34" s="3"/>
      <c r="M34" s="3"/>
      <c r="N34" s="3"/>
      <c r="O34" s="3"/>
      <c r="P34" s="3"/>
      <c r="Q34" s="3"/>
      <c r="R34" s="3"/>
      <c r="S34" s="3"/>
      <c r="T34" s="3"/>
      <c r="U34" s="3"/>
      <c r="V34" s="3"/>
      <c r="W34" s="3"/>
      <c r="X34" s="3"/>
      <c r="Y34" s="3"/>
      <c r="Z34" s="3"/>
    </row>
    <row r="35">
      <c r="A35" s="7"/>
      <c r="B35" s="6"/>
      <c r="C35" s="6"/>
      <c r="D35" s="3"/>
      <c r="E35" s="3"/>
      <c r="F35" s="3"/>
      <c r="G35" s="3"/>
      <c r="H35" s="3"/>
      <c r="I35" s="3"/>
      <c r="J35" s="3"/>
      <c r="K35" s="3"/>
      <c r="L35" s="3"/>
      <c r="M35" s="3"/>
      <c r="N35" s="3"/>
      <c r="O35" s="3"/>
      <c r="P35" s="3"/>
      <c r="Q35" s="3"/>
      <c r="R35" s="3"/>
      <c r="S35" s="3"/>
      <c r="T35" s="3"/>
      <c r="U35" s="3"/>
      <c r="V35" s="3"/>
      <c r="W35" s="3"/>
      <c r="X35" s="3"/>
      <c r="Y35" s="3"/>
      <c r="Z35" s="3"/>
    </row>
    <row r="36">
      <c r="A36" s="7"/>
      <c r="B36" s="6"/>
      <c r="C36" s="6"/>
      <c r="D36" s="3"/>
      <c r="E36" s="3"/>
      <c r="F36" s="3"/>
      <c r="G36" s="3"/>
      <c r="H36" s="3"/>
      <c r="I36" s="3"/>
      <c r="J36" s="3"/>
      <c r="K36" s="3"/>
      <c r="L36" s="3"/>
      <c r="M36" s="3"/>
      <c r="N36" s="3"/>
      <c r="O36" s="3"/>
      <c r="P36" s="3"/>
      <c r="Q36" s="3"/>
      <c r="R36" s="3"/>
      <c r="S36" s="3"/>
      <c r="T36" s="3"/>
      <c r="U36" s="3"/>
      <c r="V36" s="3"/>
      <c r="W36" s="3"/>
      <c r="X36" s="3"/>
      <c r="Y36" s="3"/>
      <c r="Z36" s="3"/>
    </row>
    <row r="37">
      <c r="A37" s="7"/>
      <c r="B37" s="6"/>
      <c r="C37" s="6"/>
      <c r="D37" s="3"/>
      <c r="E37" s="3"/>
      <c r="F37" s="3"/>
      <c r="G37" s="3"/>
      <c r="H37" s="3"/>
      <c r="I37" s="3"/>
      <c r="J37" s="3"/>
      <c r="K37" s="3"/>
      <c r="L37" s="3"/>
      <c r="M37" s="3"/>
      <c r="N37" s="3"/>
      <c r="O37" s="3"/>
      <c r="P37" s="3"/>
      <c r="Q37" s="3"/>
      <c r="R37" s="3"/>
      <c r="S37" s="3"/>
      <c r="T37" s="3"/>
      <c r="U37" s="3"/>
      <c r="V37" s="3"/>
      <c r="W37" s="3"/>
      <c r="X37" s="3"/>
      <c r="Y37" s="3"/>
      <c r="Z37" s="3"/>
    </row>
    <row r="38">
      <c r="A38" s="7"/>
      <c r="B38" s="6"/>
      <c r="C38" s="6"/>
      <c r="D38" s="3"/>
      <c r="E38" s="3"/>
      <c r="F38" s="3"/>
      <c r="G38" s="3"/>
      <c r="H38" s="3"/>
      <c r="I38" s="3"/>
      <c r="J38" s="3"/>
      <c r="K38" s="3"/>
      <c r="L38" s="3"/>
      <c r="M38" s="3"/>
      <c r="N38" s="3"/>
      <c r="O38" s="3"/>
      <c r="P38" s="3"/>
      <c r="Q38" s="3"/>
      <c r="R38" s="3"/>
      <c r="S38" s="3"/>
      <c r="T38" s="3"/>
      <c r="U38" s="3"/>
      <c r="V38" s="3"/>
      <c r="W38" s="3"/>
      <c r="X38" s="3"/>
      <c r="Y38" s="3"/>
      <c r="Z38" s="3"/>
    </row>
    <row r="39">
      <c r="A39" s="7"/>
      <c r="B39" s="6"/>
      <c r="C39" s="6"/>
      <c r="D39" s="3"/>
      <c r="E39" s="3"/>
      <c r="F39" s="3"/>
      <c r="G39" s="3"/>
      <c r="H39" s="3"/>
      <c r="I39" s="3"/>
      <c r="J39" s="3"/>
      <c r="K39" s="3"/>
      <c r="L39" s="3"/>
      <c r="M39" s="3"/>
      <c r="N39" s="3"/>
      <c r="O39" s="3"/>
      <c r="P39" s="3"/>
      <c r="Q39" s="3"/>
      <c r="R39" s="3"/>
      <c r="S39" s="3"/>
      <c r="T39" s="3"/>
      <c r="U39" s="3"/>
      <c r="V39" s="3"/>
      <c r="W39" s="3"/>
      <c r="X39" s="3"/>
      <c r="Y39" s="3"/>
      <c r="Z39" s="3"/>
    </row>
    <row r="40">
      <c r="A40" s="7"/>
      <c r="B40" s="6"/>
      <c r="C40" s="6"/>
      <c r="D40" s="3"/>
      <c r="E40" s="3"/>
      <c r="F40" s="3"/>
      <c r="G40" s="3"/>
      <c r="H40" s="3"/>
      <c r="I40" s="3"/>
      <c r="J40" s="3"/>
      <c r="K40" s="3"/>
      <c r="L40" s="3"/>
      <c r="M40" s="3"/>
      <c r="N40" s="3"/>
      <c r="O40" s="3"/>
      <c r="P40" s="3"/>
      <c r="Q40" s="3"/>
      <c r="R40" s="3"/>
      <c r="S40" s="3"/>
      <c r="T40" s="3"/>
      <c r="U40" s="3"/>
      <c r="V40" s="3"/>
      <c r="W40" s="3"/>
      <c r="X40" s="3"/>
      <c r="Y40" s="3"/>
      <c r="Z40" s="3"/>
    </row>
    <row r="41">
      <c r="A41" s="7"/>
      <c r="B41" s="6"/>
      <c r="C41" s="6"/>
      <c r="D41" s="3"/>
      <c r="E41" s="3"/>
      <c r="F41" s="3"/>
      <c r="G41" s="3"/>
      <c r="H41" s="3"/>
      <c r="I41" s="3"/>
      <c r="J41" s="3"/>
      <c r="K41" s="3"/>
      <c r="L41" s="3"/>
      <c r="M41" s="3"/>
      <c r="N41" s="3"/>
      <c r="O41" s="3"/>
      <c r="P41" s="3"/>
      <c r="Q41" s="3"/>
      <c r="R41" s="3"/>
      <c r="S41" s="3"/>
      <c r="T41" s="3"/>
      <c r="U41" s="3"/>
      <c r="V41" s="3"/>
      <c r="W41" s="3"/>
      <c r="X41" s="3"/>
      <c r="Y41" s="3"/>
      <c r="Z41" s="3"/>
    </row>
    <row r="42">
      <c r="A42" s="7"/>
      <c r="B42" s="6"/>
      <c r="C42" s="6"/>
      <c r="D42" s="3"/>
      <c r="E42" s="3"/>
      <c r="F42" s="3"/>
      <c r="G42" s="3"/>
      <c r="H42" s="3"/>
      <c r="I42" s="3"/>
      <c r="J42" s="3"/>
      <c r="K42" s="3"/>
      <c r="L42" s="3"/>
      <c r="M42" s="3"/>
      <c r="N42" s="3"/>
      <c r="O42" s="3"/>
      <c r="P42" s="3"/>
      <c r="Q42" s="3"/>
      <c r="R42" s="3"/>
      <c r="S42" s="3"/>
      <c r="T42" s="3"/>
      <c r="U42" s="3"/>
      <c r="V42" s="3"/>
      <c r="W42" s="3"/>
      <c r="X42" s="3"/>
      <c r="Y42" s="3"/>
      <c r="Z42" s="3"/>
    </row>
    <row r="43">
      <c r="A43" s="7"/>
      <c r="B43" s="6"/>
      <c r="C43" s="6"/>
      <c r="D43" s="3"/>
      <c r="E43" s="3"/>
      <c r="F43" s="3"/>
      <c r="G43" s="3"/>
      <c r="H43" s="3"/>
      <c r="I43" s="3"/>
      <c r="J43" s="3"/>
      <c r="K43" s="3"/>
      <c r="L43" s="3"/>
      <c r="M43" s="3"/>
      <c r="N43" s="3"/>
      <c r="O43" s="3"/>
      <c r="P43" s="3"/>
      <c r="Q43" s="3"/>
      <c r="R43" s="3"/>
      <c r="S43" s="3"/>
      <c r="T43" s="3"/>
      <c r="U43" s="3"/>
      <c r="V43" s="3"/>
      <c r="W43" s="3"/>
      <c r="X43" s="3"/>
      <c r="Y43" s="3"/>
      <c r="Z43" s="3"/>
    </row>
    <row r="44">
      <c r="A44" s="7"/>
      <c r="B44" s="6"/>
      <c r="C44" s="6"/>
      <c r="D44" s="3"/>
      <c r="E44" s="3"/>
      <c r="F44" s="3"/>
      <c r="G44" s="3"/>
      <c r="H44" s="3"/>
      <c r="I44" s="3"/>
      <c r="J44" s="3"/>
      <c r="K44" s="3"/>
      <c r="L44" s="3"/>
      <c r="M44" s="3"/>
      <c r="N44" s="3"/>
      <c r="O44" s="3"/>
      <c r="P44" s="3"/>
      <c r="Q44" s="3"/>
      <c r="R44" s="3"/>
      <c r="S44" s="3"/>
      <c r="T44" s="3"/>
      <c r="U44" s="3"/>
      <c r="V44" s="3"/>
      <c r="W44" s="3"/>
      <c r="X44" s="3"/>
      <c r="Y44" s="3"/>
      <c r="Z44" s="3"/>
    </row>
    <row r="45">
      <c r="A45" s="7"/>
      <c r="B45" s="6"/>
      <c r="C45" s="6"/>
      <c r="D45" s="3"/>
      <c r="E45" s="3"/>
      <c r="F45" s="3"/>
      <c r="G45" s="3"/>
      <c r="H45" s="3"/>
      <c r="I45" s="3"/>
      <c r="J45" s="3"/>
      <c r="K45" s="3"/>
      <c r="L45" s="3"/>
      <c r="M45" s="3"/>
      <c r="N45" s="3"/>
      <c r="O45" s="3"/>
      <c r="P45" s="3"/>
      <c r="Q45" s="3"/>
      <c r="R45" s="3"/>
      <c r="S45" s="3"/>
      <c r="T45" s="3"/>
      <c r="U45" s="3"/>
      <c r="V45" s="3"/>
      <c r="W45" s="3"/>
      <c r="X45" s="3"/>
      <c r="Y45" s="3"/>
      <c r="Z45" s="3"/>
    </row>
    <row r="46">
      <c r="A46" s="7"/>
      <c r="B46" s="6"/>
      <c r="C46" s="6"/>
      <c r="D46" s="3"/>
      <c r="E46" s="3"/>
      <c r="F46" s="3"/>
      <c r="G46" s="3"/>
      <c r="H46" s="3"/>
      <c r="I46" s="3"/>
      <c r="J46" s="3"/>
      <c r="K46" s="3"/>
      <c r="L46" s="3"/>
      <c r="M46" s="3"/>
      <c r="N46" s="3"/>
      <c r="O46" s="3"/>
      <c r="P46" s="3"/>
      <c r="Q46" s="3"/>
      <c r="R46" s="3"/>
      <c r="S46" s="3"/>
      <c r="T46" s="3"/>
      <c r="U46" s="3"/>
      <c r="V46" s="3"/>
      <c r="W46" s="3"/>
      <c r="X46" s="3"/>
      <c r="Y46" s="3"/>
      <c r="Z46" s="3"/>
    </row>
    <row r="47">
      <c r="A47" s="7"/>
      <c r="B47" s="6"/>
      <c r="C47" s="6"/>
      <c r="D47" s="3"/>
      <c r="E47" s="3"/>
      <c r="F47" s="3"/>
      <c r="G47" s="3"/>
      <c r="H47" s="3"/>
      <c r="I47" s="3"/>
      <c r="J47" s="3"/>
      <c r="K47" s="3"/>
      <c r="L47" s="3"/>
      <c r="M47" s="3"/>
      <c r="N47" s="3"/>
      <c r="O47" s="3"/>
      <c r="P47" s="3"/>
      <c r="Q47" s="3"/>
      <c r="R47" s="3"/>
      <c r="S47" s="3"/>
      <c r="T47" s="3"/>
      <c r="U47" s="3"/>
      <c r="V47" s="3"/>
      <c r="W47" s="3"/>
      <c r="X47" s="3"/>
      <c r="Y47" s="3"/>
      <c r="Z47" s="3"/>
    </row>
    <row r="48">
      <c r="A48" s="7"/>
      <c r="B48" s="6"/>
      <c r="C48" s="6"/>
      <c r="D48" s="3"/>
      <c r="E48" s="3"/>
      <c r="F48" s="3"/>
      <c r="G48" s="3"/>
      <c r="H48" s="3"/>
      <c r="I48" s="3"/>
      <c r="J48" s="3"/>
      <c r="K48" s="3"/>
      <c r="L48" s="3"/>
      <c r="M48" s="3"/>
      <c r="N48" s="3"/>
      <c r="O48" s="3"/>
      <c r="P48" s="3"/>
      <c r="Q48" s="3"/>
      <c r="R48" s="3"/>
      <c r="S48" s="3"/>
      <c r="T48" s="3"/>
      <c r="U48" s="3"/>
      <c r="V48" s="3"/>
      <c r="W48" s="3"/>
      <c r="X48" s="3"/>
      <c r="Y48" s="3"/>
      <c r="Z48" s="3"/>
    </row>
    <row r="49">
      <c r="A49" s="7"/>
      <c r="B49" s="6"/>
      <c r="C49" s="6"/>
      <c r="D49" s="3"/>
      <c r="E49" s="3"/>
      <c r="F49" s="3"/>
      <c r="G49" s="3"/>
      <c r="H49" s="3"/>
      <c r="I49" s="3"/>
      <c r="J49" s="3"/>
      <c r="K49" s="3"/>
      <c r="L49" s="3"/>
      <c r="M49" s="3"/>
      <c r="N49" s="3"/>
      <c r="O49" s="3"/>
      <c r="P49" s="3"/>
      <c r="Q49" s="3"/>
      <c r="R49" s="3"/>
      <c r="S49" s="3"/>
      <c r="T49" s="3"/>
      <c r="U49" s="3"/>
      <c r="V49" s="3"/>
      <c r="W49" s="3"/>
      <c r="X49" s="3"/>
      <c r="Y49" s="3"/>
      <c r="Z49" s="3"/>
    </row>
    <row r="50">
      <c r="A50" s="7"/>
      <c r="B50" s="6"/>
      <c r="C50" s="6"/>
      <c r="D50" s="3"/>
      <c r="E50" s="3"/>
      <c r="F50" s="3"/>
      <c r="G50" s="3"/>
      <c r="H50" s="3"/>
      <c r="I50" s="3"/>
      <c r="J50" s="3"/>
      <c r="K50" s="3"/>
      <c r="L50" s="3"/>
      <c r="M50" s="3"/>
      <c r="N50" s="3"/>
      <c r="O50" s="3"/>
      <c r="P50" s="3"/>
      <c r="Q50" s="3"/>
      <c r="R50" s="3"/>
      <c r="S50" s="3"/>
      <c r="T50" s="3"/>
      <c r="U50" s="3"/>
      <c r="V50" s="3"/>
      <c r="W50" s="3"/>
      <c r="X50" s="3"/>
      <c r="Y50" s="3"/>
      <c r="Z50" s="3"/>
    </row>
    <row r="51">
      <c r="A51" s="7"/>
      <c r="B51" s="6"/>
      <c r="C51" s="6"/>
      <c r="D51" s="3"/>
      <c r="E51" s="3"/>
      <c r="F51" s="3"/>
      <c r="G51" s="3"/>
      <c r="H51" s="3"/>
      <c r="I51" s="3"/>
      <c r="J51" s="3"/>
      <c r="K51" s="3"/>
      <c r="L51" s="3"/>
      <c r="M51" s="3"/>
      <c r="N51" s="3"/>
      <c r="O51" s="3"/>
      <c r="P51" s="3"/>
      <c r="Q51" s="3"/>
      <c r="R51" s="3"/>
      <c r="S51" s="3"/>
      <c r="T51" s="3"/>
      <c r="U51" s="3"/>
      <c r="V51" s="3"/>
      <c r="W51" s="3"/>
      <c r="X51" s="3"/>
      <c r="Y51" s="3"/>
      <c r="Z51" s="3"/>
    </row>
    <row r="52">
      <c r="A52" s="7"/>
      <c r="B52" s="6"/>
      <c r="C52" s="6"/>
      <c r="D52" s="3"/>
      <c r="E52" s="3"/>
      <c r="F52" s="3"/>
      <c r="G52" s="3"/>
      <c r="H52" s="3"/>
      <c r="I52" s="3"/>
      <c r="J52" s="3"/>
      <c r="K52" s="3"/>
      <c r="L52" s="3"/>
      <c r="M52" s="3"/>
      <c r="N52" s="3"/>
      <c r="O52" s="3"/>
      <c r="P52" s="3"/>
      <c r="Q52" s="3"/>
      <c r="R52" s="3"/>
      <c r="S52" s="3"/>
      <c r="T52" s="3"/>
      <c r="U52" s="3"/>
      <c r="V52" s="3"/>
      <c r="W52" s="3"/>
      <c r="X52" s="3"/>
      <c r="Y52" s="3"/>
      <c r="Z52" s="3"/>
    </row>
    <row r="53">
      <c r="A53" s="7"/>
      <c r="B53" s="6"/>
      <c r="C53" s="6"/>
      <c r="D53" s="3"/>
      <c r="E53" s="3"/>
      <c r="F53" s="3"/>
      <c r="G53" s="3"/>
      <c r="H53" s="3"/>
      <c r="I53" s="3"/>
      <c r="J53" s="3"/>
      <c r="K53" s="3"/>
      <c r="L53" s="3"/>
      <c r="M53" s="3"/>
      <c r="N53" s="3"/>
      <c r="O53" s="3"/>
      <c r="P53" s="3"/>
      <c r="Q53" s="3"/>
      <c r="R53" s="3"/>
      <c r="S53" s="3"/>
      <c r="T53" s="3"/>
      <c r="U53" s="3"/>
      <c r="V53" s="3"/>
      <c r="W53" s="3"/>
      <c r="X53" s="3"/>
      <c r="Y53" s="3"/>
      <c r="Z53" s="3"/>
    </row>
    <row r="54">
      <c r="A54" s="7"/>
      <c r="B54" s="6"/>
      <c r="C54" s="6"/>
      <c r="D54" s="3"/>
      <c r="E54" s="3"/>
      <c r="F54" s="3"/>
      <c r="G54" s="3"/>
      <c r="H54" s="3"/>
      <c r="I54" s="3"/>
      <c r="J54" s="3"/>
      <c r="K54" s="3"/>
      <c r="L54" s="3"/>
      <c r="M54" s="3"/>
      <c r="N54" s="3"/>
      <c r="O54" s="3"/>
      <c r="P54" s="3"/>
      <c r="Q54" s="3"/>
      <c r="R54" s="3"/>
      <c r="S54" s="3"/>
      <c r="T54" s="3"/>
      <c r="U54" s="3"/>
      <c r="V54" s="3"/>
      <c r="W54" s="3"/>
      <c r="X54" s="3"/>
      <c r="Y54" s="3"/>
      <c r="Z54" s="3"/>
    </row>
    <row r="55">
      <c r="A55" s="7"/>
      <c r="B55" s="6"/>
      <c r="C55" s="6"/>
      <c r="D55" s="3"/>
      <c r="E55" s="3"/>
      <c r="F55" s="3"/>
      <c r="G55" s="3"/>
      <c r="H55" s="3"/>
      <c r="I55" s="3"/>
      <c r="J55" s="3"/>
      <c r="K55" s="3"/>
      <c r="L55" s="3"/>
      <c r="M55" s="3"/>
      <c r="N55" s="3"/>
      <c r="O55" s="3"/>
      <c r="P55" s="3"/>
      <c r="Q55" s="3"/>
      <c r="R55" s="3"/>
      <c r="S55" s="3"/>
      <c r="T55" s="3"/>
      <c r="U55" s="3"/>
      <c r="V55" s="3"/>
      <c r="W55" s="3"/>
      <c r="X55" s="3"/>
      <c r="Y55" s="3"/>
      <c r="Z55" s="3"/>
    </row>
    <row r="56">
      <c r="A56" s="7"/>
      <c r="B56" s="6"/>
      <c r="C56" s="6"/>
      <c r="D56" s="3"/>
      <c r="E56" s="3"/>
      <c r="F56" s="3"/>
      <c r="G56" s="3"/>
      <c r="H56" s="3"/>
      <c r="I56" s="3"/>
      <c r="J56" s="3"/>
      <c r="K56" s="3"/>
      <c r="L56" s="3"/>
      <c r="M56" s="3"/>
      <c r="N56" s="3"/>
      <c r="O56" s="3"/>
      <c r="P56" s="3"/>
      <c r="Q56" s="3"/>
      <c r="R56" s="3"/>
      <c r="S56" s="3"/>
      <c r="T56" s="3"/>
      <c r="U56" s="3"/>
      <c r="V56" s="3"/>
      <c r="W56" s="3"/>
      <c r="X56" s="3"/>
      <c r="Y56" s="3"/>
      <c r="Z56" s="3"/>
    </row>
    <row r="57">
      <c r="A57" s="7"/>
      <c r="B57" s="6"/>
      <c r="C57" s="6"/>
      <c r="D57" s="3"/>
      <c r="E57" s="3"/>
      <c r="F57" s="3"/>
      <c r="G57" s="3"/>
      <c r="H57" s="3"/>
      <c r="I57" s="3"/>
      <c r="J57" s="3"/>
      <c r="K57" s="3"/>
      <c r="L57" s="3"/>
      <c r="M57" s="3"/>
      <c r="N57" s="3"/>
      <c r="O57" s="3"/>
      <c r="P57" s="3"/>
      <c r="Q57" s="3"/>
      <c r="R57" s="3"/>
      <c r="S57" s="3"/>
      <c r="T57" s="3"/>
      <c r="U57" s="3"/>
      <c r="V57" s="3"/>
      <c r="W57" s="3"/>
      <c r="X57" s="3"/>
      <c r="Y57" s="3"/>
      <c r="Z57" s="3"/>
    </row>
    <row r="58">
      <c r="A58" s="7"/>
      <c r="B58" s="6"/>
      <c r="C58" s="6"/>
      <c r="D58" s="3"/>
      <c r="E58" s="3"/>
      <c r="F58" s="3"/>
      <c r="G58" s="3"/>
      <c r="H58" s="3"/>
      <c r="I58" s="3"/>
      <c r="J58" s="3"/>
      <c r="K58" s="3"/>
      <c r="L58" s="3"/>
      <c r="M58" s="3"/>
      <c r="N58" s="3"/>
      <c r="O58" s="3"/>
      <c r="P58" s="3"/>
      <c r="Q58" s="3"/>
      <c r="R58" s="3"/>
      <c r="S58" s="3"/>
      <c r="T58" s="3"/>
      <c r="U58" s="3"/>
      <c r="V58" s="3"/>
      <c r="W58" s="3"/>
      <c r="X58" s="3"/>
      <c r="Y58" s="3"/>
      <c r="Z58" s="3"/>
    </row>
    <row r="59">
      <c r="A59" s="7"/>
      <c r="B59" s="6"/>
      <c r="C59" s="6"/>
      <c r="D59" s="3"/>
      <c r="E59" s="3"/>
      <c r="F59" s="3"/>
      <c r="G59" s="3"/>
      <c r="H59" s="3"/>
      <c r="I59" s="3"/>
      <c r="J59" s="3"/>
      <c r="K59" s="3"/>
      <c r="L59" s="3"/>
      <c r="M59" s="3"/>
      <c r="N59" s="3"/>
      <c r="O59" s="3"/>
      <c r="P59" s="3"/>
      <c r="Q59" s="3"/>
      <c r="R59" s="3"/>
      <c r="S59" s="3"/>
      <c r="T59" s="3"/>
      <c r="U59" s="3"/>
      <c r="V59" s="3"/>
      <c r="W59" s="3"/>
      <c r="X59" s="3"/>
      <c r="Y59" s="3"/>
      <c r="Z59" s="3"/>
    </row>
    <row r="60">
      <c r="A60" s="7"/>
      <c r="B60" s="6"/>
      <c r="C60" s="6"/>
      <c r="D60" s="3"/>
      <c r="E60" s="3"/>
      <c r="F60" s="3"/>
      <c r="G60" s="3"/>
      <c r="H60" s="3"/>
      <c r="I60" s="3"/>
      <c r="J60" s="3"/>
      <c r="K60" s="3"/>
      <c r="L60" s="3"/>
      <c r="M60" s="3"/>
      <c r="N60" s="3"/>
      <c r="O60" s="3"/>
      <c r="P60" s="3"/>
      <c r="Q60" s="3"/>
      <c r="R60" s="3"/>
      <c r="S60" s="3"/>
      <c r="T60" s="3"/>
      <c r="U60" s="3"/>
      <c r="V60" s="3"/>
      <c r="W60" s="3"/>
      <c r="X60" s="3"/>
      <c r="Y60" s="3"/>
      <c r="Z60" s="3"/>
    </row>
    <row r="61">
      <c r="A61" s="7"/>
      <c r="B61" s="6"/>
      <c r="C61" s="6"/>
      <c r="D61" s="3"/>
      <c r="E61" s="3"/>
      <c r="F61" s="3"/>
      <c r="G61" s="3"/>
      <c r="H61" s="3"/>
      <c r="I61" s="3"/>
      <c r="J61" s="3"/>
      <c r="K61" s="3"/>
      <c r="L61" s="3"/>
      <c r="M61" s="3"/>
      <c r="N61" s="3"/>
      <c r="O61" s="3"/>
      <c r="P61" s="3"/>
      <c r="Q61" s="3"/>
      <c r="R61" s="3"/>
      <c r="S61" s="3"/>
      <c r="T61" s="3"/>
      <c r="U61" s="3"/>
      <c r="V61" s="3"/>
      <c r="W61" s="3"/>
      <c r="X61" s="3"/>
      <c r="Y61" s="3"/>
      <c r="Z61" s="3"/>
    </row>
    <row r="62">
      <c r="A62" s="7"/>
      <c r="B62" s="6"/>
      <c r="C62" s="6"/>
      <c r="D62" s="3"/>
      <c r="E62" s="3"/>
      <c r="F62" s="3"/>
      <c r="G62" s="3"/>
      <c r="H62" s="3"/>
      <c r="I62" s="3"/>
      <c r="J62" s="3"/>
      <c r="K62" s="3"/>
      <c r="L62" s="3"/>
      <c r="M62" s="3"/>
      <c r="N62" s="3"/>
      <c r="O62" s="3"/>
      <c r="P62" s="3"/>
      <c r="Q62" s="3"/>
      <c r="R62" s="3"/>
      <c r="S62" s="3"/>
      <c r="T62" s="3"/>
      <c r="U62" s="3"/>
      <c r="V62" s="3"/>
      <c r="W62" s="3"/>
      <c r="X62" s="3"/>
      <c r="Y62" s="3"/>
      <c r="Z62" s="3"/>
    </row>
    <row r="63">
      <c r="A63" s="7"/>
      <c r="B63" s="6"/>
      <c r="C63" s="6"/>
      <c r="D63" s="3"/>
      <c r="E63" s="3"/>
      <c r="F63" s="3"/>
      <c r="G63" s="3"/>
      <c r="H63" s="3"/>
      <c r="I63" s="3"/>
      <c r="J63" s="3"/>
      <c r="K63" s="3"/>
      <c r="L63" s="3"/>
      <c r="M63" s="3"/>
      <c r="N63" s="3"/>
      <c r="O63" s="3"/>
      <c r="P63" s="3"/>
      <c r="Q63" s="3"/>
      <c r="R63" s="3"/>
      <c r="S63" s="3"/>
      <c r="T63" s="3"/>
      <c r="U63" s="3"/>
      <c r="V63" s="3"/>
      <c r="W63" s="3"/>
      <c r="X63" s="3"/>
      <c r="Y63" s="3"/>
      <c r="Z63" s="3"/>
    </row>
    <row r="64">
      <c r="A64" s="7"/>
      <c r="B64" s="6"/>
      <c r="C64" s="6"/>
      <c r="D64" s="3"/>
      <c r="E64" s="3"/>
      <c r="F64" s="3"/>
      <c r="G64" s="3"/>
      <c r="H64" s="3"/>
      <c r="I64" s="3"/>
      <c r="J64" s="3"/>
      <c r="K64" s="3"/>
      <c r="L64" s="3"/>
      <c r="M64" s="3"/>
      <c r="N64" s="3"/>
      <c r="O64" s="3"/>
      <c r="P64" s="3"/>
      <c r="Q64" s="3"/>
      <c r="R64" s="3"/>
      <c r="S64" s="3"/>
      <c r="T64" s="3"/>
      <c r="U64" s="3"/>
      <c r="V64" s="3"/>
      <c r="W64" s="3"/>
      <c r="X64" s="3"/>
      <c r="Y64" s="3"/>
      <c r="Z64" s="3"/>
    </row>
    <row r="65">
      <c r="A65" s="7"/>
      <c r="B65" s="6"/>
      <c r="C65" s="6"/>
      <c r="D65" s="3"/>
      <c r="E65" s="3"/>
      <c r="F65" s="3"/>
      <c r="G65" s="3"/>
      <c r="H65" s="3"/>
      <c r="I65" s="3"/>
      <c r="J65" s="3"/>
      <c r="K65" s="3"/>
      <c r="L65" s="3"/>
      <c r="M65" s="3"/>
      <c r="N65" s="3"/>
      <c r="O65" s="3"/>
      <c r="P65" s="3"/>
      <c r="Q65" s="3"/>
      <c r="R65" s="3"/>
      <c r="S65" s="3"/>
      <c r="T65" s="3"/>
      <c r="U65" s="3"/>
      <c r="V65" s="3"/>
      <c r="W65" s="3"/>
      <c r="X65" s="3"/>
      <c r="Y65" s="3"/>
      <c r="Z65" s="3"/>
    </row>
    <row r="66">
      <c r="A66" s="7"/>
      <c r="B66" s="6"/>
      <c r="C66" s="6"/>
      <c r="D66" s="3"/>
      <c r="E66" s="3"/>
      <c r="F66" s="3"/>
      <c r="G66" s="3"/>
      <c r="H66" s="3"/>
      <c r="I66" s="3"/>
      <c r="J66" s="3"/>
      <c r="K66" s="3"/>
      <c r="L66" s="3"/>
      <c r="M66" s="3"/>
      <c r="N66" s="3"/>
      <c r="O66" s="3"/>
      <c r="P66" s="3"/>
      <c r="Q66" s="3"/>
      <c r="R66" s="3"/>
      <c r="S66" s="3"/>
      <c r="T66" s="3"/>
      <c r="U66" s="3"/>
      <c r="V66" s="3"/>
      <c r="W66" s="3"/>
      <c r="X66" s="3"/>
      <c r="Y66" s="3"/>
      <c r="Z66" s="3"/>
    </row>
    <row r="67">
      <c r="A67" s="7"/>
      <c r="B67" s="6"/>
      <c r="C67" s="6"/>
      <c r="D67" s="3"/>
      <c r="E67" s="3"/>
      <c r="F67" s="3"/>
      <c r="G67" s="3"/>
      <c r="H67" s="3"/>
      <c r="I67" s="3"/>
      <c r="J67" s="3"/>
      <c r="K67" s="3"/>
      <c r="L67" s="3"/>
      <c r="M67" s="3"/>
      <c r="N67" s="3"/>
      <c r="O67" s="3"/>
      <c r="P67" s="3"/>
      <c r="Q67" s="3"/>
      <c r="R67" s="3"/>
      <c r="S67" s="3"/>
      <c r="T67" s="3"/>
      <c r="U67" s="3"/>
      <c r="V67" s="3"/>
      <c r="W67" s="3"/>
      <c r="X67" s="3"/>
      <c r="Y67" s="3"/>
      <c r="Z67" s="3"/>
    </row>
    <row r="68">
      <c r="A68" s="7"/>
      <c r="B68" s="6"/>
      <c r="C68" s="6"/>
      <c r="D68" s="3"/>
      <c r="E68" s="3"/>
      <c r="F68" s="3"/>
      <c r="G68" s="3"/>
      <c r="H68" s="3"/>
      <c r="I68" s="3"/>
      <c r="J68" s="3"/>
      <c r="K68" s="3"/>
      <c r="L68" s="3"/>
      <c r="M68" s="3"/>
      <c r="N68" s="3"/>
      <c r="O68" s="3"/>
      <c r="P68" s="3"/>
      <c r="Q68" s="3"/>
      <c r="R68" s="3"/>
      <c r="S68" s="3"/>
      <c r="T68" s="3"/>
      <c r="U68" s="3"/>
      <c r="V68" s="3"/>
      <c r="W68" s="3"/>
      <c r="X68" s="3"/>
      <c r="Y68" s="3"/>
      <c r="Z68" s="3"/>
    </row>
    <row r="69">
      <c r="A69" s="7"/>
      <c r="B69" s="6"/>
      <c r="C69" s="6"/>
      <c r="D69" s="3"/>
      <c r="E69" s="3"/>
      <c r="F69" s="3"/>
      <c r="G69" s="3"/>
      <c r="H69" s="3"/>
      <c r="I69" s="3"/>
      <c r="J69" s="3"/>
      <c r="K69" s="3"/>
      <c r="L69" s="3"/>
      <c r="M69" s="3"/>
      <c r="N69" s="3"/>
      <c r="O69" s="3"/>
      <c r="P69" s="3"/>
      <c r="Q69" s="3"/>
      <c r="R69" s="3"/>
      <c r="S69" s="3"/>
      <c r="T69" s="3"/>
      <c r="U69" s="3"/>
      <c r="V69" s="3"/>
      <c r="W69" s="3"/>
      <c r="X69" s="3"/>
      <c r="Y69" s="3"/>
      <c r="Z69" s="3"/>
    </row>
    <row r="70">
      <c r="A70" s="7"/>
      <c r="B70" s="6"/>
      <c r="C70" s="6"/>
      <c r="D70" s="3"/>
      <c r="E70" s="3"/>
      <c r="F70" s="3"/>
      <c r="G70" s="3"/>
      <c r="H70" s="3"/>
      <c r="I70" s="3"/>
      <c r="J70" s="3"/>
      <c r="K70" s="3"/>
      <c r="L70" s="3"/>
      <c r="M70" s="3"/>
      <c r="N70" s="3"/>
      <c r="O70" s="3"/>
      <c r="P70" s="3"/>
      <c r="Q70" s="3"/>
      <c r="R70" s="3"/>
      <c r="S70" s="3"/>
      <c r="T70" s="3"/>
      <c r="U70" s="3"/>
      <c r="V70" s="3"/>
      <c r="W70" s="3"/>
      <c r="X70" s="3"/>
      <c r="Y70" s="3"/>
      <c r="Z70" s="3"/>
    </row>
    <row r="71">
      <c r="A71" s="7"/>
      <c r="B71" s="6"/>
      <c r="C71" s="6"/>
      <c r="D71" s="3"/>
      <c r="E71" s="3"/>
      <c r="F71" s="3"/>
      <c r="G71" s="3"/>
      <c r="H71" s="3"/>
      <c r="I71" s="3"/>
      <c r="J71" s="3"/>
      <c r="K71" s="3"/>
      <c r="L71" s="3"/>
      <c r="M71" s="3"/>
      <c r="N71" s="3"/>
      <c r="O71" s="3"/>
      <c r="P71" s="3"/>
      <c r="Q71" s="3"/>
      <c r="R71" s="3"/>
      <c r="S71" s="3"/>
      <c r="T71" s="3"/>
      <c r="U71" s="3"/>
      <c r="V71" s="3"/>
      <c r="W71" s="3"/>
      <c r="X71" s="3"/>
      <c r="Y71" s="3"/>
      <c r="Z71" s="3"/>
    </row>
    <row r="72">
      <c r="A72" s="7"/>
      <c r="B72" s="6"/>
      <c r="C72" s="6"/>
      <c r="D72" s="3"/>
      <c r="E72" s="3"/>
      <c r="F72" s="3"/>
      <c r="G72" s="3"/>
      <c r="H72" s="3"/>
      <c r="I72" s="3"/>
      <c r="J72" s="3"/>
      <c r="K72" s="3"/>
      <c r="L72" s="3"/>
      <c r="M72" s="3"/>
      <c r="N72" s="3"/>
      <c r="O72" s="3"/>
      <c r="P72" s="3"/>
      <c r="Q72" s="3"/>
      <c r="R72" s="3"/>
      <c r="S72" s="3"/>
      <c r="T72" s="3"/>
      <c r="U72" s="3"/>
      <c r="V72" s="3"/>
      <c r="W72" s="3"/>
      <c r="X72" s="3"/>
      <c r="Y72" s="3"/>
      <c r="Z72" s="3"/>
    </row>
    <row r="73">
      <c r="A73" s="7"/>
      <c r="B73" s="6"/>
      <c r="C73" s="6"/>
      <c r="D73" s="3"/>
      <c r="E73" s="3"/>
      <c r="F73" s="3"/>
      <c r="G73" s="3"/>
      <c r="H73" s="3"/>
      <c r="I73" s="3"/>
      <c r="J73" s="3"/>
      <c r="K73" s="3"/>
      <c r="L73" s="3"/>
      <c r="M73" s="3"/>
      <c r="N73" s="3"/>
      <c r="O73" s="3"/>
      <c r="P73" s="3"/>
      <c r="Q73" s="3"/>
      <c r="R73" s="3"/>
      <c r="S73" s="3"/>
      <c r="T73" s="3"/>
      <c r="U73" s="3"/>
      <c r="V73" s="3"/>
      <c r="W73" s="3"/>
      <c r="X73" s="3"/>
      <c r="Y73" s="3"/>
      <c r="Z73" s="3"/>
    </row>
    <row r="74">
      <c r="A74" s="7"/>
      <c r="B74" s="6"/>
      <c r="C74" s="6"/>
      <c r="D74" s="3"/>
      <c r="E74" s="3"/>
      <c r="F74" s="3"/>
      <c r="G74" s="3"/>
      <c r="H74" s="3"/>
      <c r="I74" s="3"/>
      <c r="J74" s="3"/>
      <c r="K74" s="3"/>
      <c r="L74" s="3"/>
      <c r="M74" s="3"/>
      <c r="N74" s="3"/>
      <c r="O74" s="3"/>
      <c r="P74" s="3"/>
      <c r="Q74" s="3"/>
      <c r="R74" s="3"/>
      <c r="S74" s="3"/>
      <c r="T74" s="3"/>
      <c r="U74" s="3"/>
      <c r="V74" s="3"/>
      <c r="W74" s="3"/>
      <c r="X74" s="3"/>
      <c r="Y74" s="3"/>
      <c r="Z74" s="3"/>
    </row>
    <row r="75">
      <c r="A75" s="7"/>
      <c r="B75" s="6"/>
      <c r="C75" s="6"/>
      <c r="D75" s="3"/>
      <c r="E75" s="3"/>
      <c r="F75" s="3"/>
      <c r="G75" s="3"/>
      <c r="H75" s="3"/>
      <c r="I75" s="3"/>
      <c r="J75" s="3"/>
      <c r="K75" s="3"/>
      <c r="L75" s="3"/>
      <c r="M75" s="3"/>
      <c r="N75" s="3"/>
      <c r="O75" s="3"/>
      <c r="P75" s="3"/>
      <c r="Q75" s="3"/>
      <c r="R75" s="3"/>
      <c r="S75" s="3"/>
      <c r="T75" s="3"/>
      <c r="U75" s="3"/>
      <c r="V75" s="3"/>
      <c r="W75" s="3"/>
      <c r="X75" s="3"/>
      <c r="Y75" s="3"/>
      <c r="Z75" s="3"/>
    </row>
    <row r="76">
      <c r="A76" s="7"/>
      <c r="B76" s="6"/>
      <c r="C76" s="6"/>
      <c r="D76" s="3"/>
      <c r="E76" s="3"/>
      <c r="F76" s="3"/>
      <c r="G76" s="3"/>
      <c r="H76" s="3"/>
      <c r="I76" s="3"/>
      <c r="J76" s="3"/>
      <c r="K76" s="3"/>
      <c r="L76" s="3"/>
      <c r="M76" s="3"/>
      <c r="N76" s="3"/>
      <c r="O76" s="3"/>
      <c r="P76" s="3"/>
      <c r="Q76" s="3"/>
      <c r="R76" s="3"/>
      <c r="S76" s="3"/>
      <c r="T76" s="3"/>
      <c r="U76" s="3"/>
      <c r="V76" s="3"/>
      <c r="W76" s="3"/>
      <c r="X76" s="3"/>
      <c r="Y76" s="3"/>
      <c r="Z76" s="3"/>
    </row>
    <row r="77">
      <c r="A77" s="7"/>
      <c r="B77" s="6"/>
      <c r="C77" s="6"/>
      <c r="D77" s="3"/>
      <c r="E77" s="3"/>
      <c r="F77" s="3"/>
      <c r="G77" s="3"/>
      <c r="H77" s="3"/>
      <c r="I77" s="3"/>
      <c r="J77" s="3"/>
      <c r="K77" s="3"/>
      <c r="L77" s="3"/>
      <c r="M77" s="3"/>
      <c r="N77" s="3"/>
      <c r="O77" s="3"/>
      <c r="P77" s="3"/>
      <c r="Q77" s="3"/>
      <c r="R77" s="3"/>
      <c r="S77" s="3"/>
      <c r="T77" s="3"/>
      <c r="U77" s="3"/>
      <c r="V77" s="3"/>
      <c r="W77" s="3"/>
      <c r="X77" s="3"/>
      <c r="Y77" s="3"/>
      <c r="Z77" s="3"/>
    </row>
    <row r="78">
      <c r="A78" s="7"/>
      <c r="B78" s="6"/>
      <c r="C78" s="6"/>
      <c r="D78" s="3"/>
      <c r="E78" s="3"/>
      <c r="F78" s="3"/>
      <c r="G78" s="3"/>
      <c r="H78" s="3"/>
      <c r="I78" s="3"/>
      <c r="J78" s="3"/>
      <c r="K78" s="3"/>
      <c r="L78" s="3"/>
      <c r="M78" s="3"/>
      <c r="N78" s="3"/>
      <c r="O78" s="3"/>
      <c r="P78" s="3"/>
      <c r="Q78" s="3"/>
      <c r="R78" s="3"/>
      <c r="S78" s="3"/>
      <c r="T78" s="3"/>
      <c r="U78" s="3"/>
      <c r="V78" s="3"/>
      <c r="W78" s="3"/>
      <c r="X78" s="3"/>
      <c r="Y78" s="3"/>
      <c r="Z78" s="3"/>
    </row>
    <row r="79">
      <c r="A79" s="7"/>
      <c r="B79" s="6"/>
      <c r="C79" s="6"/>
      <c r="D79" s="3"/>
      <c r="E79" s="3"/>
      <c r="F79" s="3"/>
      <c r="G79" s="3"/>
      <c r="H79" s="3"/>
      <c r="I79" s="3"/>
      <c r="J79" s="3"/>
      <c r="K79" s="3"/>
      <c r="L79" s="3"/>
      <c r="M79" s="3"/>
      <c r="N79" s="3"/>
      <c r="O79" s="3"/>
      <c r="P79" s="3"/>
      <c r="Q79" s="3"/>
      <c r="R79" s="3"/>
      <c r="S79" s="3"/>
      <c r="T79" s="3"/>
      <c r="U79" s="3"/>
      <c r="V79" s="3"/>
      <c r="W79" s="3"/>
      <c r="X79" s="3"/>
      <c r="Y79" s="3"/>
      <c r="Z79" s="3"/>
    </row>
    <row r="80">
      <c r="A80" s="7"/>
      <c r="B80" s="6"/>
      <c r="C80" s="6"/>
      <c r="D80" s="3"/>
      <c r="E80" s="3"/>
      <c r="F80" s="3"/>
      <c r="G80" s="3"/>
      <c r="H80" s="3"/>
      <c r="I80" s="3"/>
      <c r="J80" s="3"/>
      <c r="K80" s="3"/>
      <c r="L80" s="3"/>
      <c r="M80" s="3"/>
      <c r="N80" s="3"/>
      <c r="O80" s="3"/>
      <c r="P80" s="3"/>
      <c r="Q80" s="3"/>
      <c r="R80" s="3"/>
      <c r="S80" s="3"/>
      <c r="T80" s="3"/>
      <c r="U80" s="3"/>
      <c r="V80" s="3"/>
      <c r="W80" s="3"/>
      <c r="X80" s="3"/>
      <c r="Y80" s="3"/>
      <c r="Z80" s="3"/>
    </row>
    <row r="81">
      <c r="A81" s="7"/>
      <c r="B81" s="6"/>
      <c r="C81" s="6"/>
      <c r="D81" s="3"/>
      <c r="E81" s="3"/>
      <c r="F81" s="3"/>
      <c r="G81" s="3"/>
      <c r="H81" s="3"/>
      <c r="I81" s="3"/>
      <c r="J81" s="3"/>
      <c r="K81" s="3"/>
      <c r="L81" s="3"/>
      <c r="M81" s="3"/>
      <c r="N81" s="3"/>
      <c r="O81" s="3"/>
      <c r="P81" s="3"/>
      <c r="Q81" s="3"/>
      <c r="R81" s="3"/>
      <c r="S81" s="3"/>
      <c r="T81" s="3"/>
      <c r="U81" s="3"/>
      <c r="V81" s="3"/>
      <c r="W81" s="3"/>
      <c r="X81" s="3"/>
      <c r="Y81" s="3"/>
      <c r="Z81" s="3"/>
    </row>
    <row r="82">
      <c r="A82" s="7"/>
      <c r="B82" s="6"/>
      <c r="C82" s="6"/>
      <c r="D82" s="3"/>
      <c r="E82" s="3"/>
      <c r="F82" s="3"/>
      <c r="G82" s="3"/>
      <c r="H82" s="3"/>
      <c r="I82" s="3"/>
      <c r="J82" s="3"/>
      <c r="K82" s="3"/>
      <c r="L82" s="3"/>
      <c r="M82" s="3"/>
      <c r="N82" s="3"/>
      <c r="O82" s="3"/>
      <c r="P82" s="3"/>
      <c r="Q82" s="3"/>
      <c r="R82" s="3"/>
      <c r="S82" s="3"/>
      <c r="T82" s="3"/>
      <c r="U82" s="3"/>
      <c r="V82" s="3"/>
      <c r="W82" s="3"/>
      <c r="X82" s="3"/>
      <c r="Y82" s="3"/>
      <c r="Z82" s="3"/>
    </row>
    <row r="83">
      <c r="A83" s="7"/>
      <c r="B83" s="6"/>
      <c r="C83" s="6"/>
      <c r="D83" s="3"/>
      <c r="E83" s="3"/>
      <c r="F83" s="3"/>
      <c r="G83" s="3"/>
      <c r="H83" s="3"/>
      <c r="I83" s="3"/>
      <c r="J83" s="3"/>
      <c r="K83" s="3"/>
      <c r="L83" s="3"/>
      <c r="M83" s="3"/>
      <c r="N83" s="3"/>
      <c r="O83" s="3"/>
      <c r="P83" s="3"/>
      <c r="Q83" s="3"/>
      <c r="R83" s="3"/>
      <c r="S83" s="3"/>
      <c r="T83" s="3"/>
      <c r="U83" s="3"/>
      <c r="V83" s="3"/>
      <c r="W83" s="3"/>
      <c r="X83" s="3"/>
      <c r="Y83" s="3"/>
      <c r="Z83" s="3"/>
    </row>
    <row r="84">
      <c r="A84" s="7"/>
      <c r="B84" s="6"/>
      <c r="C84" s="6"/>
      <c r="D84" s="3"/>
      <c r="E84" s="3"/>
      <c r="F84" s="3"/>
      <c r="G84" s="3"/>
      <c r="H84" s="3"/>
      <c r="I84" s="3"/>
      <c r="J84" s="3"/>
      <c r="K84" s="3"/>
      <c r="L84" s="3"/>
      <c r="M84" s="3"/>
      <c r="N84" s="3"/>
      <c r="O84" s="3"/>
      <c r="P84" s="3"/>
      <c r="Q84" s="3"/>
      <c r="R84" s="3"/>
      <c r="S84" s="3"/>
      <c r="T84" s="3"/>
      <c r="U84" s="3"/>
      <c r="V84" s="3"/>
      <c r="W84" s="3"/>
      <c r="X84" s="3"/>
      <c r="Y84" s="3"/>
      <c r="Z84" s="3"/>
    </row>
    <row r="85">
      <c r="A85" s="7"/>
      <c r="B85" s="6"/>
      <c r="C85" s="6"/>
      <c r="D85" s="3"/>
      <c r="E85" s="3"/>
      <c r="F85" s="3"/>
      <c r="G85" s="3"/>
      <c r="H85" s="3"/>
      <c r="I85" s="3"/>
      <c r="J85" s="3"/>
      <c r="K85" s="3"/>
      <c r="L85" s="3"/>
      <c r="M85" s="3"/>
      <c r="N85" s="3"/>
      <c r="O85" s="3"/>
      <c r="P85" s="3"/>
      <c r="Q85" s="3"/>
      <c r="R85" s="3"/>
      <c r="S85" s="3"/>
      <c r="T85" s="3"/>
      <c r="U85" s="3"/>
      <c r="V85" s="3"/>
      <c r="W85" s="3"/>
      <c r="X85" s="3"/>
      <c r="Y85" s="3"/>
      <c r="Z85" s="3"/>
    </row>
    <row r="86">
      <c r="A86" s="7"/>
      <c r="B86" s="6"/>
      <c r="C86" s="6"/>
      <c r="D86" s="3"/>
      <c r="E86" s="3"/>
      <c r="F86" s="3"/>
      <c r="G86" s="3"/>
      <c r="H86" s="3"/>
      <c r="I86" s="3"/>
      <c r="J86" s="3"/>
      <c r="K86" s="3"/>
      <c r="L86" s="3"/>
      <c r="M86" s="3"/>
      <c r="N86" s="3"/>
      <c r="O86" s="3"/>
      <c r="P86" s="3"/>
      <c r="Q86" s="3"/>
      <c r="R86" s="3"/>
      <c r="S86" s="3"/>
      <c r="T86" s="3"/>
      <c r="U86" s="3"/>
      <c r="V86" s="3"/>
      <c r="W86" s="3"/>
      <c r="X86" s="3"/>
      <c r="Y86" s="3"/>
      <c r="Z86" s="3"/>
    </row>
    <row r="87">
      <c r="A87" s="7"/>
      <c r="B87" s="6"/>
      <c r="C87" s="6"/>
      <c r="D87" s="3"/>
      <c r="E87" s="3"/>
      <c r="F87" s="3"/>
      <c r="G87" s="3"/>
      <c r="H87" s="3"/>
      <c r="I87" s="3"/>
      <c r="J87" s="3"/>
      <c r="K87" s="3"/>
      <c r="L87" s="3"/>
      <c r="M87" s="3"/>
      <c r="N87" s="3"/>
      <c r="O87" s="3"/>
      <c r="P87" s="3"/>
      <c r="Q87" s="3"/>
      <c r="R87" s="3"/>
      <c r="S87" s="3"/>
      <c r="T87" s="3"/>
      <c r="U87" s="3"/>
      <c r="V87" s="3"/>
      <c r="W87" s="3"/>
      <c r="X87" s="3"/>
      <c r="Y87" s="3"/>
      <c r="Z87" s="3"/>
    </row>
    <row r="88">
      <c r="A88" s="7"/>
      <c r="B88" s="6"/>
      <c r="C88" s="6"/>
      <c r="D88" s="3"/>
      <c r="E88" s="3"/>
      <c r="F88" s="3"/>
      <c r="G88" s="3"/>
      <c r="H88" s="3"/>
      <c r="I88" s="3"/>
      <c r="J88" s="3"/>
      <c r="K88" s="3"/>
      <c r="L88" s="3"/>
      <c r="M88" s="3"/>
      <c r="N88" s="3"/>
      <c r="O88" s="3"/>
      <c r="P88" s="3"/>
      <c r="Q88" s="3"/>
      <c r="R88" s="3"/>
      <c r="S88" s="3"/>
      <c r="T88" s="3"/>
      <c r="U88" s="3"/>
      <c r="V88" s="3"/>
      <c r="W88" s="3"/>
      <c r="X88" s="3"/>
      <c r="Y88" s="3"/>
      <c r="Z88" s="3"/>
    </row>
    <row r="89">
      <c r="A89" s="7"/>
      <c r="B89" s="6"/>
      <c r="C89" s="6"/>
      <c r="D89" s="3"/>
      <c r="E89" s="3"/>
      <c r="F89" s="3"/>
      <c r="G89" s="3"/>
      <c r="H89" s="3"/>
      <c r="I89" s="3"/>
      <c r="J89" s="3"/>
      <c r="K89" s="3"/>
      <c r="L89" s="3"/>
      <c r="M89" s="3"/>
      <c r="N89" s="3"/>
      <c r="O89" s="3"/>
      <c r="P89" s="3"/>
      <c r="Q89" s="3"/>
      <c r="R89" s="3"/>
      <c r="S89" s="3"/>
      <c r="T89" s="3"/>
      <c r="U89" s="3"/>
      <c r="V89" s="3"/>
      <c r="W89" s="3"/>
      <c r="X89" s="3"/>
      <c r="Y89" s="3"/>
      <c r="Z89" s="3"/>
    </row>
    <row r="90">
      <c r="A90" s="7"/>
      <c r="B90" s="6"/>
      <c r="C90" s="6"/>
      <c r="D90" s="3"/>
      <c r="E90" s="3"/>
      <c r="F90" s="3"/>
      <c r="G90" s="3"/>
      <c r="H90" s="3"/>
      <c r="I90" s="3"/>
      <c r="J90" s="3"/>
      <c r="K90" s="3"/>
      <c r="L90" s="3"/>
      <c r="M90" s="3"/>
      <c r="N90" s="3"/>
      <c r="O90" s="3"/>
      <c r="P90" s="3"/>
      <c r="Q90" s="3"/>
      <c r="R90" s="3"/>
      <c r="S90" s="3"/>
      <c r="T90" s="3"/>
      <c r="U90" s="3"/>
      <c r="V90" s="3"/>
      <c r="W90" s="3"/>
      <c r="X90" s="3"/>
      <c r="Y90" s="3"/>
      <c r="Z90" s="3"/>
    </row>
    <row r="91">
      <c r="A91" s="7"/>
      <c r="B91" s="6"/>
      <c r="C91" s="6"/>
      <c r="D91" s="3"/>
      <c r="E91" s="3"/>
      <c r="F91" s="3"/>
      <c r="G91" s="3"/>
      <c r="H91" s="3"/>
      <c r="I91" s="3"/>
      <c r="J91" s="3"/>
      <c r="K91" s="3"/>
      <c r="L91" s="3"/>
      <c r="M91" s="3"/>
      <c r="N91" s="3"/>
      <c r="O91" s="3"/>
      <c r="P91" s="3"/>
      <c r="Q91" s="3"/>
      <c r="R91" s="3"/>
      <c r="S91" s="3"/>
      <c r="T91" s="3"/>
      <c r="U91" s="3"/>
      <c r="V91" s="3"/>
      <c r="W91" s="3"/>
      <c r="X91" s="3"/>
      <c r="Y91" s="3"/>
      <c r="Z91" s="3"/>
    </row>
    <row r="92">
      <c r="A92" s="7"/>
      <c r="B92" s="6"/>
      <c r="C92" s="6"/>
      <c r="D92" s="3"/>
      <c r="E92" s="3"/>
      <c r="F92" s="3"/>
      <c r="G92" s="3"/>
      <c r="H92" s="3"/>
      <c r="I92" s="3"/>
      <c r="J92" s="3"/>
      <c r="K92" s="3"/>
      <c r="L92" s="3"/>
      <c r="M92" s="3"/>
      <c r="N92" s="3"/>
      <c r="O92" s="3"/>
      <c r="P92" s="3"/>
      <c r="Q92" s="3"/>
      <c r="R92" s="3"/>
      <c r="S92" s="3"/>
      <c r="T92" s="3"/>
      <c r="U92" s="3"/>
      <c r="V92" s="3"/>
      <c r="W92" s="3"/>
      <c r="X92" s="3"/>
      <c r="Y92" s="3"/>
      <c r="Z92" s="3"/>
    </row>
    <row r="93">
      <c r="A93" s="7"/>
      <c r="B93" s="6"/>
      <c r="C93" s="6"/>
      <c r="D93" s="3"/>
      <c r="E93" s="3"/>
      <c r="F93" s="3"/>
      <c r="G93" s="3"/>
      <c r="H93" s="3"/>
      <c r="I93" s="3"/>
      <c r="J93" s="3"/>
      <c r="K93" s="3"/>
      <c r="L93" s="3"/>
      <c r="M93" s="3"/>
      <c r="N93" s="3"/>
      <c r="O93" s="3"/>
      <c r="P93" s="3"/>
      <c r="Q93" s="3"/>
      <c r="R93" s="3"/>
      <c r="S93" s="3"/>
      <c r="T93" s="3"/>
      <c r="U93" s="3"/>
      <c r="V93" s="3"/>
      <c r="W93" s="3"/>
      <c r="X93" s="3"/>
      <c r="Y93" s="3"/>
      <c r="Z93" s="3"/>
    </row>
    <row r="94">
      <c r="A94" s="7"/>
      <c r="B94" s="6"/>
      <c r="C94" s="6"/>
      <c r="D94" s="3"/>
      <c r="E94" s="3"/>
      <c r="F94" s="3"/>
      <c r="G94" s="3"/>
      <c r="H94" s="3"/>
      <c r="I94" s="3"/>
      <c r="J94" s="3"/>
      <c r="K94" s="3"/>
      <c r="L94" s="3"/>
      <c r="M94" s="3"/>
      <c r="N94" s="3"/>
      <c r="O94" s="3"/>
      <c r="P94" s="3"/>
      <c r="Q94" s="3"/>
      <c r="R94" s="3"/>
      <c r="S94" s="3"/>
      <c r="T94" s="3"/>
      <c r="U94" s="3"/>
      <c r="V94" s="3"/>
      <c r="W94" s="3"/>
      <c r="X94" s="3"/>
      <c r="Y94" s="3"/>
      <c r="Z94" s="3"/>
    </row>
    <row r="95">
      <c r="A95" s="7"/>
      <c r="B95" s="6"/>
      <c r="C95" s="6"/>
      <c r="D95" s="3"/>
      <c r="E95" s="3"/>
      <c r="F95" s="3"/>
      <c r="G95" s="3"/>
      <c r="H95" s="3"/>
      <c r="I95" s="3"/>
      <c r="J95" s="3"/>
      <c r="K95" s="3"/>
      <c r="L95" s="3"/>
      <c r="M95" s="3"/>
      <c r="N95" s="3"/>
      <c r="O95" s="3"/>
      <c r="P95" s="3"/>
      <c r="Q95" s="3"/>
      <c r="R95" s="3"/>
      <c r="S95" s="3"/>
      <c r="T95" s="3"/>
      <c r="U95" s="3"/>
      <c r="V95" s="3"/>
      <c r="W95" s="3"/>
      <c r="X95" s="3"/>
      <c r="Y95" s="3"/>
      <c r="Z95" s="3"/>
    </row>
    <row r="96">
      <c r="A96" s="7"/>
      <c r="B96" s="6"/>
      <c r="C96" s="6"/>
      <c r="D96" s="3"/>
      <c r="E96" s="3"/>
      <c r="F96" s="3"/>
      <c r="G96" s="3"/>
      <c r="H96" s="3"/>
      <c r="I96" s="3"/>
      <c r="J96" s="3"/>
      <c r="K96" s="3"/>
      <c r="L96" s="3"/>
      <c r="M96" s="3"/>
      <c r="N96" s="3"/>
      <c r="O96" s="3"/>
      <c r="P96" s="3"/>
      <c r="Q96" s="3"/>
      <c r="R96" s="3"/>
      <c r="S96" s="3"/>
      <c r="T96" s="3"/>
      <c r="U96" s="3"/>
      <c r="V96" s="3"/>
      <c r="W96" s="3"/>
      <c r="X96" s="3"/>
      <c r="Y96" s="3"/>
      <c r="Z96" s="3"/>
    </row>
    <row r="97">
      <c r="A97" s="7"/>
      <c r="B97" s="6"/>
      <c r="C97" s="6"/>
      <c r="D97" s="3"/>
      <c r="E97" s="3"/>
      <c r="F97" s="3"/>
      <c r="G97" s="3"/>
      <c r="H97" s="3"/>
      <c r="I97" s="3"/>
      <c r="J97" s="3"/>
      <c r="K97" s="3"/>
      <c r="L97" s="3"/>
      <c r="M97" s="3"/>
      <c r="N97" s="3"/>
      <c r="O97" s="3"/>
      <c r="P97" s="3"/>
      <c r="Q97" s="3"/>
      <c r="R97" s="3"/>
      <c r="S97" s="3"/>
      <c r="T97" s="3"/>
      <c r="U97" s="3"/>
      <c r="V97" s="3"/>
      <c r="W97" s="3"/>
      <c r="X97" s="3"/>
      <c r="Y97" s="3"/>
      <c r="Z97" s="3"/>
    </row>
    <row r="98">
      <c r="A98" s="7"/>
      <c r="B98" s="6"/>
      <c r="C98" s="6"/>
      <c r="D98" s="3"/>
      <c r="E98" s="3"/>
      <c r="F98" s="3"/>
      <c r="G98" s="3"/>
      <c r="H98" s="3"/>
      <c r="I98" s="3"/>
      <c r="J98" s="3"/>
      <c r="K98" s="3"/>
      <c r="L98" s="3"/>
      <c r="M98" s="3"/>
      <c r="N98" s="3"/>
      <c r="O98" s="3"/>
      <c r="P98" s="3"/>
      <c r="Q98" s="3"/>
      <c r="R98" s="3"/>
      <c r="S98" s="3"/>
      <c r="T98" s="3"/>
      <c r="U98" s="3"/>
      <c r="V98" s="3"/>
      <c r="W98" s="3"/>
      <c r="X98" s="3"/>
      <c r="Y98" s="3"/>
      <c r="Z98" s="3"/>
    </row>
    <row r="99">
      <c r="A99" s="7"/>
      <c r="B99" s="6"/>
      <c r="C99" s="6"/>
      <c r="D99" s="3"/>
      <c r="E99" s="3"/>
      <c r="F99" s="3"/>
      <c r="G99" s="3"/>
      <c r="H99" s="3"/>
      <c r="I99" s="3"/>
      <c r="J99" s="3"/>
      <c r="K99" s="3"/>
      <c r="L99" s="3"/>
      <c r="M99" s="3"/>
      <c r="N99" s="3"/>
      <c r="O99" s="3"/>
      <c r="P99" s="3"/>
      <c r="Q99" s="3"/>
      <c r="R99" s="3"/>
      <c r="S99" s="3"/>
      <c r="T99" s="3"/>
      <c r="U99" s="3"/>
      <c r="V99" s="3"/>
      <c r="W99" s="3"/>
      <c r="X99" s="3"/>
      <c r="Y99" s="3"/>
      <c r="Z99" s="3"/>
    </row>
    <row r="100">
      <c r="A100" s="7"/>
      <c r="B100" s="6"/>
      <c r="C100" s="6"/>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6"/>
      <c r="C101" s="6"/>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6"/>
      <c r="C102" s="6"/>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6"/>
      <c r="C103" s="6"/>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6"/>
      <c r="C104" s="6"/>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6"/>
      <c r="C105" s="6"/>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6"/>
      <c r="C106" s="6"/>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6"/>
      <c r="C107" s="6"/>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6"/>
      <c r="C108" s="6"/>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6"/>
      <c r="C109" s="6"/>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6"/>
      <c r="C110" s="6"/>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6"/>
      <c r="C111" s="6"/>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6"/>
      <c r="C112" s="6"/>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6"/>
      <c r="C113" s="6"/>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6"/>
      <c r="C114" s="6"/>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6"/>
      <c r="C115" s="6"/>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6"/>
      <c r="C116" s="6"/>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6"/>
      <c r="C117" s="6"/>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6"/>
      <c r="C118" s="6"/>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6"/>
      <c r="C119" s="6"/>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6"/>
      <c r="C120" s="6"/>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6"/>
      <c r="C121" s="6"/>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6"/>
      <c r="C122" s="6"/>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6"/>
      <c r="C123" s="6"/>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6"/>
      <c r="C124" s="6"/>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6"/>
      <c r="C125" s="6"/>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6"/>
      <c r="C126" s="6"/>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6"/>
      <c r="C127" s="6"/>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6"/>
      <c r="C128" s="6"/>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6"/>
      <c r="C129" s="6"/>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6"/>
      <c r="C130" s="6"/>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6"/>
      <c r="C131" s="6"/>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6"/>
      <c r="C132" s="6"/>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6"/>
      <c r="C133" s="6"/>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6"/>
      <c r="C134" s="6"/>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6"/>
      <c r="C135" s="6"/>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6"/>
      <c r="C136" s="6"/>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6"/>
      <c r="C137" s="6"/>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6"/>
      <c r="C138" s="6"/>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6"/>
      <c r="C139" s="6"/>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6"/>
      <c r="C140" s="6"/>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6"/>
      <c r="C141" s="6"/>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6"/>
      <c r="C142" s="6"/>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6"/>
      <c r="C143" s="6"/>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6"/>
      <c r="C144" s="6"/>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6"/>
      <c r="C145" s="6"/>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6"/>
      <c r="C146" s="6"/>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6"/>
      <c r="C147" s="6"/>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6"/>
      <c r="C148" s="6"/>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6"/>
      <c r="C149" s="6"/>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6"/>
      <c r="C150" s="6"/>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6"/>
      <c r="C151" s="6"/>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6"/>
      <c r="C152" s="6"/>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6"/>
      <c r="C153" s="6"/>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6"/>
      <c r="C154" s="6"/>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6"/>
      <c r="C155" s="6"/>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6"/>
      <c r="C156" s="6"/>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6"/>
      <c r="C157" s="6"/>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6"/>
      <c r="C158" s="6"/>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6"/>
      <c r="C159" s="6"/>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6"/>
      <c r="C160" s="6"/>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6"/>
      <c r="C161" s="6"/>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6"/>
      <c r="C162" s="6"/>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6"/>
      <c r="C163" s="6"/>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6"/>
      <c r="C164" s="6"/>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6"/>
      <c r="C165" s="6"/>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6"/>
      <c r="C166" s="6"/>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6"/>
      <c r="C167" s="6"/>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6"/>
      <c r="C168" s="6"/>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6"/>
      <c r="C169" s="6"/>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6"/>
      <c r="C170" s="6"/>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6"/>
      <c r="C171" s="6"/>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6"/>
      <c r="C172" s="6"/>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6"/>
      <c r="C173" s="6"/>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6"/>
      <c r="C174" s="6"/>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6"/>
      <c r="C175" s="6"/>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6"/>
      <c r="C176" s="6"/>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6"/>
      <c r="C177" s="6"/>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6"/>
      <c r="C178" s="6"/>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6"/>
      <c r="C179" s="6"/>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6"/>
      <c r="C180" s="6"/>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6"/>
      <c r="C181" s="6"/>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6"/>
      <c r="C182" s="6"/>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6"/>
      <c r="C183" s="6"/>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6"/>
      <c r="C184" s="6"/>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6"/>
      <c r="C185" s="6"/>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6"/>
      <c r="C186" s="6"/>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6"/>
      <c r="C187" s="6"/>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6"/>
      <c r="C188" s="6"/>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6"/>
      <c r="C189" s="6"/>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6"/>
      <c r="C190" s="6"/>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6"/>
      <c r="C191" s="6"/>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6"/>
      <c r="C192" s="6"/>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6"/>
      <c r="C193" s="6"/>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6"/>
      <c r="C194" s="6"/>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6"/>
      <c r="C195" s="6"/>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6"/>
      <c r="C196" s="6"/>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6"/>
      <c r="C197" s="6"/>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6"/>
      <c r="C198" s="6"/>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6"/>
      <c r="C199" s="6"/>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6"/>
      <c r="C200" s="6"/>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6"/>
      <c r="C201" s="6"/>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6"/>
      <c r="C202" s="6"/>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6"/>
      <c r="C203" s="6"/>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6"/>
      <c r="C204" s="6"/>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6"/>
      <c r="C205" s="6"/>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6"/>
      <c r="C206" s="6"/>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6"/>
      <c r="C207" s="6"/>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6"/>
      <c r="C208" s="6"/>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6"/>
      <c r="C209" s="6"/>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6"/>
      <c r="C210" s="6"/>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6"/>
      <c r="C211" s="6"/>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6"/>
      <c r="C212" s="6"/>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6"/>
      <c r="C213" s="6"/>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6"/>
      <c r="C214" s="6"/>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6"/>
      <c r="C215" s="6"/>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6"/>
      <c r="C216" s="6"/>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6"/>
      <c r="C217" s="6"/>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6"/>
      <c r="C218" s="6"/>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6"/>
      <c r="C219" s="6"/>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6"/>
      <c r="C220" s="6"/>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6"/>
      <c r="C221" s="6"/>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6"/>
      <c r="C222" s="6"/>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6"/>
      <c r="C223" s="6"/>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6"/>
      <c r="C224" s="6"/>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6"/>
      <c r="C225" s="6"/>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6"/>
      <c r="C226" s="6"/>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6"/>
      <c r="C227" s="6"/>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6"/>
      <c r="C228" s="6"/>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6"/>
      <c r="C229" s="6"/>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6"/>
      <c r="C230" s="6"/>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6"/>
      <c r="C231" s="6"/>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6"/>
      <c r="C232" s="6"/>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6"/>
      <c r="C233" s="6"/>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6"/>
      <c r="C234" s="6"/>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6"/>
      <c r="C235" s="6"/>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6"/>
      <c r="C236" s="6"/>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6"/>
      <c r="C237" s="6"/>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6"/>
      <c r="C238" s="6"/>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6"/>
      <c r="C239" s="6"/>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6"/>
      <c r="C240" s="6"/>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6"/>
      <c r="C241" s="6"/>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6"/>
      <c r="C242" s="6"/>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6"/>
      <c r="C243" s="6"/>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6"/>
      <c r="C244" s="6"/>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6"/>
      <c r="C245" s="6"/>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6"/>
      <c r="C246" s="6"/>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6"/>
      <c r="C247" s="6"/>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6"/>
      <c r="C248" s="6"/>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6"/>
      <c r="C249" s="6"/>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6"/>
      <c r="C250" s="6"/>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6"/>
      <c r="C251" s="6"/>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6"/>
      <c r="C252" s="6"/>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6"/>
      <c r="C253" s="6"/>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6"/>
      <c r="C254" s="6"/>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6"/>
      <c r="C255" s="6"/>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6"/>
      <c r="C256" s="6"/>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6"/>
      <c r="C257" s="6"/>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6"/>
      <c r="C258" s="6"/>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6"/>
      <c r="C259" s="6"/>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6"/>
      <c r="C260" s="6"/>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6"/>
      <c r="C261" s="6"/>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6"/>
      <c r="C262" s="6"/>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6"/>
      <c r="C263" s="6"/>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6"/>
      <c r="C264" s="6"/>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6"/>
      <c r="C265" s="6"/>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6"/>
      <c r="C266" s="6"/>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6"/>
      <c r="C267" s="6"/>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6"/>
      <c r="C268" s="6"/>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6"/>
      <c r="C269" s="6"/>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6"/>
      <c r="C270" s="6"/>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6"/>
      <c r="C271" s="6"/>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6"/>
      <c r="C272" s="6"/>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6"/>
      <c r="C273" s="6"/>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6"/>
      <c r="C274" s="6"/>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6"/>
      <c r="C275" s="6"/>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6"/>
      <c r="C276" s="6"/>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6"/>
      <c r="C277" s="6"/>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6"/>
      <c r="C278" s="6"/>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6"/>
      <c r="C279" s="6"/>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6"/>
      <c r="C280" s="6"/>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6"/>
      <c r="C281" s="6"/>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6"/>
      <c r="C282" s="6"/>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6"/>
      <c r="C283" s="6"/>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6"/>
      <c r="C284" s="6"/>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6"/>
      <c r="C285" s="6"/>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6"/>
      <c r="C286" s="6"/>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6"/>
      <c r="C287" s="6"/>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6"/>
      <c r="C288" s="6"/>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6"/>
      <c r="C289" s="6"/>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6"/>
      <c r="C290" s="6"/>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6"/>
      <c r="C291" s="6"/>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6"/>
      <c r="C292" s="6"/>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6"/>
      <c r="C293" s="6"/>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6"/>
      <c r="C294" s="6"/>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6"/>
      <c r="C295" s="6"/>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6"/>
      <c r="C296" s="6"/>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6"/>
      <c r="C297" s="6"/>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6"/>
      <c r="C298" s="6"/>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6"/>
      <c r="C299" s="6"/>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6"/>
      <c r="C300" s="6"/>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6"/>
      <c r="C301" s="6"/>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6"/>
      <c r="C302" s="6"/>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6"/>
      <c r="C303" s="6"/>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6"/>
      <c r="C304" s="6"/>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6"/>
      <c r="C305" s="6"/>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6"/>
      <c r="C306" s="6"/>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6"/>
      <c r="C307" s="6"/>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6"/>
      <c r="C308" s="6"/>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6"/>
      <c r="C309" s="6"/>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6"/>
      <c r="C310" s="6"/>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6"/>
      <c r="C311" s="6"/>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6"/>
      <c r="C312" s="6"/>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6"/>
      <c r="C313" s="6"/>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6"/>
      <c r="C314" s="6"/>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6"/>
      <c r="C315" s="6"/>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6"/>
      <c r="C316" s="6"/>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6"/>
      <c r="C317" s="6"/>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6"/>
      <c r="C318" s="6"/>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6"/>
      <c r="C319" s="6"/>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6"/>
      <c r="C320" s="6"/>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6"/>
      <c r="C321" s="6"/>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6"/>
      <c r="C322" s="6"/>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6"/>
      <c r="C323" s="6"/>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6"/>
      <c r="C324" s="6"/>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6"/>
      <c r="C325" s="6"/>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6"/>
      <c r="C326" s="6"/>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6"/>
      <c r="C327" s="6"/>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6"/>
      <c r="C328" s="6"/>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6"/>
      <c r="C329" s="6"/>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6"/>
      <c r="C330" s="6"/>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6"/>
      <c r="C331" s="6"/>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6"/>
      <c r="C332" s="6"/>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6"/>
      <c r="C333" s="6"/>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6"/>
      <c r="C334" s="6"/>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6"/>
      <c r="C335" s="6"/>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6"/>
      <c r="C336" s="6"/>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6"/>
      <c r="C337" s="6"/>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6"/>
      <c r="C338" s="6"/>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6"/>
      <c r="C339" s="6"/>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6"/>
      <c r="C340" s="6"/>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6"/>
      <c r="C341" s="6"/>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6"/>
      <c r="C342" s="6"/>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6"/>
      <c r="C343" s="6"/>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6"/>
      <c r="C344" s="6"/>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6"/>
      <c r="C345" s="6"/>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6"/>
      <c r="C346" s="6"/>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6"/>
      <c r="C347" s="6"/>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6"/>
      <c r="C348" s="6"/>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6"/>
      <c r="C349" s="6"/>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6"/>
      <c r="C350" s="6"/>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6"/>
      <c r="C351" s="6"/>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6"/>
      <c r="C352" s="6"/>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6"/>
      <c r="C353" s="6"/>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6"/>
      <c r="C354" s="6"/>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6"/>
      <c r="C355" s="6"/>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6"/>
      <c r="C356" s="6"/>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6"/>
      <c r="C357" s="6"/>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6"/>
      <c r="C358" s="6"/>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6"/>
      <c r="C359" s="6"/>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6"/>
      <c r="C360" s="6"/>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6"/>
      <c r="C361" s="6"/>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6"/>
      <c r="C362" s="6"/>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6"/>
      <c r="C363" s="6"/>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6"/>
      <c r="C364" s="6"/>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6"/>
      <c r="C365" s="6"/>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6"/>
      <c r="C366" s="6"/>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6"/>
      <c r="C367" s="6"/>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6"/>
      <c r="C368" s="6"/>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6"/>
      <c r="C369" s="6"/>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6"/>
      <c r="C370" s="6"/>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6"/>
      <c r="C371" s="6"/>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6"/>
      <c r="C372" s="6"/>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6"/>
      <c r="C373" s="6"/>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6"/>
      <c r="C374" s="6"/>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6"/>
      <c r="C375" s="6"/>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6"/>
      <c r="C376" s="6"/>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6"/>
      <c r="C377" s="6"/>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6"/>
      <c r="C378" s="6"/>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6"/>
      <c r="C379" s="6"/>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6"/>
      <c r="C380" s="6"/>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6"/>
      <c r="C381" s="6"/>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6"/>
      <c r="C382" s="6"/>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6"/>
      <c r="C383" s="6"/>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6"/>
      <c r="C384" s="6"/>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6"/>
      <c r="C385" s="6"/>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6"/>
      <c r="C386" s="6"/>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6"/>
      <c r="C387" s="6"/>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6"/>
      <c r="C388" s="6"/>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6"/>
      <c r="C389" s="6"/>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6"/>
      <c r="C390" s="6"/>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6"/>
      <c r="C391" s="6"/>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6"/>
      <c r="C392" s="6"/>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6"/>
      <c r="C393" s="6"/>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6"/>
      <c r="C394" s="6"/>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6"/>
      <c r="C395" s="6"/>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6"/>
      <c r="C396" s="6"/>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6"/>
      <c r="C397" s="6"/>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6"/>
      <c r="C398" s="6"/>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6"/>
      <c r="C399" s="6"/>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6"/>
      <c r="C400" s="6"/>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6"/>
      <c r="C401" s="6"/>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6"/>
      <c r="C402" s="6"/>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6"/>
      <c r="C403" s="6"/>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6"/>
      <c r="C404" s="6"/>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6"/>
      <c r="C405" s="6"/>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6"/>
      <c r="C406" s="6"/>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6"/>
      <c r="C407" s="6"/>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6"/>
      <c r="C408" s="6"/>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6"/>
      <c r="C409" s="6"/>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6"/>
      <c r="C410" s="6"/>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6"/>
      <c r="C411" s="6"/>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6"/>
      <c r="C412" s="6"/>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6"/>
      <c r="C413" s="6"/>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6"/>
      <c r="C414" s="6"/>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6"/>
      <c r="C415" s="6"/>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6"/>
      <c r="C416" s="6"/>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6"/>
      <c r="C417" s="6"/>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6"/>
      <c r="C418" s="6"/>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6"/>
      <c r="C419" s="6"/>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6"/>
      <c r="C420" s="6"/>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6"/>
      <c r="C421" s="6"/>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6"/>
      <c r="C422" s="6"/>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6"/>
      <c r="C423" s="6"/>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6"/>
      <c r="C424" s="6"/>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6"/>
      <c r="C425" s="6"/>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6"/>
      <c r="C426" s="6"/>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6"/>
      <c r="C427" s="6"/>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6"/>
      <c r="C428" s="6"/>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6"/>
      <c r="C429" s="6"/>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6"/>
      <c r="C430" s="6"/>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6"/>
      <c r="C431" s="6"/>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6"/>
      <c r="C432" s="6"/>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6"/>
      <c r="C433" s="6"/>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6"/>
      <c r="C434" s="6"/>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6"/>
      <c r="C435" s="6"/>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6"/>
      <c r="C436" s="6"/>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6"/>
      <c r="C437" s="6"/>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6"/>
      <c r="C438" s="6"/>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6"/>
      <c r="C439" s="6"/>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6"/>
      <c r="C440" s="6"/>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6"/>
      <c r="C441" s="6"/>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6"/>
      <c r="C442" s="6"/>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6"/>
      <c r="C443" s="6"/>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6"/>
      <c r="C444" s="6"/>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6"/>
      <c r="C445" s="6"/>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6"/>
      <c r="C446" s="6"/>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6"/>
      <c r="C447" s="6"/>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6"/>
      <c r="C448" s="6"/>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6"/>
      <c r="C449" s="6"/>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6"/>
      <c r="C450" s="6"/>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6"/>
      <c r="C451" s="6"/>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6"/>
      <c r="C452" s="6"/>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6"/>
      <c r="C453" s="6"/>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6"/>
      <c r="C454" s="6"/>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6"/>
      <c r="C455" s="6"/>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6"/>
      <c r="C456" s="6"/>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6"/>
      <c r="C457" s="6"/>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6"/>
      <c r="C458" s="6"/>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6"/>
      <c r="C459" s="6"/>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6"/>
      <c r="C460" s="6"/>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6"/>
      <c r="C461" s="6"/>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6"/>
      <c r="C462" s="6"/>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6"/>
      <c r="C463" s="6"/>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6"/>
      <c r="C464" s="6"/>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6"/>
      <c r="C465" s="6"/>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6"/>
      <c r="C466" s="6"/>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6"/>
      <c r="C467" s="6"/>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6"/>
      <c r="C468" s="6"/>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6"/>
      <c r="C469" s="6"/>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6"/>
      <c r="C470" s="6"/>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6"/>
      <c r="C471" s="6"/>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6"/>
      <c r="C472" s="6"/>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6"/>
      <c r="C473" s="6"/>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6"/>
      <c r="C474" s="6"/>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6"/>
      <c r="C475" s="6"/>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6"/>
      <c r="C476" s="6"/>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6"/>
      <c r="C477" s="6"/>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6"/>
      <c r="C478" s="6"/>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6"/>
      <c r="C479" s="6"/>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6"/>
      <c r="C480" s="6"/>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6"/>
      <c r="C481" s="6"/>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6"/>
      <c r="C482" s="6"/>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6"/>
      <c r="C483" s="6"/>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6"/>
      <c r="C484" s="6"/>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6"/>
      <c r="C485" s="6"/>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6"/>
      <c r="C486" s="6"/>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6"/>
      <c r="C487" s="6"/>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6"/>
      <c r="C488" s="6"/>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6"/>
      <c r="C489" s="6"/>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6"/>
      <c r="C490" s="6"/>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6"/>
      <c r="C491" s="6"/>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6"/>
      <c r="C492" s="6"/>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6"/>
      <c r="C493" s="6"/>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6"/>
      <c r="C494" s="6"/>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6"/>
      <c r="C495" s="6"/>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6"/>
      <c r="C496" s="6"/>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6"/>
      <c r="C497" s="6"/>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6"/>
      <c r="C498" s="6"/>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6"/>
      <c r="C499" s="6"/>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6"/>
      <c r="C500" s="6"/>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6"/>
      <c r="C501" s="6"/>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6"/>
      <c r="C502" s="6"/>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6"/>
      <c r="C503" s="6"/>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6"/>
      <c r="C504" s="6"/>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6"/>
      <c r="C505" s="6"/>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6"/>
      <c r="C506" s="6"/>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6"/>
      <c r="C507" s="6"/>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6"/>
      <c r="C508" s="6"/>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6"/>
      <c r="C509" s="6"/>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6"/>
      <c r="C510" s="6"/>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6"/>
      <c r="C511" s="6"/>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6"/>
      <c r="C512" s="6"/>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6"/>
      <c r="C513" s="6"/>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6"/>
      <c r="C514" s="6"/>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6"/>
      <c r="C515" s="6"/>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6"/>
      <c r="C516" s="6"/>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6"/>
      <c r="C517" s="6"/>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6"/>
      <c r="C518" s="6"/>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6"/>
      <c r="C519" s="6"/>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6"/>
      <c r="C520" s="6"/>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6"/>
      <c r="C521" s="6"/>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6"/>
      <c r="C522" s="6"/>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6"/>
      <c r="C523" s="6"/>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6"/>
      <c r="C524" s="6"/>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6"/>
      <c r="C525" s="6"/>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6"/>
      <c r="C526" s="6"/>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6"/>
      <c r="C527" s="6"/>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6"/>
      <c r="C528" s="6"/>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6"/>
      <c r="C529" s="6"/>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6"/>
      <c r="C530" s="6"/>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6"/>
      <c r="C531" s="6"/>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6"/>
      <c r="C532" s="6"/>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6"/>
      <c r="C533" s="6"/>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6"/>
      <c r="C534" s="6"/>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6"/>
      <c r="C535" s="6"/>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6"/>
      <c r="C536" s="6"/>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6"/>
      <c r="C537" s="6"/>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6"/>
      <c r="C538" s="6"/>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6"/>
      <c r="C539" s="6"/>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6"/>
      <c r="C540" s="6"/>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6"/>
      <c r="C541" s="6"/>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6"/>
      <c r="C542" s="6"/>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6"/>
      <c r="C543" s="6"/>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6"/>
      <c r="C544" s="6"/>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6"/>
      <c r="C545" s="6"/>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6"/>
      <c r="C546" s="6"/>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6"/>
      <c r="C547" s="6"/>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6"/>
      <c r="C548" s="6"/>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6"/>
      <c r="C549" s="6"/>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6"/>
      <c r="C550" s="6"/>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6"/>
      <c r="C551" s="6"/>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6"/>
      <c r="C552" s="6"/>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6"/>
      <c r="C553" s="6"/>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6"/>
      <c r="C554" s="6"/>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6"/>
      <c r="C555" s="6"/>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6"/>
      <c r="C556" s="6"/>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6"/>
      <c r="C557" s="6"/>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6"/>
      <c r="C558" s="6"/>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6"/>
      <c r="C559" s="6"/>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6"/>
      <c r="C560" s="6"/>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6"/>
      <c r="C561" s="6"/>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6"/>
      <c r="C562" s="6"/>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6"/>
      <c r="C563" s="6"/>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6"/>
      <c r="C564" s="6"/>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6"/>
      <c r="C565" s="6"/>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6"/>
      <c r="C566" s="6"/>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6"/>
      <c r="C567" s="6"/>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6"/>
      <c r="C568" s="6"/>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6"/>
      <c r="C569" s="6"/>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6"/>
      <c r="C570" s="6"/>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6"/>
      <c r="C571" s="6"/>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6"/>
      <c r="C572" s="6"/>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6"/>
      <c r="C573" s="6"/>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6"/>
      <c r="C574" s="6"/>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6"/>
      <c r="C575" s="6"/>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6"/>
      <c r="C576" s="6"/>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6"/>
      <c r="C577" s="6"/>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6"/>
      <c r="C578" s="6"/>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6"/>
      <c r="C579" s="6"/>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6"/>
      <c r="C580" s="6"/>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6"/>
      <c r="C581" s="6"/>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6"/>
      <c r="C582" s="6"/>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6"/>
      <c r="C583" s="6"/>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6"/>
      <c r="C584" s="6"/>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6"/>
      <c r="C585" s="6"/>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6"/>
      <c r="C586" s="6"/>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6"/>
      <c r="C587" s="6"/>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6"/>
      <c r="C588" s="6"/>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6"/>
      <c r="C589" s="6"/>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6"/>
      <c r="C590" s="6"/>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6"/>
      <c r="C591" s="6"/>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6"/>
      <c r="C592" s="6"/>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6"/>
      <c r="C593" s="6"/>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6"/>
      <c r="C594" s="6"/>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6"/>
      <c r="C595" s="6"/>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6"/>
      <c r="C596" s="6"/>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6"/>
      <c r="C597" s="6"/>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6"/>
      <c r="C598" s="6"/>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6"/>
      <c r="C599" s="6"/>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6"/>
      <c r="C600" s="6"/>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6"/>
      <c r="C601" s="6"/>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6"/>
      <c r="C602" s="6"/>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6"/>
      <c r="C603" s="6"/>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6"/>
      <c r="C604" s="6"/>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6"/>
      <c r="C605" s="6"/>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6"/>
      <c r="C606" s="6"/>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6"/>
      <c r="C607" s="6"/>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6"/>
      <c r="C608" s="6"/>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6"/>
      <c r="C609" s="6"/>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6"/>
      <c r="C610" s="6"/>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6"/>
      <c r="C611" s="6"/>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6"/>
      <c r="C612" s="6"/>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6"/>
      <c r="C613" s="6"/>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6"/>
      <c r="C614" s="6"/>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6"/>
      <c r="C615" s="6"/>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6"/>
      <c r="C616" s="6"/>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6"/>
      <c r="C617" s="6"/>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6"/>
      <c r="C618" s="6"/>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6"/>
      <c r="C619" s="6"/>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6"/>
      <c r="C620" s="6"/>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6"/>
      <c r="C621" s="6"/>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6"/>
      <c r="C622" s="6"/>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6"/>
      <c r="C623" s="6"/>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6"/>
      <c r="C624" s="6"/>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6"/>
      <c r="C625" s="6"/>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6"/>
      <c r="C626" s="6"/>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6"/>
      <c r="C627" s="6"/>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6"/>
      <c r="C628" s="6"/>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6"/>
      <c r="C629" s="6"/>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6"/>
      <c r="C630" s="6"/>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6"/>
      <c r="C631" s="6"/>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6"/>
      <c r="C632" s="6"/>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6"/>
      <c r="C633" s="6"/>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6"/>
      <c r="C634" s="6"/>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6"/>
      <c r="C635" s="6"/>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6"/>
      <c r="C636" s="6"/>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6"/>
      <c r="C637" s="6"/>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6"/>
      <c r="C638" s="6"/>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6"/>
      <c r="C639" s="6"/>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6"/>
      <c r="C640" s="6"/>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6"/>
      <c r="C641" s="6"/>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6"/>
      <c r="C642" s="6"/>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6"/>
      <c r="C643" s="6"/>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6"/>
      <c r="C644" s="6"/>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6"/>
      <c r="C645" s="6"/>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6"/>
      <c r="C646" s="6"/>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6"/>
      <c r="C647" s="6"/>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6"/>
      <c r="C648" s="6"/>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6"/>
      <c r="C649" s="6"/>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6"/>
      <c r="C650" s="6"/>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6"/>
      <c r="C651" s="6"/>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6"/>
      <c r="C652" s="6"/>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6"/>
      <c r="C653" s="6"/>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6"/>
      <c r="C654" s="6"/>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6"/>
      <c r="C655" s="6"/>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6"/>
      <c r="C656" s="6"/>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6"/>
      <c r="C657" s="6"/>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6"/>
      <c r="C658" s="6"/>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6"/>
      <c r="C659" s="6"/>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6"/>
      <c r="C660" s="6"/>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6"/>
      <c r="C661" s="6"/>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6"/>
      <c r="C662" s="6"/>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6"/>
      <c r="C663" s="6"/>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6"/>
      <c r="C664" s="6"/>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6"/>
      <c r="C665" s="6"/>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6"/>
      <c r="C666" s="6"/>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6"/>
      <c r="C667" s="6"/>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6"/>
      <c r="C668" s="6"/>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6"/>
      <c r="C669" s="6"/>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6"/>
      <c r="C670" s="6"/>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6"/>
      <c r="C671" s="6"/>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6"/>
      <c r="C672" s="6"/>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6"/>
      <c r="C673" s="6"/>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6"/>
      <c r="C674" s="6"/>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6"/>
      <c r="C675" s="6"/>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6"/>
      <c r="C676" s="6"/>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6"/>
      <c r="C677" s="6"/>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6"/>
      <c r="C678" s="6"/>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6"/>
      <c r="C679" s="6"/>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6"/>
      <c r="C680" s="6"/>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6"/>
      <c r="C681" s="6"/>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6"/>
      <c r="C682" s="6"/>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6"/>
      <c r="C683" s="6"/>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6"/>
      <c r="C684" s="6"/>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6"/>
      <c r="C685" s="6"/>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6"/>
      <c r="C686" s="6"/>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6"/>
      <c r="C687" s="6"/>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6"/>
      <c r="C688" s="6"/>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6"/>
      <c r="C689" s="6"/>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6"/>
      <c r="C690" s="6"/>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6"/>
      <c r="C691" s="6"/>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6"/>
      <c r="C692" s="6"/>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6"/>
      <c r="C693" s="6"/>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6"/>
      <c r="C694" s="6"/>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6"/>
      <c r="C695" s="6"/>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6"/>
      <c r="C696" s="6"/>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6"/>
      <c r="C697" s="6"/>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6"/>
      <c r="C698" s="6"/>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6"/>
      <c r="C699" s="6"/>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6"/>
      <c r="C700" s="6"/>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6"/>
      <c r="C701" s="6"/>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6"/>
      <c r="C702" s="6"/>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6"/>
      <c r="C703" s="6"/>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6"/>
      <c r="C704" s="6"/>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6"/>
      <c r="C705" s="6"/>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6"/>
      <c r="C706" s="6"/>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6"/>
      <c r="C707" s="6"/>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6"/>
      <c r="C708" s="6"/>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6"/>
      <c r="C709" s="6"/>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6"/>
      <c r="C710" s="6"/>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6"/>
      <c r="C711" s="6"/>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6"/>
      <c r="C712" s="6"/>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6"/>
      <c r="C713" s="6"/>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6"/>
      <c r="C714" s="6"/>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6"/>
      <c r="C715" s="6"/>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6"/>
      <c r="C716" s="6"/>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6"/>
      <c r="C717" s="6"/>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6"/>
      <c r="C718" s="6"/>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6"/>
      <c r="C719" s="6"/>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6"/>
      <c r="C720" s="6"/>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6"/>
      <c r="C721" s="6"/>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6"/>
      <c r="C722" s="6"/>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6"/>
      <c r="C723" s="6"/>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6"/>
      <c r="C724" s="6"/>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6"/>
      <c r="C725" s="6"/>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6"/>
      <c r="C726" s="6"/>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6"/>
      <c r="C727" s="6"/>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6"/>
      <c r="C728" s="6"/>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6"/>
      <c r="C729" s="6"/>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6"/>
      <c r="C730" s="6"/>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6"/>
      <c r="C731" s="6"/>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6"/>
      <c r="C732" s="6"/>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6"/>
      <c r="C733" s="6"/>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6"/>
      <c r="C734" s="6"/>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6"/>
      <c r="C735" s="6"/>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6"/>
      <c r="C736" s="6"/>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6"/>
      <c r="C737" s="6"/>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6"/>
      <c r="C738" s="6"/>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6"/>
      <c r="C739" s="6"/>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6"/>
      <c r="C740" s="6"/>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6"/>
      <c r="C741" s="6"/>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6"/>
      <c r="C742" s="6"/>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6"/>
      <c r="C743" s="6"/>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6"/>
      <c r="C744" s="6"/>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6"/>
      <c r="C745" s="6"/>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6"/>
      <c r="C746" s="6"/>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6"/>
      <c r="C747" s="6"/>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6"/>
      <c r="C748" s="6"/>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6"/>
      <c r="C749" s="6"/>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6"/>
      <c r="C750" s="6"/>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6"/>
      <c r="C751" s="6"/>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6"/>
      <c r="C752" s="6"/>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6"/>
      <c r="C753" s="6"/>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6"/>
      <c r="C754" s="6"/>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6"/>
      <c r="C755" s="6"/>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6"/>
      <c r="C756" s="6"/>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6"/>
      <c r="C757" s="6"/>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6"/>
      <c r="C758" s="6"/>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6"/>
      <c r="C759" s="6"/>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6"/>
      <c r="C760" s="6"/>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6"/>
      <c r="C761" s="6"/>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6"/>
      <c r="C762" s="6"/>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6"/>
      <c r="C763" s="6"/>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6"/>
      <c r="C764" s="6"/>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6"/>
      <c r="C765" s="6"/>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6"/>
      <c r="C766" s="6"/>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6"/>
      <c r="C767" s="6"/>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6"/>
      <c r="C768" s="6"/>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6"/>
      <c r="C769" s="6"/>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6"/>
      <c r="C770" s="6"/>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6"/>
      <c r="C771" s="6"/>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6"/>
      <c r="C772" s="6"/>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6"/>
      <c r="C773" s="6"/>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6"/>
      <c r="C774" s="6"/>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6"/>
      <c r="C775" s="6"/>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6"/>
      <c r="C776" s="6"/>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6"/>
      <c r="C777" s="6"/>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6"/>
      <c r="C778" s="6"/>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6"/>
      <c r="C779" s="6"/>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6"/>
      <c r="C780" s="6"/>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6"/>
      <c r="C781" s="6"/>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6"/>
      <c r="C782" s="6"/>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6"/>
      <c r="C783" s="6"/>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6"/>
      <c r="C784" s="6"/>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6"/>
      <c r="C785" s="6"/>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6"/>
      <c r="C786" s="6"/>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6"/>
      <c r="C787" s="6"/>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6"/>
      <c r="C788" s="6"/>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6"/>
      <c r="C789" s="6"/>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6"/>
      <c r="C790" s="6"/>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6"/>
      <c r="C791" s="6"/>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6"/>
      <c r="C792" s="6"/>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6"/>
      <c r="C793" s="6"/>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6"/>
      <c r="C794" s="6"/>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6"/>
      <c r="C795" s="6"/>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6"/>
      <c r="C796" s="6"/>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6"/>
      <c r="C797" s="6"/>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6"/>
      <c r="C798" s="6"/>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6"/>
      <c r="C799" s="6"/>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6"/>
      <c r="C800" s="6"/>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6"/>
      <c r="C801" s="6"/>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6"/>
      <c r="C802" s="6"/>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6"/>
      <c r="C803" s="6"/>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6"/>
      <c r="C804" s="6"/>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6"/>
      <c r="C805" s="6"/>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6"/>
      <c r="C806" s="6"/>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6"/>
      <c r="C807" s="6"/>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6"/>
      <c r="C808" s="6"/>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6"/>
      <c r="C809" s="6"/>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6"/>
      <c r="C810" s="6"/>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6"/>
      <c r="C811" s="6"/>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6"/>
      <c r="C812" s="6"/>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6"/>
      <c r="C813" s="6"/>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6"/>
      <c r="C814" s="6"/>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6"/>
      <c r="C815" s="6"/>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6"/>
      <c r="C816" s="6"/>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6"/>
      <c r="C817" s="6"/>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6"/>
      <c r="C818" s="6"/>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6"/>
      <c r="C819" s="6"/>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6"/>
      <c r="C820" s="6"/>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6"/>
      <c r="C821" s="6"/>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6"/>
      <c r="C822" s="6"/>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6"/>
      <c r="C823" s="6"/>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6"/>
      <c r="C824" s="6"/>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6"/>
      <c r="C825" s="6"/>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6"/>
      <c r="C826" s="6"/>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6"/>
      <c r="C827" s="6"/>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6"/>
      <c r="C828" s="6"/>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6"/>
      <c r="C829" s="6"/>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6"/>
      <c r="C830" s="6"/>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6"/>
      <c r="C831" s="6"/>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6"/>
      <c r="C832" s="6"/>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6"/>
      <c r="C833" s="6"/>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6"/>
      <c r="C834" s="6"/>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6"/>
      <c r="C835" s="6"/>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6"/>
      <c r="C836" s="6"/>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6"/>
      <c r="C837" s="6"/>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6"/>
      <c r="C838" s="6"/>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6"/>
      <c r="C839" s="6"/>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6"/>
      <c r="C840" s="6"/>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6"/>
      <c r="C841" s="6"/>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6"/>
      <c r="C842" s="6"/>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6"/>
      <c r="C843" s="6"/>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6"/>
      <c r="C844" s="6"/>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6"/>
      <c r="C845" s="6"/>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6"/>
      <c r="C846" s="6"/>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6"/>
      <c r="C847" s="6"/>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6"/>
      <c r="C848" s="6"/>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6"/>
      <c r="C849" s="6"/>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6"/>
      <c r="C850" s="6"/>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6"/>
      <c r="C851" s="6"/>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6"/>
      <c r="C852" s="6"/>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6"/>
      <c r="C853" s="6"/>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6"/>
      <c r="C854" s="6"/>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6"/>
      <c r="C855" s="6"/>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6"/>
      <c r="C856" s="6"/>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6"/>
      <c r="C857" s="6"/>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6"/>
      <c r="C858" s="6"/>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6"/>
      <c r="C859" s="6"/>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6"/>
      <c r="C860" s="6"/>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6"/>
      <c r="C861" s="6"/>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6"/>
      <c r="C862" s="6"/>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6"/>
      <c r="C863" s="6"/>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6"/>
      <c r="C864" s="6"/>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6"/>
      <c r="C865" s="6"/>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6"/>
      <c r="C866" s="6"/>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6"/>
      <c r="C867" s="6"/>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6"/>
      <c r="C868" s="6"/>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6"/>
      <c r="C869" s="6"/>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6"/>
      <c r="C870" s="6"/>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6"/>
      <c r="C871" s="6"/>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6"/>
      <c r="C872" s="6"/>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6"/>
      <c r="C873" s="6"/>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6"/>
      <c r="C874" s="6"/>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6"/>
      <c r="C875" s="6"/>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6"/>
      <c r="C876" s="6"/>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6"/>
      <c r="C877" s="6"/>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6"/>
      <c r="C878" s="6"/>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6"/>
      <c r="C879" s="6"/>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6"/>
      <c r="C880" s="6"/>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6"/>
      <c r="C881" s="6"/>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6"/>
      <c r="C882" s="6"/>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6"/>
      <c r="C883" s="6"/>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6"/>
      <c r="C884" s="6"/>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6"/>
      <c r="C885" s="6"/>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6"/>
      <c r="C886" s="6"/>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6"/>
      <c r="C887" s="6"/>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6"/>
      <c r="C888" s="6"/>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6"/>
      <c r="C889" s="6"/>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6"/>
      <c r="C890" s="6"/>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6"/>
      <c r="C891" s="6"/>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6"/>
      <c r="C892" s="6"/>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6"/>
      <c r="C893" s="6"/>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6"/>
      <c r="C894" s="6"/>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6"/>
      <c r="C895" s="6"/>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6"/>
      <c r="C896" s="6"/>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6"/>
      <c r="C897" s="6"/>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6"/>
      <c r="C898" s="6"/>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6"/>
      <c r="C899" s="6"/>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6"/>
      <c r="C900" s="6"/>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6"/>
      <c r="C901" s="6"/>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6"/>
      <c r="C902" s="6"/>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6"/>
      <c r="C903" s="6"/>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6"/>
      <c r="C904" s="6"/>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6"/>
      <c r="C905" s="6"/>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6"/>
      <c r="C906" s="6"/>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6"/>
      <c r="C907" s="6"/>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6"/>
      <c r="C908" s="6"/>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6"/>
      <c r="C909" s="6"/>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6"/>
      <c r="C910" s="6"/>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6"/>
      <c r="C911" s="6"/>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6"/>
      <c r="C912" s="6"/>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6"/>
      <c r="C913" s="6"/>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6"/>
      <c r="C914" s="6"/>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6"/>
      <c r="C915" s="6"/>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6"/>
      <c r="C916" s="6"/>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6"/>
      <c r="C917" s="6"/>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6"/>
      <c r="C918" s="6"/>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6"/>
      <c r="C919" s="6"/>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6"/>
      <c r="C920" s="6"/>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6"/>
      <c r="C921" s="6"/>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6"/>
      <c r="C922" s="6"/>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6"/>
      <c r="C923" s="6"/>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6"/>
      <c r="C924" s="6"/>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6"/>
      <c r="C925" s="6"/>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6"/>
      <c r="C926" s="6"/>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6"/>
      <c r="C927" s="6"/>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6"/>
      <c r="C928" s="6"/>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6"/>
      <c r="C929" s="6"/>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6"/>
      <c r="C930" s="6"/>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6"/>
      <c r="C931" s="6"/>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6"/>
      <c r="C932" s="6"/>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6"/>
      <c r="C933" s="6"/>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6"/>
      <c r="C934" s="6"/>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6"/>
      <c r="C935" s="6"/>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6"/>
      <c r="C936" s="6"/>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6"/>
      <c r="C937" s="6"/>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6"/>
      <c r="C938" s="6"/>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6"/>
      <c r="C939" s="6"/>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6"/>
      <c r="C940" s="6"/>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6"/>
      <c r="C941" s="6"/>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6"/>
      <c r="C942" s="6"/>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6"/>
      <c r="C943" s="6"/>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6"/>
      <c r="C944" s="6"/>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6"/>
      <c r="C945" s="6"/>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6"/>
      <c r="C946" s="6"/>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6"/>
      <c r="C947" s="6"/>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6"/>
      <c r="C948" s="6"/>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6"/>
      <c r="C949" s="6"/>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6"/>
      <c r="C950" s="6"/>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6"/>
      <c r="C951" s="6"/>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6"/>
      <c r="C952" s="6"/>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6"/>
      <c r="C953" s="6"/>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6"/>
      <c r="C954" s="6"/>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6"/>
      <c r="C955" s="6"/>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6"/>
      <c r="C956" s="6"/>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6"/>
      <c r="C957" s="6"/>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6"/>
      <c r="C958" s="6"/>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6"/>
      <c r="C959" s="6"/>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6"/>
      <c r="C960" s="6"/>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6"/>
      <c r="C961" s="6"/>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6"/>
      <c r="C962" s="6"/>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6"/>
      <c r="C963" s="6"/>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6"/>
      <c r="C964" s="6"/>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6"/>
      <c r="C965" s="6"/>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6"/>
      <c r="C966" s="6"/>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6"/>
      <c r="C967" s="6"/>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6"/>
      <c r="C968" s="6"/>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6"/>
      <c r="C969" s="6"/>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6"/>
      <c r="C970" s="6"/>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6"/>
      <c r="C971" s="6"/>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6"/>
      <c r="C972" s="6"/>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6"/>
      <c r="C973" s="6"/>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6"/>
      <c r="C974" s="6"/>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6"/>
      <c r="C975" s="6"/>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6"/>
      <c r="C976" s="6"/>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6"/>
      <c r="C977" s="6"/>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6"/>
      <c r="C978" s="6"/>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6"/>
      <c r="C979" s="6"/>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6"/>
      <c r="C980" s="6"/>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6"/>
      <c r="C981" s="6"/>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6"/>
      <c r="C982" s="6"/>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6"/>
      <c r="C983" s="6"/>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6"/>
      <c r="C984" s="6"/>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6"/>
      <c r="C985" s="6"/>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6"/>
      <c r="C986" s="6"/>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6"/>
      <c r="C987" s="6"/>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6"/>
      <c r="C988" s="6"/>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6"/>
      <c r="C989" s="6"/>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6"/>
      <c r="C990" s="6"/>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6"/>
      <c r="C991" s="6"/>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6"/>
      <c r="C992" s="6"/>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6"/>
      <c r="C993" s="6"/>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6"/>
      <c r="C994" s="6"/>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6"/>
      <c r="C995" s="6"/>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6"/>
      <c r="C996" s="6"/>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6"/>
      <c r="C997" s="6"/>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6"/>
      <c r="C998" s="6"/>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6"/>
      <c r="C999" s="6"/>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6"/>
      <c r="C1000" s="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C$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9.5"/>
    <col customWidth="1" min="3" max="3" width="7.75"/>
    <col customWidth="1" min="4" max="4" width="6.38"/>
    <col customWidth="1" min="5" max="5" width="10.38"/>
    <col customWidth="1" min="6" max="6" width="11.38"/>
    <col customWidth="1" min="7" max="7" width="10.75"/>
    <col customWidth="1" min="8" max="8" width="14.25"/>
    <col customWidth="1" min="9" max="9" width="10.5"/>
    <col customWidth="1" min="10" max="10" width="14.25"/>
    <col customWidth="1" min="11" max="11" width="6.38"/>
    <col customWidth="1" min="12" max="12" width="6.63"/>
    <col customWidth="1" min="13" max="13" width="5.5"/>
    <col customWidth="1" min="14" max="14" width="8.5"/>
  </cols>
  <sheetData>
    <row r="1">
      <c r="A1" s="8" t="s">
        <v>9</v>
      </c>
      <c r="B1" s="8" t="s">
        <v>10</v>
      </c>
      <c r="C1" s="9" t="s">
        <v>11</v>
      </c>
      <c r="D1" s="10"/>
      <c r="E1" s="11"/>
      <c r="F1" s="9" t="s">
        <v>12</v>
      </c>
      <c r="G1" s="10"/>
      <c r="H1" s="11"/>
      <c r="I1" s="9" t="s">
        <v>13</v>
      </c>
      <c r="J1" s="10"/>
      <c r="K1" s="10"/>
      <c r="L1" s="10"/>
      <c r="M1" s="10"/>
      <c r="N1" s="11"/>
      <c r="O1" s="12"/>
      <c r="P1" s="12"/>
      <c r="Q1" s="12"/>
      <c r="R1" s="12"/>
      <c r="S1" s="12"/>
      <c r="T1" s="12"/>
      <c r="U1" s="12"/>
      <c r="V1" s="12"/>
      <c r="W1" s="12"/>
      <c r="X1" s="12"/>
      <c r="Y1" s="12"/>
      <c r="Z1" s="12"/>
    </row>
    <row r="2">
      <c r="A2" s="13"/>
      <c r="B2" s="13"/>
      <c r="C2" s="14" t="s">
        <v>14</v>
      </c>
      <c r="D2" s="14" t="s">
        <v>15</v>
      </c>
      <c r="E2" s="8" t="s">
        <v>16</v>
      </c>
      <c r="F2" s="8" t="s">
        <v>17</v>
      </c>
      <c r="G2" s="8" t="s">
        <v>18</v>
      </c>
      <c r="H2" s="8" t="s">
        <v>19</v>
      </c>
      <c r="I2" s="15" t="s">
        <v>20</v>
      </c>
      <c r="J2" s="11"/>
      <c r="K2" s="15" t="s">
        <v>21</v>
      </c>
      <c r="L2" s="10"/>
      <c r="M2" s="10"/>
      <c r="N2" s="11"/>
      <c r="O2" s="12"/>
      <c r="P2" s="12"/>
      <c r="Q2" s="12"/>
      <c r="R2" s="12"/>
      <c r="S2" s="12"/>
      <c r="T2" s="12"/>
      <c r="U2" s="12"/>
      <c r="V2" s="12"/>
      <c r="W2" s="12"/>
      <c r="X2" s="12"/>
      <c r="Y2" s="12"/>
      <c r="Z2" s="12"/>
    </row>
    <row r="3">
      <c r="A3" s="16"/>
      <c r="B3" s="16"/>
      <c r="C3" s="16"/>
      <c r="D3" s="16"/>
      <c r="E3" s="16"/>
      <c r="F3" s="16"/>
      <c r="G3" s="16"/>
      <c r="H3" s="16"/>
      <c r="I3" s="17" t="s">
        <v>22</v>
      </c>
      <c r="J3" s="18" t="s">
        <v>23</v>
      </c>
      <c r="K3" s="18" t="s">
        <v>24</v>
      </c>
      <c r="L3" s="18" t="s">
        <v>25</v>
      </c>
      <c r="M3" s="18" t="s">
        <v>26</v>
      </c>
      <c r="N3" s="18" t="s">
        <v>27</v>
      </c>
      <c r="O3" s="12"/>
      <c r="P3" s="12"/>
      <c r="Q3" s="12"/>
      <c r="R3" s="12"/>
      <c r="S3" s="12"/>
      <c r="T3" s="12"/>
      <c r="U3" s="12"/>
      <c r="V3" s="12"/>
      <c r="W3" s="12"/>
      <c r="X3" s="12"/>
      <c r="Y3" s="12"/>
      <c r="Z3" s="12"/>
    </row>
    <row r="4">
      <c r="A4" s="19" t="s">
        <v>28</v>
      </c>
      <c r="B4" s="19" t="s">
        <v>29</v>
      </c>
      <c r="C4" s="20"/>
      <c r="D4" s="20"/>
      <c r="E4" s="20"/>
      <c r="F4" s="21"/>
      <c r="G4" s="21"/>
      <c r="H4" s="21"/>
      <c r="I4" s="22" t="s">
        <v>29</v>
      </c>
      <c r="J4" s="22" t="s">
        <v>29</v>
      </c>
      <c r="K4" s="19" t="s">
        <v>29</v>
      </c>
      <c r="L4" s="19" t="s">
        <v>29</v>
      </c>
      <c r="M4" s="19" t="s">
        <v>29</v>
      </c>
      <c r="N4" s="19" t="s">
        <v>29</v>
      </c>
      <c r="O4" s="12"/>
      <c r="P4" s="12"/>
      <c r="Q4" s="12"/>
      <c r="R4" s="12"/>
      <c r="S4" s="12"/>
      <c r="T4" s="12"/>
      <c r="U4" s="12"/>
      <c r="V4" s="12"/>
      <c r="W4" s="12"/>
      <c r="X4" s="12"/>
      <c r="Y4" s="12"/>
      <c r="Z4" s="12"/>
    </row>
    <row r="5">
      <c r="A5" s="19" t="s">
        <v>30</v>
      </c>
      <c r="B5" s="20"/>
      <c r="C5" s="19" t="s">
        <v>29</v>
      </c>
      <c r="D5" s="20"/>
      <c r="E5" s="20"/>
      <c r="F5" s="19"/>
      <c r="G5" s="19"/>
      <c r="H5" s="19"/>
      <c r="I5" s="19" t="s">
        <v>29</v>
      </c>
      <c r="J5" s="19" t="s">
        <v>29</v>
      </c>
      <c r="K5" s="19" t="s">
        <v>29</v>
      </c>
      <c r="L5" s="19" t="s">
        <v>29</v>
      </c>
      <c r="M5" s="19" t="s">
        <v>29</v>
      </c>
      <c r="N5" s="19" t="s">
        <v>29</v>
      </c>
      <c r="O5" s="12"/>
      <c r="P5" s="12"/>
      <c r="Q5" s="12"/>
      <c r="R5" s="12"/>
      <c r="S5" s="12"/>
      <c r="T5" s="12"/>
      <c r="U5" s="12"/>
      <c r="V5" s="12"/>
      <c r="W5" s="12"/>
      <c r="X5" s="12"/>
      <c r="Y5" s="12"/>
      <c r="Z5" s="12"/>
    </row>
    <row r="6">
      <c r="A6" s="19" t="s">
        <v>31</v>
      </c>
      <c r="B6" s="20"/>
      <c r="C6" s="19" t="s">
        <v>29</v>
      </c>
      <c r="D6" s="20"/>
      <c r="E6" s="20"/>
      <c r="F6" s="19" t="s">
        <v>29</v>
      </c>
      <c r="G6" s="19"/>
      <c r="H6" s="19"/>
      <c r="I6" s="19" t="s">
        <v>29</v>
      </c>
      <c r="J6" s="19" t="s">
        <v>29</v>
      </c>
      <c r="K6" s="19" t="s">
        <v>29</v>
      </c>
      <c r="L6" s="19" t="s">
        <v>29</v>
      </c>
      <c r="M6" s="19" t="s">
        <v>29</v>
      </c>
      <c r="N6" s="19" t="s">
        <v>29</v>
      </c>
      <c r="O6" s="12"/>
      <c r="P6" s="12"/>
      <c r="Q6" s="12"/>
      <c r="R6" s="12"/>
      <c r="S6" s="12"/>
      <c r="T6" s="12"/>
      <c r="U6" s="12"/>
      <c r="V6" s="12"/>
      <c r="W6" s="12"/>
      <c r="X6" s="12"/>
      <c r="Y6" s="12"/>
      <c r="Z6" s="12"/>
    </row>
    <row r="7">
      <c r="A7" s="19" t="s">
        <v>32</v>
      </c>
      <c r="B7" s="20"/>
      <c r="C7" s="19" t="s">
        <v>29</v>
      </c>
      <c r="D7" s="20"/>
      <c r="E7" s="20"/>
      <c r="F7" s="21"/>
      <c r="G7" s="19" t="s">
        <v>29</v>
      </c>
      <c r="H7" s="21"/>
      <c r="I7" s="19" t="s">
        <v>29</v>
      </c>
      <c r="J7" s="19" t="s">
        <v>29</v>
      </c>
      <c r="K7" s="19" t="s">
        <v>29</v>
      </c>
      <c r="L7" s="19" t="s">
        <v>29</v>
      </c>
      <c r="M7" s="19" t="s">
        <v>29</v>
      </c>
      <c r="N7" s="19" t="s">
        <v>29</v>
      </c>
      <c r="O7" s="12"/>
      <c r="P7" s="12"/>
      <c r="Q7" s="12"/>
      <c r="R7" s="12"/>
      <c r="S7" s="12"/>
      <c r="T7" s="12"/>
      <c r="U7" s="12"/>
      <c r="V7" s="12"/>
      <c r="W7" s="12"/>
      <c r="X7" s="12"/>
      <c r="Y7" s="12"/>
      <c r="Z7" s="12"/>
    </row>
    <row r="8">
      <c r="A8" s="19" t="s">
        <v>33</v>
      </c>
      <c r="B8" s="20"/>
      <c r="C8" s="19" t="s">
        <v>29</v>
      </c>
      <c r="D8" s="20"/>
      <c r="E8" s="20"/>
      <c r="F8" s="20"/>
      <c r="G8" s="20"/>
      <c r="H8" s="19" t="s">
        <v>29</v>
      </c>
      <c r="I8" s="19" t="s">
        <v>29</v>
      </c>
      <c r="J8" s="19" t="s">
        <v>29</v>
      </c>
      <c r="K8" s="19" t="s">
        <v>29</v>
      </c>
      <c r="L8" s="19" t="s">
        <v>29</v>
      </c>
      <c r="M8" s="19" t="s">
        <v>29</v>
      </c>
      <c r="N8" s="19" t="s">
        <v>29</v>
      </c>
      <c r="O8" s="12"/>
      <c r="P8" s="12"/>
      <c r="Q8" s="12"/>
      <c r="R8" s="12"/>
      <c r="S8" s="12"/>
      <c r="T8" s="12"/>
      <c r="U8" s="12"/>
      <c r="V8" s="12"/>
      <c r="W8" s="12"/>
      <c r="X8" s="12"/>
      <c r="Y8" s="12"/>
      <c r="Z8" s="12"/>
    </row>
    <row r="9">
      <c r="A9" s="19" t="s">
        <v>34</v>
      </c>
      <c r="B9" s="20"/>
      <c r="C9" s="19"/>
      <c r="D9" s="19" t="s">
        <v>29</v>
      </c>
      <c r="E9" s="20"/>
      <c r="F9" s="19"/>
      <c r="G9" s="19"/>
      <c r="H9" s="19"/>
      <c r="I9" s="19" t="s">
        <v>29</v>
      </c>
      <c r="J9" s="19" t="s">
        <v>29</v>
      </c>
      <c r="K9" s="19" t="s">
        <v>29</v>
      </c>
      <c r="L9" s="19" t="s">
        <v>29</v>
      </c>
      <c r="M9" s="19" t="s">
        <v>29</v>
      </c>
      <c r="N9" s="19" t="s">
        <v>29</v>
      </c>
      <c r="O9" s="12"/>
      <c r="P9" s="12"/>
      <c r="Q9" s="12"/>
      <c r="R9" s="12"/>
      <c r="S9" s="12"/>
      <c r="T9" s="12"/>
      <c r="U9" s="12"/>
      <c r="V9" s="12"/>
      <c r="W9" s="12"/>
      <c r="X9" s="12"/>
      <c r="Y9" s="12"/>
      <c r="Z9" s="12"/>
    </row>
    <row r="10">
      <c r="A10" s="19" t="s">
        <v>35</v>
      </c>
      <c r="B10" s="20"/>
      <c r="C10" s="20"/>
      <c r="D10" s="19" t="s">
        <v>29</v>
      </c>
      <c r="E10" s="20"/>
      <c r="F10" s="19" t="s">
        <v>29</v>
      </c>
      <c r="G10" s="19"/>
      <c r="H10" s="19"/>
      <c r="I10" s="19" t="s">
        <v>29</v>
      </c>
      <c r="J10" s="19" t="s">
        <v>29</v>
      </c>
      <c r="K10" s="19" t="s">
        <v>29</v>
      </c>
      <c r="L10" s="19" t="s">
        <v>29</v>
      </c>
      <c r="M10" s="19" t="s">
        <v>29</v>
      </c>
      <c r="N10" s="19" t="s">
        <v>29</v>
      </c>
      <c r="O10" s="12"/>
      <c r="P10" s="12"/>
      <c r="Q10" s="12"/>
      <c r="R10" s="12"/>
      <c r="S10" s="12"/>
      <c r="T10" s="12"/>
      <c r="U10" s="12"/>
      <c r="V10" s="12"/>
      <c r="W10" s="12"/>
      <c r="X10" s="12"/>
      <c r="Y10" s="12"/>
      <c r="Z10" s="12"/>
    </row>
    <row r="11">
      <c r="A11" s="19" t="s">
        <v>36</v>
      </c>
      <c r="B11" s="20"/>
      <c r="C11" s="20"/>
      <c r="D11" s="19" t="s">
        <v>29</v>
      </c>
      <c r="E11" s="20"/>
      <c r="F11" s="21"/>
      <c r="G11" s="19" t="s">
        <v>29</v>
      </c>
      <c r="H11" s="21"/>
      <c r="I11" s="19" t="s">
        <v>29</v>
      </c>
      <c r="J11" s="19" t="s">
        <v>29</v>
      </c>
      <c r="K11" s="19" t="s">
        <v>29</v>
      </c>
      <c r="L11" s="19" t="s">
        <v>29</v>
      </c>
      <c r="M11" s="19" t="s">
        <v>29</v>
      </c>
      <c r="N11" s="19" t="s">
        <v>29</v>
      </c>
      <c r="O11" s="12"/>
      <c r="P11" s="12"/>
      <c r="Q11" s="12"/>
      <c r="R11" s="12"/>
      <c r="S11" s="12"/>
      <c r="T11" s="12"/>
      <c r="U11" s="12"/>
      <c r="V11" s="12"/>
      <c r="W11" s="12"/>
      <c r="X11" s="12"/>
      <c r="Y11" s="12"/>
      <c r="Z11" s="12"/>
    </row>
    <row r="12">
      <c r="A12" s="19" t="s">
        <v>37</v>
      </c>
      <c r="B12" s="20"/>
      <c r="C12" s="20"/>
      <c r="D12" s="19" t="s">
        <v>29</v>
      </c>
      <c r="E12" s="20"/>
      <c r="F12" s="20"/>
      <c r="G12" s="20"/>
      <c r="H12" s="19" t="s">
        <v>29</v>
      </c>
      <c r="I12" s="19" t="s">
        <v>29</v>
      </c>
      <c r="J12" s="19" t="s">
        <v>29</v>
      </c>
      <c r="K12" s="19" t="s">
        <v>29</v>
      </c>
      <c r="L12" s="19" t="s">
        <v>29</v>
      </c>
      <c r="M12" s="19" t="s">
        <v>29</v>
      </c>
      <c r="N12" s="19" t="s">
        <v>29</v>
      </c>
      <c r="O12" s="12"/>
      <c r="P12" s="12"/>
      <c r="Q12" s="12"/>
      <c r="R12" s="12"/>
      <c r="S12" s="12"/>
      <c r="T12" s="12"/>
      <c r="U12" s="12"/>
      <c r="V12" s="12"/>
      <c r="W12" s="12"/>
      <c r="X12" s="12"/>
      <c r="Y12" s="12"/>
      <c r="Z12" s="12"/>
    </row>
    <row r="13">
      <c r="A13" s="19" t="s">
        <v>38</v>
      </c>
      <c r="B13" s="20"/>
      <c r="C13" s="20"/>
      <c r="D13" s="20"/>
      <c r="E13" s="19" t="s">
        <v>29</v>
      </c>
      <c r="F13" s="19"/>
      <c r="G13" s="19"/>
      <c r="H13" s="19"/>
      <c r="I13" s="19" t="s">
        <v>29</v>
      </c>
      <c r="J13" s="19" t="s">
        <v>29</v>
      </c>
      <c r="K13" s="19" t="s">
        <v>29</v>
      </c>
      <c r="L13" s="19" t="s">
        <v>29</v>
      </c>
      <c r="M13" s="19" t="s">
        <v>29</v>
      </c>
      <c r="N13" s="19" t="s">
        <v>29</v>
      </c>
      <c r="O13" s="12"/>
      <c r="P13" s="12"/>
      <c r="Q13" s="12"/>
      <c r="R13" s="12"/>
      <c r="S13" s="12"/>
      <c r="T13" s="12"/>
      <c r="U13" s="12"/>
      <c r="V13" s="12"/>
      <c r="W13" s="12"/>
      <c r="X13" s="12"/>
      <c r="Y13" s="12"/>
      <c r="Z13" s="12"/>
    </row>
    <row r="14">
      <c r="A14" s="19" t="s">
        <v>39</v>
      </c>
      <c r="B14" s="20"/>
      <c r="C14" s="20"/>
      <c r="D14" s="20"/>
      <c r="E14" s="19" t="s">
        <v>29</v>
      </c>
      <c r="F14" s="19" t="s">
        <v>29</v>
      </c>
      <c r="G14" s="19"/>
      <c r="H14" s="19"/>
      <c r="I14" s="19" t="s">
        <v>29</v>
      </c>
      <c r="J14" s="19" t="s">
        <v>29</v>
      </c>
      <c r="K14" s="19" t="s">
        <v>29</v>
      </c>
      <c r="L14" s="19" t="s">
        <v>29</v>
      </c>
      <c r="M14" s="19" t="s">
        <v>29</v>
      </c>
      <c r="N14" s="19" t="s">
        <v>29</v>
      </c>
      <c r="O14" s="12"/>
      <c r="P14" s="12"/>
      <c r="Q14" s="12"/>
      <c r="R14" s="12"/>
      <c r="S14" s="12"/>
      <c r="T14" s="12"/>
      <c r="U14" s="12"/>
      <c r="V14" s="12"/>
      <c r="W14" s="12"/>
      <c r="X14" s="12"/>
      <c r="Y14" s="12"/>
      <c r="Z14" s="12"/>
    </row>
    <row r="15">
      <c r="A15" s="19" t="s">
        <v>40</v>
      </c>
      <c r="B15" s="20"/>
      <c r="C15" s="20"/>
      <c r="D15" s="20"/>
      <c r="E15" s="19" t="s">
        <v>29</v>
      </c>
      <c r="F15" s="21"/>
      <c r="G15" s="19" t="s">
        <v>29</v>
      </c>
      <c r="H15" s="21"/>
      <c r="I15" s="19" t="s">
        <v>29</v>
      </c>
      <c r="J15" s="19" t="s">
        <v>29</v>
      </c>
      <c r="K15" s="19" t="s">
        <v>29</v>
      </c>
      <c r="L15" s="19" t="s">
        <v>29</v>
      </c>
      <c r="M15" s="19" t="s">
        <v>29</v>
      </c>
      <c r="N15" s="19" t="s">
        <v>29</v>
      </c>
      <c r="O15" s="12"/>
      <c r="P15" s="12"/>
      <c r="Q15" s="12"/>
      <c r="R15" s="12"/>
      <c r="S15" s="12"/>
      <c r="T15" s="12"/>
      <c r="U15" s="12"/>
      <c r="V15" s="12"/>
      <c r="W15" s="12"/>
      <c r="X15" s="12"/>
      <c r="Y15" s="12"/>
      <c r="Z15" s="12"/>
    </row>
    <row r="16">
      <c r="A16" s="19" t="s">
        <v>41</v>
      </c>
      <c r="B16" s="20"/>
      <c r="C16" s="20"/>
      <c r="D16" s="20"/>
      <c r="E16" s="19" t="s">
        <v>29</v>
      </c>
      <c r="F16" s="20"/>
      <c r="G16" s="20"/>
      <c r="H16" s="19" t="s">
        <v>29</v>
      </c>
      <c r="I16" s="19" t="s">
        <v>29</v>
      </c>
      <c r="J16" s="19" t="s">
        <v>29</v>
      </c>
      <c r="K16" s="19" t="s">
        <v>29</v>
      </c>
      <c r="L16" s="19" t="s">
        <v>29</v>
      </c>
      <c r="M16" s="19" t="s">
        <v>29</v>
      </c>
      <c r="N16" s="19" t="s">
        <v>29</v>
      </c>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23"/>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24" t="s">
        <v>42</v>
      </c>
      <c r="B19" s="10"/>
      <c r="C19" s="10"/>
      <c r="D19" s="10"/>
      <c r="E19" s="10"/>
      <c r="F19" s="10"/>
      <c r="G19" s="10"/>
      <c r="H19" s="10"/>
      <c r="I19" s="10"/>
      <c r="J19" s="10"/>
      <c r="K19" s="10"/>
      <c r="L19" s="10"/>
      <c r="M19" s="10"/>
      <c r="N19" s="11"/>
      <c r="O19" s="12"/>
      <c r="P19" s="12"/>
      <c r="Q19" s="12"/>
      <c r="R19" s="12"/>
      <c r="S19" s="12"/>
      <c r="T19" s="12"/>
      <c r="U19" s="12"/>
      <c r="V19" s="12"/>
      <c r="W19" s="12"/>
      <c r="X19" s="12"/>
      <c r="Y19" s="12"/>
      <c r="Z19" s="12"/>
    </row>
    <row r="20">
      <c r="A20" s="25" t="s">
        <v>43</v>
      </c>
      <c r="B20" s="10"/>
      <c r="C20" s="10"/>
      <c r="D20" s="10"/>
      <c r="E20" s="10"/>
      <c r="F20" s="10"/>
      <c r="G20" s="10"/>
      <c r="H20" s="10"/>
      <c r="I20" s="10"/>
      <c r="J20" s="10"/>
      <c r="K20" s="10"/>
      <c r="L20" s="10"/>
      <c r="M20" s="10"/>
      <c r="N20" s="11"/>
      <c r="O20" s="12"/>
      <c r="P20" s="12"/>
      <c r="Q20" s="12"/>
      <c r="R20" s="12"/>
      <c r="S20" s="12"/>
      <c r="T20" s="12"/>
      <c r="U20" s="12"/>
      <c r="V20" s="12"/>
      <c r="W20" s="12"/>
      <c r="X20" s="12"/>
      <c r="Y20" s="12"/>
      <c r="Z20" s="12"/>
    </row>
    <row r="21">
      <c r="A21" s="25" t="s">
        <v>44</v>
      </c>
      <c r="B21" s="10"/>
      <c r="C21" s="10"/>
      <c r="D21" s="10"/>
      <c r="E21" s="10"/>
      <c r="F21" s="10"/>
      <c r="G21" s="10"/>
      <c r="H21" s="10"/>
      <c r="I21" s="10"/>
      <c r="J21" s="10"/>
      <c r="K21" s="10"/>
      <c r="L21" s="10"/>
      <c r="M21" s="10"/>
      <c r="N21" s="11"/>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24" t="s">
        <v>45</v>
      </c>
      <c r="B23" s="10"/>
      <c r="C23" s="10"/>
      <c r="D23" s="10"/>
      <c r="E23" s="10"/>
      <c r="F23" s="10"/>
      <c r="G23" s="10"/>
      <c r="H23" s="10"/>
      <c r="I23" s="10"/>
      <c r="J23" s="10"/>
      <c r="K23" s="10"/>
      <c r="L23" s="10"/>
      <c r="M23" s="10"/>
      <c r="N23" s="11"/>
      <c r="O23" s="12"/>
      <c r="P23" s="12"/>
      <c r="Q23" s="12"/>
      <c r="R23" s="12"/>
      <c r="S23" s="12"/>
      <c r="T23" s="12"/>
      <c r="U23" s="12"/>
      <c r="V23" s="12"/>
      <c r="W23" s="12"/>
      <c r="X23" s="12"/>
      <c r="Y23" s="12"/>
      <c r="Z23" s="12"/>
    </row>
    <row r="24">
      <c r="A24" s="25" t="s">
        <v>46</v>
      </c>
      <c r="B24" s="10"/>
      <c r="C24" s="10"/>
      <c r="D24" s="10"/>
      <c r="E24" s="10"/>
      <c r="F24" s="10"/>
      <c r="G24" s="10"/>
      <c r="H24" s="10"/>
      <c r="I24" s="10"/>
      <c r="J24" s="10"/>
      <c r="K24" s="10"/>
      <c r="L24" s="10"/>
      <c r="M24" s="10"/>
      <c r="N24" s="11"/>
      <c r="O24" s="12"/>
      <c r="P24" s="12"/>
      <c r="Q24" s="12"/>
      <c r="R24" s="12"/>
      <c r="S24" s="12"/>
      <c r="T24" s="12"/>
      <c r="U24" s="12"/>
      <c r="V24" s="12"/>
      <c r="W24" s="12"/>
      <c r="X24" s="12"/>
      <c r="Y24" s="12"/>
      <c r="Z24" s="12"/>
    </row>
    <row r="25">
      <c r="A25" s="25" t="s">
        <v>47</v>
      </c>
      <c r="B25" s="10"/>
      <c r="C25" s="10"/>
      <c r="D25" s="10"/>
      <c r="E25" s="10"/>
      <c r="F25" s="10"/>
      <c r="G25" s="10"/>
      <c r="H25" s="10"/>
      <c r="I25" s="10"/>
      <c r="J25" s="10"/>
      <c r="K25" s="10"/>
      <c r="L25" s="10"/>
      <c r="M25" s="10"/>
      <c r="N25" s="11"/>
      <c r="O25" s="12"/>
      <c r="P25" s="12"/>
      <c r="Q25" s="12"/>
      <c r="R25" s="12"/>
      <c r="S25" s="12"/>
      <c r="T25" s="12"/>
      <c r="U25" s="12"/>
      <c r="V25" s="12"/>
      <c r="W25" s="12"/>
      <c r="X25" s="12"/>
      <c r="Y25" s="12"/>
      <c r="Z25" s="12"/>
    </row>
    <row r="26">
      <c r="A26" s="25" t="s">
        <v>48</v>
      </c>
      <c r="B26" s="10"/>
      <c r="C26" s="10"/>
      <c r="D26" s="10"/>
      <c r="E26" s="10"/>
      <c r="F26" s="10"/>
      <c r="G26" s="10"/>
      <c r="H26" s="10"/>
      <c r="I26" s="10"/>
      <c r="J26" s="10"/>
      <c r="K26" s="10"/>
      <c r="L26" s="10"/>
      <c r="M26" s="10"/>
      <c r="N26" s="11"/>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sheetData>
  <mergeCells count="20">
    <mergeCell ref="E2:E3"/>
    <mergeCell ref="F2:F3"/>
    <mergeCell ref="G2:G3"/>
    <mergeCell ref="H2:H3"/>
    <mergeCell ref="I2:J2"/>
    <mergeCell ref="K2:N2"/>
    <mergeCell ref="A19:N19"/>
    <mergeCell ref="A20:N20"/>
    <mergeCell ref="A21:N21"/>
    <mergeCell ref="A23:N23"/>
    <mergeCell ref="A24:N24"/>
    <mergeCell ref="A25:N25"/>
    <mergeCell ref="A26:N26"/>
    <mergeCell ref="A1:A3"/>
    <mergeCell ref="B1:B3"/>
    <mergeCell ref="C1:E1"/>
    <mergeCell ref="F1:H1"/>
    <mergeCell ref="I1:N1"/>
    <mergeCell ref="C2:C3"/>
    <mergeCell ref="D2:D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13.25"/>
    <col customWidth="1" min="3" max="3" width="63.0"/>
    <col customWidth="1" min="4" max="4" width="38.38"/>
  </cols>
  <sheetData>
    <row r="1" ht="20.25" customHeight="1">
      <c r="A1" s="1" t="s">
        <v>0</v>
      </c>
      <c r="B1" s="2" t="s">
        <v>49</v>
      </c>
      <c r="C1" s="2" t="s">
        <v>50</v>
      </c>
      <c r="D1" s="2" t="s">
        <v>51</v>
      </c>
      <c r="E1" s="3"/>
      <c r="F1" s="3"/>
      <c r="G1" s="3"/>
      <c r="H1" s="3"/>
      <c r="I1" s="3"/>
      <c r="J1" s="3"/>
      <c r="K1" s="3"/>
      <c r="L1" s="3"/>
      <c r="M1" s="3"/>
      <c r="N1" s="3"/>
      <c r="O1" s="3"/>
      <c r="P1" s="3"/>
      <c r="Q1" s="3"/>
      <c r="R1" s="3"/>
      <c r="S1" s="3"/>
      <c r="T1" s="3"/>
      <c r="U1" s="3"/>
      <c r="V1" s="3"/>
      <c r="W1" s="3"/>
      <c r="X1" s="3"/>
      <c r="Y1" s="3"/>
      <c r="Z1" s="3"/>
    </row>
    <row r="2">
      <c r="A2" s="4">
        <v>1.0</v>
      </c>
      <c r="B2" s="5" t="s">
        <v>22</v>
      </c>
      <c r="C2" s="26" t="s">
        <v>52</v>
      </c>
      <c r="D2" s="27"/>
      <c r="G2" s="3"/>
      <c r="H2" s="3"/>
      <c r="I2" s="3"/>
      <c r="J2" s="3"/>
      <c r="K2" s="3"/>
      <c r="L2" s="3"/>
      <c r="M2" s="3"/>
      <c r="N2" s="3"/>
      <c r="O2" s="3"/>
      <c r="P2" s="3"/>
      <c r="Q2" s="3"/>
      <c r="R2" s="3"/>
      <c r="S2" s="3"/>
      <c r="T2" s="3"/>
      <c r="U2" s="3"/>
      <c r="V2" s="3"/>
      <c r="W2" s="3"/>
      <c r="X2" s="3"/>
      <c r="Y2" s="3"/>
      <c r="Z2" s="3"/>
    </row>
    <row r="3">
      <c r="A3" s="4">
        <v>2.0</v>
      </c>
      <c r="B3" s="6" t="s">
        <v>23</v>
      </c>
      <c r="C3" s="5" t="s">
        <v>53</v>
      </c>
      <c r="D3" s="6"/>
      <c r="E3" s="3"/>
      <c r="F3" s="3"/>
      <c r="G3" s="3"/>
      <c r="H3" s="3"/>
      <c r="I3" s="3"/>
      <c r="J3" s="3"/>
      <c r="K3" s="3"/>
      <c r="L3" s="3"/>
      <c r="M3" s="3"/>
      <c r="N3" s="3"/>
      <c r="O3" s="3"/>
      <c r="P3" s="3"/>
      <c r="Q3" s="3"/>
      <c r="R3" s="3"/>
      <c r="S3" s="3"/>
      <c r="T3" s="3"/>
      <c r="U3" s="3"/>
      <c r="V3" s="3"/>
      <c r="W3" s="3"/>
      <c r="X3" s="3"/>
      <c r="Y3" s="3"/>
      <c r="Z3" s="3"/>
    </row>
    <row r="4">
      <c r="A4" s="4">
        <v>3.0</v>
      </c>
      <c r="B4" s="6" t="s">
        <v>24</v>
      </c>
      <c r="C4" s="5" t="s">
        <v>54</v>
      </c>
      <c r="D4" s="5" t="s">
        <v>55</v>
      </c>
      <c r="E4" s="3"/>
      <c r="F4" s="3"/>
      <c r="G4" s="3"/>
      <c r="H4" s="3"/>
      <c r="I4" s="3"/>
      <c r="J4" s="3"/>
      <c r="K4" s="3"/>
      <c r="L4" s="3"/>
      <c r="M4" s="3"/>
      <c r="N4" s="3"/>
      <c r="O4" s="3"/>
      <c r="P4" s="3"/>
      <c r="Q4" s="3"/>
      <c r="R4" s="3"/>
      <c r="S4" s="3"/>
      <c r="T4" s="3"/>
      <c r="U4" s="3"/>
      <c r="V4" s="3"/>
      <c r="W4" s="3"/>
      <c r="X4" s="3"/>
      <c r="Y4" s="3"/>
      <c r="Z4" s="3"/>
    </row>
    <row r="5">
      <c r="A5" s="4">
        <v>4.0</v>
      </c>
      <c r="B5" s="6" t="s">
        <v>25</v>
      </c>
      <c r="C5" s="5" t="s">
        <v>56</v>
      </c>
      <c r="D5" s="5" t="s">
        <v>55</v>
      </c>
      <c r="E5" s="3"/>
      <c r="F5" s="3"/>
      <c r="G5" s="3"/>
      <c r="H5" s="3"/>
      <c r="I5" s="3"/>
      <c r="J5" s="3"/>
      <c r="K5" s="3"/>
      <c r="L5" s="3"/>
      <c r="M5" s="3"/>
      <c r="N5" s="3"/>
      <c r="O5" s="3"/>
      <c r="P5" s="3"/>
      <c r="Q5" s="3"/>
      <c r="R5" s="3"/>
      <c r="S5" s="3"/>
      <c r="T5" s="3"/>
      <c r="U5" s="3"/>
      <c r="V5" s="3"/>
      <c r="W5" s="3"/>
      <c r="X5" s="3"/>
      <c r="Y5" s="3"/>
      <c r="Z5" s="3"/>
    </row>
    <row r="6">
      <c r="A6" s="4">
        <v>5.0</v>
      </c>
      <c r="B6" s="6" t="s">
        <v>26</v>
      </c>
      <c r="C6" s="5" t="s">
        <v>57</v>
      </c>
      <c r="D6" s="5" t="s">
        <v>55</v>
      </c>
      <c r="E6" s="3"/>
      <c r="F6" s="3"/>
      <c r="G6" s="3"/>
      <c r="H6" s="3"/>
      <c r="I6" s="3"/>
      <c r="J6" s="3"/>
      <c r="K6" s="3"/>
      <c r="L6" s="3"/>
      <c r="M6" s="3"/>
      <c r="N6" s="3"/>
      <c r="O6" s="3"/>
      <c r="P6" s="3"/>
      <c r="Q6" s="3"/>
      <c r="R6" s="3"/>
      <c r="S6" s="3"/>
      <c r="T6" s="3"/>
      <c r="U6" s="3"/>
      <c r="V6" s="3"/>
      <c r="W6" s="3"/>
      <c r="X6" s="3"/>
      <c r="Y6" s="3"/>
      <c r="Z6" s="3"/>
    </row>
    <row r="7">
      <c r="A7" s="4">
        <v>6.0</v>
      </c>
      <c r="B7" s="6" t="s">
        <v>27</v>
      </c>
      <c r="C7" s="5" t="s">
        <v>58</v>
      </c>
      <c r="D7" s="5" t="s">
        <v>55</v>
      </c>
      <c r="E7" s="3"/>
      <c r="F7" s="3"/>
      <c r="G7" s="3"/>
      <c r="H7" s="3"/>
      <c r="I7" s="3"/>
      <c r="J7" s="3"/>
      <c r="K7" s="3"/>
      <c r="L7" s="3"/>
      <c r="M7" s="3"/>
      <c r="N7" s="3"/>
      <c r="O7" s="3"/>
      <c r="P7" s="3"/>
      <c r="Q7" s="3"/>
      <c r="R7" s="3"/>
      <c r="S7" s="3"/>
      <c r="T7" s="3"/>
      <c r="U7" s="3"/>
      <c r="V7" s="3"/>
      <c r="W7" s="3"/>
      <c r="X7" s="3"/>
      <c r="Y7" s="3"/>
      <c r="Z7" s="3"/>
    </row>
    <row r="8">
      <c r="A8" s="28"/>
      <c r="B8" s="3"/>
      <c r="C8" s="3"/>
      <c r="D8" s="3"/>
      <c r="E8" s="3"/>
      <c r="F8" s="3"/>
      <c r="G8" s="3"/>
      <c r="H8" s="3"/>
      <c r="I8" s="3"/>
      <c r="J8" s="3"/>
      <c r="K8" s="3"/>
      <c r="L8" s="3"/>
      <c r="M8" s="3"/>
      <c r="N8" s="3"/>
      <c r="O8" s="3"/>
      <c r="P8" s="3"/>
      <c r="Q8" s="3"/>
      <c r="R8" s="3"/>
      <c r="S8" s="3"/>
      <c r="T8" s="3"/>
      <c r="U8" s="3"/>
      <c r="V8" s="3"/>
      <c r="W8" s="3"/>
      <c r="X8" s="3"/>
      <c r="Y8" s="3"/>
      <c r="Z8" s="3"/>
    </row>
    <row r="9">
      <c r="A9" s="28"/>
      <c r="B9" s="3"/>
      <c r="C9" s="3"/>
      <c r="D9" s="3"/>
      <c r="E9" s="3"/>
      <c r="F9" s="3"/>
      <c r="G9" s="3"/>
      <c r="H9" s="3"/>
      <c r="I9" s="3"/>
      <c r="J9" s="3"/>
      <c r="K9" s="3"/>
      <c r="L9" s="3"/>
      <c r="M9" s="3"/>
      <c r="N9" s="3"/>
      <c r="O9" s="3"/>
      <c r="P9" s="3"/>
      <c r="Q9" s="3"/>
      <c r="R9" s="3"/>
      <c r="S9" s="3"/>
      <c r="T9" s="3"/>
      <c r="U9" s="3"/>
      <c r="V9" s="3"/>
      <c r="W9" s="3"/>
      <c r="X9" s="3"/>
      <c r="Y9" s="3"/>
      <c r="Z9" s="3"/>
    </row>
    <row r="10">
      <c r="A10" s="28"/>
      <c r="B10" s="3"/>
      <c r="C10" s="3"/>
      <c r="D10" s="3"/>
      <c r="E10" s="3"/>
      <c r="F10" s="3"/>
      <c r="G10" s="3"/>
      <c r="H10" s="3"/>
      <c r="I10" s="3"/>
      <c r="J10" s="3"/>
      <c r="K10" s="3"/>
      <c r="L10" s="3"/>
      <c r="M10" s="3"/>
      <c r="N10" s="3"/>
      <c r="O10" s="3"/>
      <c r="P10" s="3"/>
      <c r="Q10" s="3"/>
      <c r="R10" s="3"/>
      <c r="S10" s="3"/>
      <c r="T10" s="3"/>
      <c r="U10" s="3"/>
      <c r="V10" s="3"/>
      <c r="W10" s="3"/>
      <c r="X10" s="3"/>
      <c r="Y10" s="3"/>
      <c r="Z10" s="3"/>
    </row>
    <row r="11">
      <c r="A11" s="28"/>
      <c r="B11" s="3"/>
      <c r="C11" s="3"/>
      <c r="D11" s="3"/>
      <c r="E11" s="3"/>
      <c r="F11" s="3"/>
      <c r="G11" s="3"/>
      <c r="H11" s="3"/>
      <c r="I11" s="3"/>
      <c r="J11" s="3"/>
      <c r="K11" s="3"/>
      <c r="L11" s="3"/>
      <c r="M11" s="3"/>
      <c r="N11" s="3"/>
      <c r="O11" s="3"/>
      <c r="P11" s="3"/>
      <c r="Q11" s="3"/>
      <c r="R11" s="3"/>
      <c r="S11" s="3"/>
      <c r="T11" s="3"/>
      <c r="U11" s="3"/>
      <c r="V11" s="3"/>
      <c r="W11" s="3"/>
      <c r="X11" s="3"/>
      <c r="Y11" s="3"/>
      <c r="Z11" s="3"/>
    </row>
    <row r="12">
      <c r="A12" s="28"/>
      <c r="B12" s="3"/>
      <c r="C12" s="3"/>
      <c r="D12" s="3"/>
      <c r="E12" s="3"/>
      <c r="F12" s="3"/>
      <c r="G12" s="3"/>
      <c r="H12" s="3"/>
      <c r="I12" s="3"/>
      <c r="J12" s="3"/>
      <c r="K12" s="3"/>
      <c r="L12" s="3"/>
      <c r="M12" s="3"/>
      <c r="N12" s="3"/>
      <c r="O12" s="3"/>
      <c r="P12" s="3"/>
      <c r="Q12" s="3"/>
      <c r="R12" s="3"/>
      <c r="S12" s="3"/>
      <c r="T12" s="3"/>
      <c r="U12" s="3"/>
      <c r="V12" s="3"/>
      <c r="W12" s="3"/>
      <c r="X12" s="3"/>
      <c r="Y12" s="3"/>
      <c r="Z12" s="3"/>
    </row>
    <row r="13">
      <c r="A13" s="28"/>
      <c r="B13" s="3"/>
      <c r="C13" s="3"/>
      <c r="D13" s="3"/>
      <c r="E13" s="3"/>
      <c r="F13" s="3"/>
      <c r="G13" s="3"/>
      <c r="H13" s="3"/>
      <c r="I13" s="3"/>
      <c r="J13" s="3"/>
      <c r="K13" s="3"/>
      <c r="L13" s="3"/>
      <c r="M13" s="3"/>
      <c r="N13" s="3"/>
      <c r="O13" s="3"/>
      <c r="P13" s="3"/>
      <c r="Q13" s="3"/>
      <c r="R13" s="3"/>
      <c r="S13" s="3"/>
      <c r="T13" s="3"/>
      <c r="U13" s="3"/>
      <c r="V13" s="3"/>
      <c r="W13" s="3"/>
      <c r="X13" s="3"/>
      <c r="Y13" s="3"/>
      <c r="Z13" s="3"/>
    </row>
    <row r="14">
      <c r="A14" s="28"/>
      <c r="B14" s="3"/>
      <c r="C14" s="3"/>
      <c r="D14" s="3"/>
      <c r="E14" s="3"/>
      <c r="F14" s="3"/>
      <c r="G14" s="3"/>
      <c r="H14" s="3"/>
      <c r="I14" s="3"/>
      <c r="J14" s="3"/>
      <c r="K14" s="3"/>
      <c r="L14" s="3"/>
      <c r="M14" s="3"/>
      <c r="N14" s="3"/>
      <c r="O14" s="3"/>
      <c r="P14" s="3"/>
      <c r="Q14" s="3"/>
      <c r="R14" s="3"/>
      <c r="S14" s="3"/>
      <c r="T14" s="3"/>
      <c r="U14" s="3"/>
      <c r="V14" s="3"/>
      <c r="W14" s="3"/>
      <c r="X14" s="3"/>
      <c r="Y14" s="3"/>
      <c r="Z14" s="3"/>
    </row>
    <row r="15">
      <c r="A15" s="28"/>
      <c r="B15" s="3"/>
      <c r="C15" s="3"/>
      <c r="D15" s="3"/>
      <c r="E15" s="3"/>
      <c r="F15" s="3"/>
      <c r="G15" s="3"/>
      <c r="H15" s="3"/>
      <c r="I15" s="3"/>
      <c r="J15" s="3"/>
      <c r="K15" s="3"/>
      <c r="L15" s="3"/>
      <c r="M15" s="3"/>
      <c r="N15" s="3"/>
      <c r="O15" s="3"/>
      <c r="P15" s="3"/>
      <c r="Q15" s="3"/>
      <c r="R15" s="3"/>
      <c r="S15" s="3"/>
      <c r="T15" s="3"/>
      <c r="U15" s="3"/>
      <c r="V15" s="3"/>
      <c r="W15" s="3"/>
      <c r="X15" s="3"/>
      <c r="Y15" s="3"/>
      <c r="Z15" s="3"/>
    </row>
    <row r="16">
      <c r="A16" s="28"/>
      <c r="B16" s="3"/>
      <c r="C16" s="3"/>
      <c r="D16" s="3"/>
      <c r="E16" s="3"/>
      <c r="F16" s="3"/>
      <c r="G16" s="3"/>
      <c r="H16" s="3"/>
      <c r="I16" s="3"/>
      <c r="J16" s="3"/>
      <c r="K16" s="3"/>
      <c r="L16" s="3"/>
      <c r="M16" s="3"/>
      <c r="N16" s="3"/>
      <c r="O16" s="3"/>
      <c r="P16" s="3"/>
      <c r="Q16" s="3"/>
      <c r="R16" s="3"/>
      <c r="S16" s="3"/>
      <c r="T16" s="3"/>
      <c r="U16" s="3"/>
      <c r="V16" s="3"/>
      <c r="W16" s="3"/>
      <c r="X16" s="3"/>
      <c r="Y16" s="3"/>
      <c r="Z16" s="3"/>
    </row>
    <row r="17">
      <c r="A17" s="28"/>
      <c r="B17" s="3"/>
      <c r="C17" s="3"/>
      <c r="D17" s="3"/>
      <c r="E17" s="3"/>
      <c r="F17" s="3"/>
      <c r="G17" s="3"/>
      <c r="H17" s="3"/>
      <c r="I17" s="3"/>
      <c r="J17" s="3"/>
      <c r="K17" s="3"/>
      <c r="L17" s="3"/>
      <c r="M17" s="3"/>
      <c r="N17" s="3"/>
      <c r="O17" s="3"/>
      <c r="P17" s="3"/>
      <c r="Q17" s="3"/>
      <c r="R17" s="3"/>
      <c r="S17" s="3"/>
      <c r="T17" s="3"/>
      <c r="U17" s="3"/>
      <c r="V17" s="3"/>
      <c r="W17" s="3"/>
      <c r="X17" s="3"/>
      <c r="Y17" s="3"/>
      <c r="Z17" s="3"/>
    </row>
    <row r="18">
      <c r="A18" s="28"/>
      <c r="B18" s="3"/>
      <c r="C18" s="3"/>
      <c r="D18" s="3"/>
      <c r="E18" s="3"/>
      <c r="F18" s="3"/>
      <c r="G18" s="3"/>
      <c r="H18" s="3"/>
      <c r="I18" s="3"/>
      <c r="J18" s="3"/>
      <c r="K18" s="3"/>
      <c r="L18" s="3"/>
      <c r="M18" s="3"/>
      <c r="N18" s="3"/>
      <c r="O18" s="3"/>
      <c r="P18" s="3"/>
      <c r="Q18" s="3"/>
      <c r="R18" s="3"/>
      <c r="S18" s="3"/>
      <c r="T18" s="3"/>
      <c r="U18" s="3"/>
      <c r="V18" s="3"/>
      <c r="W18" s="3"/>
      <c r="X18" s="3"/>
      <c r="Y18" s="3"/>
      <c r="Z18" s="3"/>
    </row>
    <row r="19">
      <c r="A19" s="28"/>
      <c r="B19" s="3"/>
      <c r="C19" s="3"/>
      <c r="D19" s="3"/>
      <c r="E19" s="3"/>
      <c r="F19" s="3"/>
      <c r="G19" s="3"/>
      <c r="H19" s="3"/>
      <c r="I19" s="3"/>
      <c r="J19" s="3"/>
      <c r="K19" s="3"/>
      <c r="L19" s="3"/>
      <c r="M19" s="3"/>
      <c r="N19" s="3"/>
      <c r="O19" s="3"/>
      <c r="P19" s="3"/>
      <c r="Q19" s="3"/>
      <c r="R19" s="3"/>
      <c r="S19" s="3"/>
      <c r="T19" s="3"/>
      <c r="U19" s="3"/>
      <c r="V19" s="3"/>
      <c r="W19" s="3"/>
      <c r="X19" s="3"/>
      <c r="Y19" s="3"/>
      <c r="Z19" s="3"/>
    </row>
    <row r="20">
      <c r="A20" s="28"/>
      <c r="B20" s="3"/>
      <c r="C20" s="3"/>
      <c r="D20" s="3"/>
      <c r="E20" s="3"/>
      <c r="F20" s="3"/>
      <c r="G20" s="3"/>
      <c r="H20" s="3"/>
      <c r="I20" s="3"/>
      <c r="J20" s="3"/>
      <c r="K20" s="3"/>
      <c r="L20" s="3"/>
      <c r="M20" s="3"/>
      <c r="N20" s="3"/>
      <c r="O20" s="3"/>
      <c r="P20" s="3"/>
      <c r="Q20" s="3"/>
      <c r="R20" s="3"/>
      <c r="S20" s="3"/>
      <c r="T20" s="3"/>
      <c r="U20" s="3"/>
      <c r="V20" s="3"/>
      <c r="W20" s="3"/>
      <c r="X20" s="3"/>
      <c r="Y20" s="3"/>
      <c r="Z20" s="3"/>
    </row>
    <row r="21">
      <c r="A21" s="28"/>
      <c r="B21" s="3"/>
      <c r="C21" s="3"/>
      <c r="D21" s="3"/>
      <c r="E21" s="3"/>
      <c r="F21" s="3"/>
      <c r="G21" s="3"/>
      <c r="H21" s="3"/>
      <c r="I21" s="3"/>
      <c r="J21" s="3"/>
      <c r="K21" s="3"/>
      <c r="L21" s="3"/>
      <c r="M21" s="3"/>
      <c r="N21" s="3"/>
      <c r="O21" s="3"/>
      <c r="P21" s="3"/>
      <c r="Q21" s="3"/>
      <c r="R21" s="3"/>
      <c r="S21" s="3"/>
      <c r="T21" s="3"/>
      <c r="U21" s="3"/>
      <c r="V21" s="3"/>
      <c r="W21" s="3"/>
      <c r="X21" s="3"/>
      <c r="Y21" s="3"/>
      <c r="Z21" s="3"/>
    </row>
    <row r="22">
      <c r="A22" s="28"/>
      <c r="B22" s="3"/>
      <c r="C22" s="3"/>
      <c r="D22" s="3"/>
      <c r="E22" s="3"/>
      <c r="F22" s="3"/>
      <c r="G22" s="3"/>
      <c r="H22" s="3"/>
      <c r="I22" s="3"/>
      <c r="J22" s="3"/>
      <c r="K22" s="3"/>
      <c r="L22" s="3"/>
      <c r="M22" s="3"/>
      <c r="N22" s="3"/>
      <c r="O22" s="3"/>
      <c r="P22" s="3"/>
      <c r="Q22" s="3"/>
      <c r="R22" s="3"/>
      <c r="S22" s="3"/>
      <c r="T22" s="3"/>
      <c r="U22" s="3"/>
      <c r="V22" s="3"/>
      <c r="W22" s="3"/>
      <c r="X22" s="3"/>
      <c r="Y22" s="3"/>
      <c r="Z22" s="3"/>
    </row>
    <row r="23">
      <c r="A23" s="28"/>
      <c r="B23" s="3"/>
      <c r="C23" s="3"/>
      <c r="D23" s="3"/>
      <c r="E23" s="3"/>
      <c r="F23" s="3"/>
      <c r="G23" s="3"/>
      <c r="H23" s="3"/>
      <c r="I23" s="3"/>
      <c r="J23" s="3"/>
      <c r="K23" s="3"/>
      <c r="L23" s="3"/>
      <c r="M23" s="3"/>
      <c r="N23" s="3"/>
      <c r="O23" s="3"/>
      <c r="P23" s="3"/>
      <c r="Q23" s="3"/>
      <c r="R23" s="3"/>
      <c r="S23" s="3"/>
      <c r="T23" s="3"/>
      <c r="U23" s="3"/>
      <c r="V23" s="3"/>
      <c r="W23" s="3"/>
      <c r="X23" s="3"/>
      <c r="Y23" s="3"/>
      <c r="Z23" s="3"/>
    </row>
    <row r="24">
      <c r="A24" s="28"/>
      <c r="B24" s="3"/>
      <c r="C24" s="3"/>
      <c r="D24" s="3"/>
      <c r="E24" s="3"/>
      <c r="F24" s="3"/>
      <c r="G24" s="3"/>
      <c r="H24" s="3"/>
      <c r="I24" s="3"/>
      <c r="J24" s="3"/>
      <c r="K24" s="3"/>
      <c r="L24" s="3"/>
      <c r="M24" s="3"/>
      <c r="N24" s="3"/>
      <c r="O24" s="3"/>
      <c r="P24" s="3"/>
      <c r="Q24" s="3"/>
      <c r="R24" s="3"/>
      <c r="S24" s="3"/>
      <c r="T24" s="3"/>
      <c r="U24" s="3"/>
      <c r="V24" s="3"/>
      <c r="W24" s="3"/>
      <c r="X24" s="3"/>
      <c r="Y24" s="3"/>
      <c r="Z24" s="3"/>
    </row>
    <row r="25">
      <c r="A25" s="28"/>
      <c r="B25" s="3"/>
      <c r="C25" s="3"/>
      <c r="D25" s="3"/>
      <c r="E25" s="3"/>
      <c r="F25" s="3"/>
      <c r="G25" s="3"/>
      <c r="H25" s="3"/>
      <c r="I25" s="3"/>
      <c r="J25" s="3"/>
      <c r="K25" s="3"/>
      <c r="L25" s="3"/>
      <c r="M25" s="3"/>
      <c r="N25" s="3"/>
      <c r="O25" s="3"/>
      <c r="P25" s="3"/>
      <c r="Q25" s="3"/>
      <c r="R25" s="3"/>
      <c r="S25" s="3"/>
      <c r="T25" s="3"/>
      <c r="U25" s="3"/>
      <c r="V25" s="3"/>
      <c r="W25" s="3"/>
      <c r="X25" s="3"/>
      <c r="Y25" s="3"/>
      <c r="Z25" s="3"/>
    </row>
    <row r="26">
      <c r="A26" s="28"/>
      <c r="B26" s="3"/>
      <c r="C26" s="3"/>
      <c r="D26" s="3"/>
      <c r="E26" s="3"/>
      <c r="F26" s="3"/>
      <c r="G26" s="3"/>
      <c r="H26" s="3"/>
      <c r="I26" s="3"/>
      <c r="J26" s="3"/>
      <c r="K26" s="3"/>
      <c r="L26" s="3"/>
      <c r="M26" s="3"/>
      <c r="N26" s="3"/>
      <c r="O26" s="3"/>
      <c r="P26" s="3"/>
      <c r="Q26" s="3"/>
      <c r="R26" s="3"/>
      <c r="S26" s="3"/>
      <c r="T26" s="3"/>
      <c r="U26" s="3"/>
      <c r="V26" s="3"/>
      <c r="W26" s="3"/>
      <c r="X26" s="3"/>
      <c r="Y26" s="3"/>
      <c r="Z26" s="3"/>
    </row>
    <row r="27">
      <c r="A27" s="28"/>
      <c r="B27" s="3"/>
      <c r="C27" s="3"/>
      <c r="D27" s="3"/>
      <c r="E27" s="3"/>
      <c r="F27" s="3"/>
      <c r="G27" s="3"/>
      <c r="H27" s="3"/>
      <c r="I27" s="3"/>
      <c r="J27" s="3"/>
      <c r="K27" s="3"/>
      <c r="L27" s="3"/>
      <c r="M27" s="3"/>
      <c r="N27" s="3"/>
      <c r="O27" s="3"/>
      <c r="P27" s="3"/>
      <c r="Q27" s="3"/>
      <c r="R27" s="3"/>
      <c r="S27" s="3"/>
      <c r="T27" s="3"/>
      <c r="U27" s="3"/>
      <c r="V27" s="3"/>
      <c r="W27" s="3"/>
      <c r="X27" s="3"/>
      <c r="Y27" s="3"/>
      <c r="Z27" s="3"/>
    </row>
    <row r="28">
      <c r="A28" s="28"/>
      <c r="B28" s="3"/>
      <c r="C28" s="3"/>
      <c r="D28" s="3"/>
      <c r="E28" s="3"/>
      <c r="F28" s="3"/>
      <c r="G28" s="3"/>
      <c r="H28" s="3"/>
      <c r="I28" s="3"/>
      <c r="J28" s="3"/>
      <c r="K28" s="3"/>
      <c r="L28" s="3"/>
      <c r="M28" s="3"/>
      <c r="N28" s="3"/>
      <c r="O28" s="3"/>
      <c r="P28" s="3"/>
      <c r="Q28" s="3"/>
      <c r="R28" s="3"/>
      <c r="S28" s="3"/>
      <c r="T28" s="3"/>
      <c r="U28" s="3"/>
      <c r="V28" s="3"/>
      <c r="W28" s="3"/>
      <c r="X28" s="3"/>
      <c r="Y28" s="3"/>
      <c r="Z28" s="3"/>
    </row>
    <row r="29">
      <c r="A29" s="28"/>
      <c r="B29" s="3"/>
      <c r="C29" s="3"/>
      <c r="D29" s="3"/>
      <c r="E29" s="3"/>
      <c r="F29" s="3"/>
      <c r="G29" s="3"/>
      <c r="H29" s="3"/>
      <c r="I29" s="3"/>
      <c r="J29" s="3"/>
      <c r="K29" s="3"/>
      <c r="L29" s="3"/>
      <c r="M29" s="3"/>
      <c r="N29" s="3"/>
      <c r="O29" s="3"/>
      <c r="P29" s="3"/>
      <c r="Q29" s="3"/>
      <c r="R29" s="3"/>
      <c r="S29" s="3"/>
      <c r="T29" s="3"/>
      <c r="U29" s="3"/>
      <c r="V29" s="3"/>
      <c r="W29" s="3"/>
      <c r="X29" s="3"/>
      <c r="Y29" s="3"/>
      <c r="Z29" s="3"/>
    </row>
    <row r="30">
      <c r="A30" s="28"/>
      <c r="B30" s="3"/>
      <c r="C30" s="3"/>
      <c r="D30" s="3"/>
      <c r="E30" s="3"/>
      <c r="F30" s="3"/>
      <c r="G30" s="3"/>
      <c r="H30" s="3"/>
      <c r="I30" s="3"/>
      <c r="J30" s="3"/>
      <c r="K30" s="3"/>
      <c r="L30" s="3"/>
      <c r="M30" s="3"/>
      <c r="N30" s="3"/>
      <c r="O30" s="3"/>
      <c r="P30" s="3"/>
      <c r="Q30" s="3"/>
      <c r="R30" s="3"/>
      <c r="S30" s="3"/>
      <c r="T30" s="3"/>
      <c r="U30" s="3"/>
      <c r="V30" s="3"/>
      <c r="W30" s="3"/>
      <c r="X30" s="3"/>
      <c r="Y30" s="3"/>
      <c r="Z30" s="3"/>
    </row>
    <row r="31">
      <c r="A31" s="28"/>
      <c r="B31" s="3"/>
      <c r="C31" s="3"/>
      <c r="D31" s="3"/>
      <c r="E31" s="3"/>
      <c r="F31" s="3"/>
      <c r="G31" s="3"/>
      <c r="H31" s="3"/>
      <c r="I31" s="3"/>
      <c r="J31" s="3"/>
      <c r="K31" s="3"/>
      <c r="L31" s="3"/>
      <c r="M31" s="3"/>
      <c r="N31" s="3"/>
      <c r="O31" s="3"/>
      <c r="P31" s="3"/>
      <c r="Q31" s="3"/>
      <c r="R31" s="3"/>
      <c r="S31" s="3"/>
      <c r="T31" s="3"/>
      <c r="U31" s="3"/>
      <c r="V31" s="3"/>
      <c r="W31" s="3"/>
      <c r="X31" s="3"/>
      <c r="Y31" s="3"/>
      <c r="Z31" s="3"/>
    </row>
    <row r="32">
      <c r="A32" s="28"/>
      <c r="B32" s="3"/>
      <c r="C32" s="3"/>
      <c r="D32" s="3"/>
      <c r="E32" s="3"/>
      <c r="F32" s="3"/>
      <c r="G32" s="3"/>
      <c r="H32" s="3"/>
      <c r="I32" s="3"/>
      <c r="J32" s="3"/>
      <c r="K32" s="3"/>
      <c r="L32" s="3"/>
      <c r="M32" s="3"/>
      <c r="N32" s="3"/>
      <c r="O32" s="3"/>
      <c r="P32" s="3"/>
      <c r="Q32" s="3"/>
      <c r="R32" s="3"/>
      <c r="S32" s="3"/>
      <c r="T32" s="3"/>
      <c r="U32" s="3"/>
      <c r="V32" s="3"/>
      <c r="W32" s="3"/>
      <c r="X32" s="3"/>
      <c r="Y32" s="3"/>
      <c r="Z32" s="3"/>
    </row>
    <row r="33">
      <c r="A33" s="28"/>
      <c r="B33" s="3"/>
      <c r="C33" s="3"/>
      <c r="D33" s="3"/>
      <c r="E33" s="3"/>
      <c r="F33" s="3"/>
      <c r="G33" s="3"/>
      <c r="H33" s="3"/>
      <c r="I33" s="3"/>
      <c r="J33" s="3"/>
      <c r="K33" s="3"/>
      <c r="L33" s="3"/>
      <c r="M33" s="3"/>
      <c r="N33" s="3"/>
      <c r="O33" s="3"/>
      <c r="P33" s="3"/>
      <c r="Q33" s="3"/>
      <c r="R33" s="3"/>
      <c r="S33" s="3"/>
      <c r="T33" s="3"/>
      <c r="U33" s="3"/>
      <c r="V33" s="3"/>
      <c r="W33" s="3"/>
      <c r="X33" s="3"/>
      <c r="Y33" s="3"/>
      <c r="Z33" s="3"/>
    </row>
    <row r="34">
      <c r="A34" s="28"/>
      <c r="B34" s="3"/>
      <c r="C34" s="3"/>
      <c r="D34" s="3"/>
      <c r="E34" s="3"/>
      <c r="F34" s="3"/>
      <c r="G34" s="3"/>
      <c r="H34" s="3"/>
      <c r="I34" s="3"/>
      <c r="J34" s="3"/>
      <c r="K34" s="3"/>
      <c r="L34" s="3"/>
      <c r="M34" s="3"/>
      <c r="N34" s="3"/>
      <c r="O34" s="3"/>
      <c r="P34" s="3"/>
      <c r="Q34" s="3"/>
      <c r="R34" s="3"/>
      <c r="S34" s="3"/>
      <c r="T34" s="3"/>
      <c r="U34" s="3"/>
      <c r="V34" s="3"/>
      <c r="W34" s="3"/>
      <c r="X34" s="3"/>
      <c r="Y34" s="3"/>
      <c r="Z34" s="3"/>
    </row>
    <row r="35">
      <c r="A35" s="28"/>
      <c r="B35" s="3"/>
      <c r="C35" s="3"/>
      <c r="D35" s="3"/>
      <c r="E35" s="3"/>
      <c r="F35" s="3"/>
      <c r="G35" s="3"/>
      <c r="H35" s="3"/>
      <c r="I35" s="3"/>
      <c r="J35" s="3"/>
      <c r="K35" s="3"/>
      <c r="L35" s="3"/>
      <c r="M35" s="3"/>
      <c r="N35" s="3"/>
      <c r="O35" s="3"/>
      <c r="P35" s="3"/>
      <c r="Q35" s="3"/>
      <c r="R35" s="3"/>
      <c r="S35" s="3"/>
      <c r="T35" s="3"/>
      <c r="U35" s="3"/>
      <c r="V35" s="3"/>
      <c r="W35" s="3"/>
      <c r="X35" s="3"/>
      <c r="Y35" s="3"/>
      <c r="Z35" s="3"/>
    </row>
    <row r="36">
      <c r="A36" s="28"/>
      <c r="B36" s="3"/>
      <c r="C36" s="3"/>
      <c r="D36" s="3"/>
      <c r="E36" s="3"/>
      <c r="F36" s="3"/>
      <c r="G36" s="3"/>
      <c r="H36" s="3"/>
      <c r="I36" s="3"/>
      <c r="J36" s="3"/>
      <c r="K36" s="3"/>
      <c r="L36" s="3"/>
      <c r="M36" s="3"/>
      <c r="N36" s="3"/>
      <c r="O36" s="3"/>
      <c r="P36" s="3"/>
      <c r="Q36" s="3"/>
      <c r="R36" s="3"/>
      <c r="S36" s="3"/>
      <c r="T36" s="3"/>
      <c r="U36" s="3"/>
      <c r="V36" s="3"/>
      <c r="W36" s="3"/>
      <c r="X36" s="3"/>
      <c r="Y36" s="3"/>
      <c r="Z36" s="3"/>
    </row>
    <row r="37">
      <c r="A37" s="28"/>
      <c r="B37" s="3"/>
      <c r="C37" s="3"/>
      <c r="D37" s="3"/>
      <c r="E37" s="3"/>
      <c r="F37" s="3"/>
      <c r="G37" s="3"/>
      <c r="H37" s="3"/>
      <c r="I37" s="3"/>
      <c r="J37" s="3"/>
      <c r="K37" s="3"/>
      <c r="L37" s="3"/>
      <c r="M37" s="3"/>
      <c r="N37" s="3"/>
      <c r="O37" s="3"/>
      <c r="P37" s="3"/>
      <c r="Q37" s="3"/>
      <c r="R37" s="3"/>
      <c r="S37" s="3"/>
      <c r="T37" s="3"/>
      <c r="U37" s="3"/>
      <c r="V37" s="3"/>
      <c r="W37" s="3"/>
      <c r="X37" s="3"/>
      <c r="Y37" s="3"/>
      <c r="Z37" s="3"/>
    </row>
    <row r="38">
      <c r="A38" s="28"/>
      <c r="B38" s="3"/>
      <c r="C38" s="3"/>
      <c r="D38" s="3"/>
      <c r="E38" s="3"/>
      <c r="F38" s="3"/>
      <c r="G38" s="3"/>
      <c r="H38" s="3"/>
      <c r="I38" s="3"/>
      <c r="J38" s="3"/>
      <c r="K38" s="3"/>
      <c r="L38" s="3"/>
      <c r="M38" s="3"/>
      <c r="N38" s="3"/>
      <c r="O38" s="3"/>
      <c r="P38" s="3"/>
      <c r="Q38" s="3"/>
      <c r="R38" s="3"/>
      <c r="S38" s="3"/>
      <c r="T38" s="3"/>
      <c r="U38" s="3"/>
      <c r="V38" s="3"/>
      <c r="W38" s="3"/>
      <c r="X38" s="3"/>
      <c r="Y38" s="3"/>
      <c r="Z38" s="3"/>
    </row>
    <row r="39">
      <c r="A39" s="28"/>
      <c r="B39" s="3"/>
      <c r="C39" s="3"/>
      <c r="D39" s="3"/>
      <c r="E39" s="3"/>
      <c r="F39" s="3"/>
      <c r="G39" s="3"/>
      <c r="H39" s="3"/>
      <c r="I39" s="3"/>
      <c r="J39" s="3"/>
      <c r="K39" s="3"/>
      <c r="L39" s="3"/>
      <c r="M39" s="3"/>
      <c r="N39" s="3"/>
      <c r="O39" s="3"/>
      <c r="P39" s="3"/>
      <c r="Q39" s="3"/>
      <c r="R39" s="3"/>
      <c r="S39" s="3"/>
      <c r="T39" s="3"/>
      <c r="U39" s="3"/>
      <c r="V39" s="3"/>
      <c r="W39" s="3"/>
      <c r="X39" s="3"/>
      <c r="Y39" s="3"/>
      <c r="Z39" s="3"/>
    </row>
    <row r="40">
      <c r="A40" s="28"/>
      <c r="B40" s="3"/>
      <c r="C40" s="3"/>
      <c r="D40" s="3"/>
      <c r="E40" s="3"/>
      <c r="F40" s="3"/>
      <c r="G40" s="3"/>
      <c r="H40" s="3"/>
      <c r="I40" s="3"/>
      <c r="J40" s="3"/>
      <c r="K40" s="3"/>
      <c r="L40" s="3"/>
      <c r="M40" s="3"/>
      <c r="N40" s="3"/>
      <c r="O40" s="3"/>
      <c r="P40" s="3"/>
      <c r="Q40" s="3"/>
      <c r="R40" s="3"/>
      <c r="S40" s="3"/>
      <c r="T40" s="3"/>
      <c r="U40" s="3"/>
      <c r="V40" s="3"/>
      <c r="W40" s="3"/>
      <c r="X40" s="3"/>
      <c r="Y40" s="3"/>
      <c r="Z40" s="3"/>
    </row>
    <row r="41">
      <c r="A41" s="28"/>
      <c r="B41" s="3"/>
      <c r="C41" s="3"/>
      <c r="D41" s="3"/>
      <c r="E41" s="3"/>
      <c r="F41" s="3"/>
      <c r="G41" s="3"/>
      <c r="H41" s="3"/>
      <c r="I41" s="3"/>
      <c r="J41" s="3"/>
      <c r="K41" s="3"/>
      <c r="L41" s="3"/>
      <c r="M41" s="3"/>
      <c r="N41" s="3"/>
      <c r="O41" s="3"/>
      <c r="P41" s="3"/>
      <c r="Q41" s="3"/>
      <c r="R41" s="3"/>
      <c r="S41" s="3"/>
      <c r="T41" s="3"/>
      <c r="U41" s="3"/>
      <c r="V41" s="3"/>
      <c r="W41" s="3"/>
      <c r="X41" s="3"/>
      <c r="Y41" s="3"/>
      <c r="Z41" s="3"/>
    </row>
    <row r="42">
      <c r="A42" s="28"/>
      <c r="B42" s="3"/>
      <c r="C42" s="3"/>
      <c r="D42" s="3"/>
      <c r="E42" s="3"/>
      <c r="F42" s="3"/>
      <c r="G42" s="3"/>
      <c r="H42" s="3"/>
      <c r="I42" s="3"/>
      <c r="J42" s="3"/>
      <c r="K42" s="3"/>
      <c r="L42" s="3"/>
      <c r="M42" s="3"/>
      <c r="N42" s="3"/>
      <c r="O42" s="3"/>
      <c r="P42" s="3"/>
      <c r="Q42" s="3"/>
      <c r="R42" s="3"/>
      <c r="S42" s="3"/>
      <c r="T42" s="3"/>
      <c r="U42" s="3"/>
      <c r="V42" s="3"/>
      <c r="W42" s="3"/>
      <c r="X42" s="3"/>
      <c r="Y42" s="3"/>
      <c r="Z42" s="3"/>
    </row>
    <row r="43">
      <c r="A43" s="28"/>
      <c r="B43" s="3"/>
      <c r="C43" s="3"/>
      <c r="D43" s="3"/>
      <c r="E43" s="3"/>
      <c r="F43" s="3"/>
      <c r="G43" s="3"/>
      <c r="H43" s="3"/>
      <c r="I43" s="3"/>
      <c r="J43" s="3"/>
      <c r="K43" s="3"/>
      <c r="L43" s="3"/>
      <c r="M43" s="3"/>
      <c r="N43" s="3"/>
      <c r="O43" s="3"/>
      <c r="P43" s="3"/>
      <c r="Q43" s="3"/>
      <c r="R43" s="3"/>
      <c r="S43" s="3"/>
      <c r="T43" s="3"/>
      <c r="U43" s="3"/>
      <c r="V43" s="3"/>
      <c r="W43" s="3"/>
      <c r="X43" s="3"/>
      <c r="Y43" s="3"/>
      <c r="Z43" s="3"/>
    </row>
    <row r="44">
      <c r="A44" s="28"/>
      <c r="B44" s="3"/>
      <c r="C44" s="3"/>
      <c r="D44" s="3"/>
      <c r="E44" s="3"/>
      <c r="F44" s="3"/>
      <c r="G44" s="3"/>
      <c r="H44" s="3"/>
      <c r="I44" s="3"/>
      <c r="J44" s="3"/>
      <c r="K44" s="3"/>
      <c r="L44" s="3"/>
      <c r="M44" s="3"/>
      <c r="N44" s="3"/>
      <c r="O44" s="3"/>
      <c r="P44" s="3"/>
      <c r="Q44" s="3"/>
      <c r="R44" s="3"/>
      <c r="S44" s="3"/>
      <c r="T44" s="3"/>
      <c r="U44" s="3"/>
      <c r="V44" s="3"/>
      <c r="W44" s="3"/>
      <c r="X44" s="3"/>
      <c r="Y44" s="3"/>
      <c r="Z44" s="3"/>
    </row>
    <row r="45">
      <c r="A45" s="28"/>
      <c r="B45" s="3"/>
      <c r="C45" s="3"/>
      <c r="D45" s="3"/>
      <c r="E45" s="3"/>
      <c r="F45" s="3"/>
      <c r="G45" s="3"/>
      <c r="H45" s="3"/>
      <c r="I45" s="3"/>
      <c r="J45" s="3"/>
      <c r="K45" s="3"/>
      <c r="L45" s="3"/>
      <c r="M45" s="3"/>
      <c r="N45" s="3"/>
      <c r="O45" s="3"/>
      <c r="P45" s="3"/>
      <c r="Q45" s="3"/>
      <c r="R45" s="3"/>
      <c r="S45" s="3"/>
      <c r="T45" s="3"/>
      <c r="U45" s="3"/>
      <c r="V45" s="3"/>
      <c r="W45" s="3"/>
      <c r="X45" s="3"/>
      <c r="Y45" s="3"/>
      <c r="Z45" s="3"/>
    </row>
    <row r="46">
      <c r="A46" s="28"/>
      <c r="B46" s="3"/>
      <c r="C46" s="3"/>
      <c r="D46" s="3"/>
      <c r="E46" s="3"/>
      <c r="F46" s="3"/>
      <c r="G46" s="3"/>
      <c r="H46" s="3"/>
      <c r="I46" s="3"/>
      <c r="J46" s="3"/>
      <c r="K46" s="3"/>
      <c r="L46" s="3"/>
      <c r="M46" s="3"/>
      <c r="N46" s="3"/>
      <c r="O46" s="3"/>
      <c r="P46" s="3"/>
      <c r="Q46" s="3"/>
      <c r="R46" s="3"/>
      <c r="S46" s="3"/>
      <c r="T46" s="3"/>
      <c r="U46" s="3"/>
      <c r="V46" s="3"/>
      <c r="W46" s="3"/>
      <c r="X46" s="3"/>
      <c r="Y46" s="3"/>
      <c r="Z46" s="3"/>
    </row>
    <row r="47">
      <c r="A47" s="28"/>
      <c r="B47" s="3"/>
      <c r="C47" s="3"/>
      <c r="D47" s="3"/>
      <c r="E47" s="3"/>
      <c r="F47" s="3"/>
      <c r="G47" s="3"/>
      <c r="H47" s="3"/>
      <c r="I47" s="3"/>
      <c r="J47" s="3"/>
      <c r="K47" s="3"/>
      <c r="L47" s="3"/>
      <c r="M47" s="3"/>
      <c r="N47" s="3"/>
      <c r="O47" s="3"/>
      <c r="P47" s="3"/>
      <c r="Q47" s="3"/>
      <c r="R47" s="3"/>
      <c r="S47" s="3"/>
      <c r="T47" s="3"/>
      <c r="U47" s="3"/>
      <c r="V47" s="3"/>
      <c r="W47" s="3"/>
      <c r="X47" s="3"/>
      <c r="Y47" s="3"/>
      <c r="Z47" s="3"/>
    </row>
    <row r="48">
      <c r="A48" s="28"/>
      <c r="B48" s="3"/>
      <c r="C48" s="3"/>
      <c r="D48" s="3"/>
      <c r="E48" s="3"/>
      <c r="F48" s="3"/>
      <c r="G48" s="3"/>
      <c r="H48" s="3"/>
      <c r="I48" s="3"/>
      <c r="J48" s="3"/>
      <c r="K48" s="3"/>
      <c r="L48" s="3"/>
      <c r="M48" s="3"/>
      <c r="N48" s="3"/>
      <c r="O48" s="3"/>
      <c r="P48" s="3"/>
      <c r="Q48" s="3"/>
      <c r="R48" s="3"/>
      <c r="S48" s="3"/>
      <c r="T48" s="3"/>
      <c r="U48" s="3"/>
      <c r="V48" s="3"/>
      <c r="W48" s="3"/>
      <c r="X48" s="3"/>
      <c r="Y48" s="3"/>
      <c r="Z48" s="3"/>
    </row>
    <row r="49">
      <c r="A49" s="28"/>
      <c r="B49" s="3"/>
      <c r="C49" s="3"/>
      <c r="D49" s="3"/>
      <c r="E49" s="3"/>
      <c r="F49" s="3"/>
      <c r="G49" s="3"/>
      <c r="H49" s="3"/>
      <c r="I49" s="3"/>
      <c r="J49" s="3"/>
      <c r="K49" s="3"/>
      <c r="L49" s="3"/>
      <c r="M49" s="3"/>
      <c r="N49" s="3"/>
      <c r="O49" s="3"/>
      <c r="P49" s="3"/>
      <c r="Q49" s="3"/>
      <c r="R49" s="3"/>
      <c r="S49" s="3"/>
      <c r="T49" s="3"/>
      <c r="U49" s="3"/>
      <c r="V49" s="3"/>
      <c r="W49" s="3"/>
      <c r="X49" s="3"/>
      <c r="Y49" s="3"/>
      <c r="Z49" s="3"/>
    </row>
    <row r="50">
      <c r="A50" s="28"/>
      <c r="B50" s="3"/>
      <c r="C50" s="3"/>
      <c r="D50" s="3"/>
      <c r="E50" s="3"/>
      <c r="F50" s="3"/>
      <c r="G50" s="3"/>
      <c r="H50" s="3"/>
      <c r="I50" s="3"/>
      <c r="J50" s="3"/>
      <c r="K50" s="3"/>
      <c r="L50" s="3"/>
      <c r="M50" s="3"/>
      <c r="N50" s="3"/>
      <c r="O50" s="3"/>
      <c r="P50" s="3"/>
      <c r="Q50" s="3"/>
      <c r="R50" s="3"/>
      <c r="S50" s="3"/>
      <c r="T50" s="3"/>
      <c r="U50" s="3"/>
      <c r="V50" s="3"/>
      <c r="W50" s="3"/>
      <c r="X50" s="3"/>
      <c r="Y50" s="3"/>
      <c r="Z50" s="3"/>
    </row>
    <row r="51">
      <c r="A51" s="28"/>
      <c r="B51" s="3"/>
      <c r="C51" s="3"/>
      <c r="D51" s="3"/>
      <c r="E51" s="3"/>
      <c r="F51" s="3"/>
      <c r="G51" s="3"/>
      <c r="H51" s="3"/>
      <c r="I51" s="3"/>
      <c r="J51" s="3"/>
      <c r="K51" s="3"/>
      <c r="L51" s="3"/>
      <c r="M51" s="3"/>
      <c r="N51" s="3"/>
      <c r="O51" s="3"/>
      <c r="P51" s="3"/>
      <c r="Q51" s="3"/>
      <c r="R51" s="3"/>
      <c r="S51" s="3"/>
      <c r="T51" s="3"/>
      <c r="U51" s="3"/>
      <c r="V51" s="3"/>
      <c r="W51" s="3"/>
      <c r="X51" s="3"/>
      <c r="Y51" s="3"/>
      <c r="Z51" s="3"/>
    </row>
    <row r="52">
      <c r="A52" s="28"/>
      <c r="B52" s="3"/>
      <c r="C52" s="3"/>
      <c r="D52" s="3"/>
      <c r="E52" s="3"/>
      <c r="F52" s="3"/>
      <c r="G52" s="3"/>
      <c r="H52" s="3"/>
      <c r="I52" s="3"/>
      <c r="J52" s="3"/>
      <c r="K52" s="3"/>
      <c r="L52" s="3"/>
      <c r="M52" s="3"/>
      <c r="N52" s="3"/>
      <c r="O52" s="3"/>
      <c r="P52" s="3"/>
      <c r="Q52" s="3"/>
      <c r="R52" s="3"/>
      <c r="S52" s="3"/>
      <c r="T52" s="3"/>
      <c r="U52" s="3"/>
      <c r="V52" s="3"/>
      <c r="W52" s="3"/>
      <c r="X52" s="3"/>
      <c r="Y52" s="3"/>
      <c r="Z52" s="3"/>
    </row>
    <row r="53">
      <c r="A53" s="28"/>
      <c r="B53" s="3"/>
      <c r="C53" s="3"/>
      <c r="D53" s="3"/>
      <c r="E53" s="3"/>
      <c r="F53" s="3"/>
      <c r="G53" s="3"/>
      <c r="H53" s="3"/>
      <c r="I53" s="3"/>
      <c r="J53" s="3"/>
      <c r="K53" s="3"/>
      <c r="L53" s="3"/>
      <c r="M53" s="3"/>
      <c r="N53" s="3"/>
      <c r="O53" s="3"/>
      <c r="P53" s="3"/>
      <c r="Q53" s="3"/>
      <c r="R53" s="3"/>
      <c r="S53" s="3"/>
      <c r="T53" s="3"/>
      <c r="U53" s="3"/>
      <c r="V53" s="3"/>
      <c r="W53" s="3"/>
      <c r="X53" s="3"/>
      <c r="Y53" s="3"/>
      <c r="Z53" s="3"/>
    </row>
    <row r="54">
      <c r="A54" s="28"/>
      <c r="B54" s="3"/>
      <c r="C54" s="3"/>
      <c r="D54" s="3"/>
      <c r="E54" s="3"/>
      <c r="F54" s="3"/>
      <c r="G54" s="3"/>
      <c r="H54" s="3"/>
      <c r="I54" s="3"/>
      <c r="J54" s="3"/>
      <c r="K54" s="3"/>
      <c r="L54" s="3"/>
      <c r="M54" s="3"/>
      <c r="N54" s="3"/>
      <c r="O54" s="3"/>
      <c r="P54" s="3"/>
      <c r="Q54" s="3"/>
      <c r="R54" s="3"/>
      <c r="S54" s="3"/>
      <c r="T54" s="3"/>
      <c r="U54" s="3"/>
      <c r="V54" s="3"/>
      <c r="W54" s="3"/>
      <c r="X54" s="3"/>
      <c r="Y54" s="3"/>
      <c r="Z54" s="3"/>
    </row>
    <row r="55">
      <c r="A55" s="28"/>
      <c r="B55" s="3"/>
      <c r="C55" s="3"/>
      <c r="D55" s="3"/>
      <c r="E55" s="3"/>
      <c r="F55" s="3"/>
      <c r="G55" s="3"/>
      <c r="H55" s="3"/>
      <c r="I55" s="3"/>
      <c r="J55" s="3"/>
      <c r="K55" s="3"/>
      <c r="L55" s="3"/>
      <c r="M55" s="3"/>
      <c r="N55" s="3"/>
      <c r="O55" s="3"/>
      <c r="P55" s="3"/>
      <c r="Q55" s="3"/>
      <c r="R55" s="3"/>
      <c r="S55" s="3"/>
      <c r="T55" s="3"/>
      <c r="U55" s="3"/>
      <c r="V55" s="3"/>
      <c r="W55" s="3"/>
      <c r="X55" s="3"/>
      <c r="Y55" s="3"/>
      <c r="Z55" s="3"/>
    </row>
    <row r="56">
      <c r="A56" s="28"/>
      <c r="B56" s="3"/>
      <c r="C56" s="3"/>
      <c r="D56" s="3"/>
      <c r="E56" s="3"/>
      <c r="F56" s="3"/>
      <c r="G56" s="3"/>
      <c r="H56" s="3"/>
      <c r="I56" s="3"/>
      <c r="J56" s="3"/>
      <c r="K56" s="3"/>
      <c r="L56" s="3"/>
      <c r="M56" s="3"/>
      <c r="N56" s="3"/>
      <c r="O56" s="3"/>
      <c r="P56" s="3"/>
      <c r="Q56" s="3"/>
      <c r="R56" s="3"/>
      <c r="S56" s="3"/>
      <c r="T56" s="3"/>
      <c r="U56" s="3"/>
      <c r="V56" s="3"/>
      <c r="W56" s="3"/>
      <c r="X56" s="3"/>
      <c r="Y56" s="3"/>
      <c r="Z56" s="3"/>
    </row>
    <row r="57">
      <c r="A57" s="28"/>
      <c r="B57" s="3"/>
      <c r="C57" s="3"/>
      <c r="D57" s="3"/>
      <c r="E57" s="3"/>
      <c r="F57" s="3"/>
      <c r="G57" s="3"/>
      <c r="H57" s="3"/>
      <c r="I57" s="3"/>
      <c r="J57" s="3"/>
      <c r="K57" s="3"/>
      <c r="L57" s="3"/>
      <c r="M57" s="3"/>
      <c r="N57" s="3"/>
      <c r="O57" s="3"/>
      <c r="P57" s="3"/>
      <c r="Q57" s="3"/>
      <c r="R57" s="3"/>
      <c r="S57" s="3"/>
      <c r="T57" s="3"/>
      <c r="U57" s="3"/>
      <c r="V57" s="3"/>
      <c r="W57" s="3"/>
      <c r="X57" s="3"/>
      <c r="Y57" s="3"/>
      <c r="Z57" s="3"/>
    </row>
    <row r="58">
      <c r="A58" s="28"/>
      <c r="B58" s="3"/>
      <c r="C58" s="3"/>
      <c r="D58" s="3"/>
      <c r="E58" s="3"/>
      <c r="F58" s="3"/>
      <c r="G58" s="3"/>
      <c r="H58" s="3"/>
      <c r="I58" s="3"/>
      <c r="J58" s="3"/>
      <c r="K58" s="3"/>
      <c r="L58" s="3"/>
      <c r="M58" s="3"/>
      <c r="N58" s="3"/>
      <c r="O58" s="3"/>
      <c r="P58" s="3"/>
      <c r="Q58" s="3"/>
      <c r="R58" s="3"/>
      <c r="S58" s="3"/>
      <c r="T58" s="3"/>
      <c r="U58" s="3"/>
      <c r="V58" s="3"/>
      <c r="W58" s="3"/>
      <c r="X58" s="3"/>
      <c r="Y58" s="3"/>
      <c r="Z58" s="3"/>
    </row>
    <row r="59">
      <c r="A59" s="28"/>
      <c r="B59" s="3"/>
      <c r="C59" s="3"/>
      <c r="D59" s="3"/>
      <c r="E59" s="3"/>
      <c r="F59" s="3"/>
      <c r="G59" s="3"/>
      <c r="H59" s="3"/>
      <c r="I59" s="3"/>
      <c r="J59" s="3"/>
      <c r="K59" s="3"/>
      <c r="L59" s="3"/>
      <c r="M59" s="3"/>
      <c r="N59" s="3"/>
      <c r="O59" s="3"/>
      <c r="P59" s="3"/>
      <c r="Q59" s="3"/>
      <c r="R59" s="3"/>
      <c r="S59" s="3"/>
      <c r="T59" s="3"/>
      <c r="U59" s="3"/>
      <c r="V59" s="3"/>
      <c r="W59" s="3"/>
      <c r="X59" s="3"/>
      <c r="Y59" s="3"/>
      <c r="Z59" s="3"/>
    </row>
    <row r="60">
      <c r="A60" s="28"/>
      <c r="B60" s="3"/>
      <c r="C60" s="3"/>
      <c r="D60" s="3"/>
      <c r="E60" s="3"/>
      <c r="F60" s="3"/>
      <c r="G60" s="3"/>
      <c r="H60" s="3"/>
      <c r="I60" s="3"/>
      <c r="J60" s="3"/>
      <c r="K60" s="3"/>
      <c r="L60" s="3"/>
      <c r="M60" s="3"/>
      <c r="N60" s="3"/>
      <c r="O60" s="3"/>
      <c r="P60" s="3"/>
      <c r="Q60" s="3"/>
      <c r="R60" s="3"/>
      <c r="S60" s="3"/>
      <c r="T60" s="3"/>
      <c r="U60" s="3"/>
      <c r="V60" s="3"/>
      <c r="W60" s="3"/>
      <c r="X60" s="3"/>
      <c r="Y60" s="3"/>
      <c r="Z60" s="3"/>
    </row>
    <row r="61">
      <c r="A61" s="28"/>
      <c r="B61" s="3"/>
      <c r="C61" s="3"/>
      <c r="D61" s="3"/>
      <c r="E61" s="3"/>
      <c r="F61" s="3"/>
      <c r="G61" s="3"/>
      <c r="H61" s="3"/>
      <c r="I61" s="3"/>
      <c r="J61" s="3"/>
      <c r="K61" s="3"/>
      <c r="L61" s="3"/>
      <c r="M61" s="3"/>
      <c r="N61" s="3"/>
      <c r="O61" s="3"/>
      <c r="P61" s="3"/>
      <c r="Q61" s="3"/>
      <c r="R61" s="3"/>
      <c r="S61" s="3"/>
      <c r="T61" s="3"/>
      <c r="U61" s="3"/>
      <c r="V61" s="3"/>
      <c r="W61" s="3"/>
      <c r="X61" s="3"/>
      <c r="Y61" s="3"/>
      <c r="Z61" s="3"/>
    </row>
    <row r="62">
      <c r="A62" s="28"/>
      <c r="B62" s="3"/>
      <c r="C62" s="3"/>
      <c r="D62" s="3"/>
      <c r="E62" s="3"/>
      <c r="F62" s="3"/>
      <c r="G62" s="3"/>
      <c r="H62" s="3"/>
      <c r="I62" s="3"/>
      <c r="J62" s="3"/>
      <c r="K62" s="3"/>
      <c r="L62" s="3"/>
      <c r="M62" s="3"/>
      <c r="N62" s="3"/>
      <c r="O62" s="3"/>
      <c r="P62" s="3"/>
      <c r="Q62" s="3"/>
      <c r="R62" s="3"/>
      <c r="S62" s="3"/>
      <c r="T62" s="3"/>
      <c r="U62" s="3"/>
      <c r="V62" s="3"/>
      <c r="W62" s="3"/>
      <c r="X62" s="3"/>
      <c r="Y62" s="3"/>
      <c r="Z62" s="3"/>
    </row>
    <row r="63">
      <c r="A63" s="28"/>
      <c r="B63" s="3"/>
      <c r="C63" s="3"/>
      <c r="D63" s="3"/>
      <c r="E63" s="3"/>
      <c r="F63" s="3"/>
      <c r="G63" s="3"/>
      <c r="H63" s="3"/>
      <c r="I63" s="3"/>
      <c r="J63" s="3"/>
      <c r="K63" s="3"/>
      <c r="L63" s="3"/>
      <c r="M63" s="3"/>
      <c r="N63" s="3"/>
      <c r="O63" s="3"/>
      <c r="P63" s="3"/>
      <c r="Q63" s="3"/>
      <c r="R63" s="3"/>
      <c r="S63" s="3"/>
      <c r="T63" s="3"/>
      <c r="U63" s="3"/>
      <c r="V63" s="3"/>
      <c r="W63" s="3"/>
      <c r="X63" s="3"/>
      <c r="Y63" s="3"/>
      <c r="Z63" s="3"/>
    </row>
    <row r="64">
      <c r="A64" s="28"/>
      <c r="B64" s="3"/>
      <c r="C64" s="3"/>
      <c r="D64" s="3"/>
      <c r="E64" s="3"/>
      <c r="F64" s="3"/>
      <c r="G64" s="3"/>
      <c r="H64" s="3"/>
      <c r="I64" s="3"/>
      <c r="J64" s="3"/>
      <c r="K64" s="3"/>
      <c r="L64" s="3"/>
      <c r="M64" s="3"/>
      <c r="N64" s="3"/>
      <c r="O64" s="3"/>
      <c r="P64" s="3"/>
      <c r="Q64" s="3"/>
      <c r="R64" s="3"/>
      <c r="S64" s="3"/>
      <c r="T64" s="3"/>
      <c r="U64" s="3"/>
      <c r="V64" s="3"/>
      <c r="W64" s="3"/>
      <c r="X64" s="3"/>
      <c r="Y64" s="3"/>
      <c r="Z64" s="3"/>
    </row>
    <row r="65">
      <c r="A65" s="28"/>
      <c r="B65" s="3"/>
      <c r="C65" s="3"/>
      <c r="D65" s="3"/>
      <c r="E65" s="3"/>
      <c r="F65" s="3"/>
      <c r="G65" s="3"/>
      <c r="H65" s="3"/>
      <c r="I65" s="3"/>
      <c r="J65" s="3"/>
      <c r="K65" s="3"/>
      <c r="L65" s="3"/>
      <c r="M65" s="3"/>
      <c r="N65" s="3"/>
      <c r="O65" s="3"/>
      <c r="P65" s="3"/>
      <c r="Q65" s="3"/>
      <c r="R65" s="3"/>
      <c r="S65" s="3"/>
      <c r="T65" s="3"/>
      <c r="U65" s="3"/>
      <c r="V65" s="3"/>
      <c r="W65" s="3"/>
      <c r="X65" s="3"/>
      <c r="Y65" s="3"/>
      <c r="Z65" s="3"/>
    </row>
    <row r="66">
      <c r="A66" s="28"/>
      <c r="B66" s="3"/>
      <c r="C66" s="3"/>
      <c r="D66" s="3"/>
      <c r="E66" s="3"/>
      <c r="F66" s="3"/>
      <c r="G66" s="3"/>
      <c r="H66" s="3"/>
      <c r="I66" s="3"/>
      <c r="J66" s="3"/>
      <c r="K66" s="3"/>
      <c r="L66" s="3"/>
      <c r="M66" s="3"/>
      <c r="N66" s="3"/>
      <c r="O66" s="3"/>
      <c r="P66" s="3"/>
      <c r="Q66" s="3"/>
      <c r="R66" s="3"/>
      <c r="S66" s="3"/>
      <c r="T66" s="3"/>
      <c r="U66" s="3"/>
      <c r="V66" s="3"/>
      <c r="W66" s="3"/>
      <c r="X66" s="3"/>
      <c r="Y66" s="3"/>
      <c r="Z66" s="3"/>
    </row>
    <row r="67">
      <c r="A67" s="28"/>
      <c r="B67" s="3"/>
      <c r="C67" s="3"/>
      <c r="D67" s="3"/>
      <c r="E67" s="3"/>
      <c r="F67" s="3"/>
      <c r="G67" s="3"/>
      <c r="H67" s="3"/>
      <c r="I67" s="3"/>
      <c r="J67" s="3"/>
      <c r="K67" s="3"/>
      <c r="L67" s="3"/>
      <c r="M67" s="3"/>
      <c r="N67" s="3"/>
      <c r="O67" s="3"/>
      <c r="P67" s="3"/>
      <c r="Q67" s="3"/>
      <c r="R67" s="3"/>
      <c r="S67" s="3"/>
      <c r="T67" s="3"/>
      <c r="U67" s="3"/>
      <c r="V67" s="3"/>
      <c r="W67" s="3"/>
      <c r="X67" s="3"/>
      <c r="Y67" s="3"/>
      <c r="Z67" s="3"/>
    </row>
    <row r="68">
      <c r="A68" s="28"/>
      <c r="B68" s="3"/>
      <c r="C68" s="3"/>
      <c r="D68" s="3"/>
      <c r="E68" s="3"/>
      <c r="F68" s="3"/>
      <c r="G68" s="3"/>
      <c r="H68" s="3"/>
      <c r="I68" s="3"/>
      <c r="J68" s="3"/>
      <c r="K68" s="3"/>
      <c r="L68" s="3"/>
      <c r="M68" s="3"/>
      <c r="N68" s="3"/>
      <c r="O68" s="3"/>
      <c r="P68" s="3"/>
      <c r="Q68" s="3"/>
      <c r="R68" s="3"/>
      <c r="S68" s="3"/>
      <c r="T68" s="3"/>
      <c r="U68" s="3"/>
      <c r="V68" s="3"/>
      <c r="W68" s="3"/>
      <c r="X68" s="3"/>
      <c r="Y68" s="3"/>
      <c r="Z68" s="3"/>
    </row>
    <row r="69">
      <c r="A69" s="28"/>
      <c r="B69" s="3"/>
      <c r="C69" s="3"/>
      <c r="D69" s="3"/>
      <c r="E69" s="3"/>
      <c r="F69" s="3"/>
      <c r="G69" s="3"/>
      <c r="H69" s="3"/>
      <c r="I69" s="3"/>
      <c r="J69" s="3"/>
      <c r="K69" s="3"/>
      <c r="L69" s="3"/>
      <c r="M69" s="3"/>
      <c r="N69" s="3"/>
      <c r="O69" s="3"/>
      <c r="P69" s="3"/>
      <c r="Q69" s="3"/>
      <c r="R69" s="3"/>
      <c r="S69" s="3"/>
      <c r="T69" s="3"/>
      <c r="U69" s="3"/>
      <c r="V69" s="3"/>
      <c r="W69" s="3"/>
      <c r="X69" s="3"/>
      <c r="Y69" s="3"/>
      <c r="Z69" s="3"/>
    </row>
    <row r="70">
      <c r="A70" s="28"/>
      <c r="B70" s="3"/>
      <c r="C70" s="3"/>
      <c r="D70" s="3"/>
      <c r="E70" s="3"/>
      <c r="F70" s="3"/>
      <c r="G70" s="3"/>
      <c r="H70" s="3"/>
      <c r="I70" s="3"/>
      <c r="J70" s="3"/>
      <c r="K70" s="3"/>
      <c r="L70" s="3"/>
      <c r="M70" s="3"/>
      <c r="N70" s="3"/>
      <c r="O70" s="3"/>
      <c r="P70" s="3"/>
      <c r="Q70" s="3"/>
      <c r="R70" s="3"/>
      <c r="S70" s="3"/>
      <c r="T70" s="3"/>
      <c r="U70" s="3"/>
      <c r="V70" s="3"/>
      <c r="W70" s="3"/>
      <c r="X70" s="3"/>
      <c r="Y70" s="3"/>
      <c r="Z70" s="3"/>
    </row>
    <row r="71">
      <c r="A71" s="28"/>
      <c r="B71" s="3"/>
      <c r="C71" s="3"/>
      <c r="D71" s="3"/>
      <c r="E71" s="3"/>
      <c r="F71" s="3"/>
      <c r="G71" s="3"/>
      <c r="H71" s="3"/>
      <c r="I71" s="3"/>
      <c r="J71" s="3"/>
      <c r="K71" s="3"/>
      <c r="L71" s="3"/>
      <c r="M71" s="3"/>
      <c r="N71" s="3"/>
      <c r="O71" s="3"/>
      <c r="P71" s="3"/>
      <c r="Q71" s="3"/>
      <c r="R71" s="3"/>
      <c r="S71" s="3"/>
      <c r="T71" s="3"/>
      <c r="U71" s="3"/>
      <c r="V71" s="3"/>
      <c r="W71" s="3"/>
      <c r="X71" s="3"/>
      <c r="Y71" s="3"/>
      <c r="Z71" s="3"/>
    </row>
    <row r="72">
      <c r="A72" s="28"/>
      <c r="B72" s="3"/>
      <c r="C72" s="3"/>
      <c r="D72" s="3"/>
      <c r="E72" s="3"/>
      <c r="F72" s="3"/>
      <c r="G72" s="3"/>
      <c r="H72" s="3"/>
      <c r="I72" s="3"/>
      <c r="J72" s="3"/>
      <c r="K72" s="3"/>
      <c r="L72" s="3"/>
      <c r="M72" s="3"/>
      <c r="N72" s="3"/>
      <c r="O72" s="3"/>
      <c r="P72" s="3"/>
      <c r="Q72" s="3"/>
      <c r="R72" s="3"/>
      <c r="S72" s="3"/>
      <c r="T72" s="3"/>
      <c r="U72" s="3"/>
      <c r="V72" s="3"/>
      <c r="W72" s="3"/>
      <c r="X72" s="3"/>
      <c r="Y72" s="3"/>
      <c r="Z72" s="3"/>
    </row>
    <row r="73">
      <c r="A73" s="28"/>
      <c r="B73" s="3"/>
      <c r="C73" s="3"/>
      <c r="D73" s="3"/>
      <c r="E73" s="3"/>
      <c r="F73" s="3"/>
      <c r="G73" s="3"/>
      <c r="H73" s="3"/>
      <c r="I73" s="3"/>
      <c r="J73" s="3"/>
      <c r="K73" s="3"/>
      <c r="L73" s="3"/>
      <c r="M73" s="3"/>
      <c r="N73" s="3"/>
      <c r="O73" s="3"/>
      <c r="P73" s="3"/>
      <c r="Q73" s="3"/>
      <c r="R73" s="3"/>
      <c r="S73" s="3"/>
      <c r="T73" s="3"/>
      <c r="U73" s="3"/>
      <c r="V73" s="3"/>
      <c r="W73" s="3"/>
      <c r="X73" s="3"/>
      <c r="Y73" s="3"/>
      <c r="Z73" s="3"/>
    </row>
    <row r="74">
      <c r="A74" s="28"/>
      <c r="B74" s="3"/>
      <c r="C74" s="3"/>
      <c r="D74" s="3"/>
      <c r="E74" s="3"/>
      <c r="F74" s="3"/>
      <c r="G74" s="3"/>
      <c r="H74" s="3"/>
      <c r="I74" s="3"/>
      <c r="J74" s="3"/>
      <c r="K74" s="3"/>
      <c r="L74" s="3"/>
      <c r="M74" s="3"/>
      <c r="N74" s="3"/>
      <c r="O74" s="3"/>
      <c r="P74" s="3"/>
      <c r="Q74" s="3"/>
      <c r="R74" s="3"/>
      <c r="S74" s="3"/>
      <c r="T74" s="3"/>
      <c r="U74" s="3"/>
      <c r="V74" s="3"/>
      <c r="W74" s="3"/>
      <c r="X74" s="3"/>
      <c r="Y74" s="3"/>
      <c r="Z74" s="3"/>
    </row>
    <row r="75">
      <c r="A75" s="28"/>
      <c r="B75" s="3"/>
      <c r="C75" s="3"/>
      <c r="D75" s="3"/>
      <c r="E75" s="3"/>
      <c r="F75" s="3"/>
      <c r="G75" s="3"/>
      <c r="H75" s="3"/>
      <c r="I75" s="3"/>
      <c r="J75" s="3"/>
      <c r="K75" s="3"/>
      <c r="L75" s="3"/>
      <c r="M75" s="3"/>
      <c r="N75" s="3"/>
      <c r="O75" s="3"/>
      <c r="P75" s="3"/>
      <c r="Q75" s="3"/>
      <c r="R75" s="3"/>
      <c r="S75" s="3"/>
      <c r="T75" s="3"/>
      <c r="U75" s="3"/>
      <c r="V75" s="3"/>
      <c r="W75" s="3"/>
      <c r="X75" s="3"/>
      <c r="Y75" s="3"/>
      <c r="Z75" s="3"/>
    </row>
    <row r="76">
      <c r="A76" s="28"/>
      <c r="B76" s="3"/>
      <c r="C76" s="3"/>
      <c r="D76" s="3"/>
      <c r="E76" s="3"/>
      <c r="F76" s="3"/>
      <c r="G76" s="3"/>
      <c r="H76" s="3"/>
      <c r="I76" s="3"/>
      <c r="J76" s="3"/>
      <c r="K76" s="3"/>
      <c r="L76" s="3"/>
      <c r="M76" s="3"/>
      <c r="N76" s="3"/>
      <c r="O76" s="3"/>
      <c r="P76" s="3"/>
      <c r="Q76" s="3"/>
      <c r="R76" s="3"/>
      <c r="S76" s="3"/>
      <c r="T76" s="3"/>
      <c r="U76" s="3"/>
      <c r="V76" s="3"/>
      <c r="W76" s="3"/>
      <c r="X76" s="3"/>
      <c r="Y76" s="3"/>
      <c r="Z76" s="3"/>
    </row>
    <row r="77">
      <c r="A77" s="28"/>
      <c r="B77" s="3"/>
      <c r="C77" s="3"/>
      <c r="D77" s="3"/>
      <c r="E77" s="3"/>
      <c r="F77" s="3"/>
      <c r="G77" s="3"/>
      <c r="H77" s="3"/>
      <c r="I77" s="3"/>
      <c r="J77" s="3"/>
      <c r="K77" s="3"/>
      <c r="L77" s="3"/>
      <c r="M77" s="3"/>
      <c r="N77" s="3"/>
      <c r="O77" s="3"/>
      <c r="P77" s="3"/>
      <c r="Q77" s="3"/>
      <c r="R77" s="3"/>
      <c r="S77" s="3"/>
      <c r="T77" s="3"/>
      <c r="U77" s="3"/>
      <c r="V77" s="3"/>
      <c r="W77" s="3"/>
      <c r="X77" s="3"/>
      <c r="Y77" s="3"/>
      <c r="Z77" s="3"/>
    </row>
    <row r="78">
      <c r="A78" s="28"/>
      <c r="B78" s="3"/>
      <c r="C78" s="3"/>
      <c r="D78" s="3"/>
      <c r="E78" s="3"/>
      <c r="F78" s="3"/>
      <c r="G78" s="3"/>
      <c r="H78" s="3"/>
      <c r="I78" s="3"/>
      <c r="J78" s="3"/>
      <c r="K78" s="3"/>
      <c r="L78" s="3"/>
      <c r="M78" s="3"/>
      <c r="N78" s="3"/>
      <c r="O78" s="3"/>
      <c r="P78" s="3"/>
      <c r="Q78" s="3"/>
      <c r="R78" s="3"/>
      <c r="S78" s="3"/>
      <c r="T78" s="3"/>
      <c r="U78" s="3"/>
      <c r="V78" s="3"/>
      <c r="W78" s="3"/>
      <c r="X78" s="3"/>
      <c r="Y78" s="3"/>
      <c r="Z78" s="3"/>
    </row>
    <row r="79">
      <c r="A79" s="28"/>
      <c r="B79" s="3"/>
      <c r="C79" s="3"/>
      <c r="D79" s="3"/>
      <c r="E79" s="3"/>
      <c r="F79" s="3"/>
      <c r="G79" s="3"/>
      <c r="H79" s="3"/>
      <c r="I79" s="3"/>
      <c r="J79" s="3"/>
      <c r="K79" s="3"/>
      <c r="L79" s="3"/>
      <c r="M79" s="3"/>
      <c r="N79" s="3"/>
      <c r="O79" s="3"/>
      <c r="P79" s="3"/>
      <c r="Q79" s="3"/>
      <c r="R79" s="3"/>
      <c r="S79" s="3"/>
      <c r="T79" s="3"/>
      <c r="U79" s="3"/>
      <c r="V79" s="3"/>
      <c r="W79" s="3"/>
      <c r="X79" s="3"/>
      <c r="Y79" s="3"/>
      <c r="Z79" s="3"/>
    </row>
    <row r="80">
      <c r="A80" s="28"/>
      <c r="B80" s="3"/>
      <c r="C80" s="3"/>
      <c r="D80" s="3"/>
      <c r="E80" s="3"/>
      <c r="F80" s="3"/>
      <c r="G80" s="3"/>
      <c r="H80" s="3"/>
      <c r="I80" s="3"/>
      <c r="J80" s="3"/>
      <c r="K80" s="3"/>
      <c r="L80" s="3"/>
      <c r="M80" s="3"/>
      <c r="N80" s="3"/>
      <c r="O80" s="3"/>
      <c r="P80" s="3"/>
      <c r="Q80" s="3"/>
      <c r="R80" s="3"/>
      <c r="S80" s="3"/>
      <c r="T80" s="3"/>
      <c r="U80" s="3"/>
      <c r="V80" s="3"/>
      <c r="W80" s="3"/>
      <c r="X80" s="3"/>
      <c r="Y80" s="3"/>
      <c r="Z80" s="3"/>
    </row>
    <row r="81">
      <c r="A81" s="28"/>
      <c r="B81" s="3"/>
      <c r="C81" s="3"/>
      <c r="D81" s="3"/>
      <c r="E81" s="3"/>
      <c r="F81" s="3"/>
      <c r="G81" s="3"/>
      <c r="H81" s="3"/>
      <c r="I81" s="3"/>
      <c r="J81" s="3"/>
      <c r="K81" s="3"/>
      <c r="L81" s="3"/>
      <c r="M81" s="3"/>
      <c r="N81" s="3"/>
      <c r="O81" s="3"/>
      <c r="P81" s="3"/>
      <c r="Q81" s="3"/>
      <c r="R81" s="3"/>
      <c r="S81" s="3"/>
      <c r="T81" s="3"/>
      <c r="U81" s="3"/>
      <c r="V81" s="3"/>
      <c r="W81" s="3"/>
      <c r="X81" s="3"/>
      <c r="Y81" s="3"/>
      <c r="Z81" s="3"/>
    </row>
    <row r="82">
      <c r="A82" s="28"/>
      <c r="B82" s="3"/>
      <c r="C82" s="3"/>
      <c r="D82" s="3"/>
      <c r="E82" s="3"/>
      <c r="F82" s="3"/>
      <c r="G82" s="3"/>
      <c r="H82" s="3"/>
      <c r="I82" s="3"/>
      <c r="J82" s="3"/>
      <c r="K82" s="3"/>
      <c r="L82" s="3"/>
      <c r="M82" s="3"/>
      <c r="N82" s="3"/>
      <c r="O82" s="3"/>
      <c r="P82" s="3"/>
      <c r="Q82" s="3"/>
      <c r="R82" s="3"/>
      <c r="S82" s="3"/>
      <c r="T82" s="3"/>
      <c r="U82" s="3"/>
      <c r="V82" s="3"/>
      <c r="W82" s="3"/>
      <c r="X82" s="3"/>
      <c r="Y82" s="3"/>
      <c r="Z82" s="3"/>
    </row>
    <row r="83">
      <c r="A83" s="28"/>
      <c r="B83" s="3"/>
      <c r="C83" s="3"/>
      <c r="D83" s="3"/>
      <c r="E83" s="3"/>
      <c r="F83" s="3"/>
      <c r="G83" s="3"/>
      <c r="H83" s="3"/>
      <c r="I83" s="3"/>
      <c r="J83" s="3"/>
      <c r="K83" s="3"/>
      <c r="L83" s="3"/>
      <c r="M83" s="3"/>
      <c r="N83" s="3"/>
      <c r="O83" s="3"/>
      <c r="P83" s="3"/>
      <c r="Q83" s="3"/>
      <c r="R83" s="3"/>
      <c r="S83" s="3"/>
      <c r="T83" s="3"/>
      <c r="U83" s="3"/>
      <c r="V83" s="3"/>
      <c r="W83" s="3"/>
      <c r="X83" s="3"/>
      <c r="Y83" s="3"/>
      <c r="Z83" s="3"/>
    </row>
    <row r="84">
      <c r="A84" s="28"/>
      <c r="B84" s="3"/>
      <c r="C84" s="3"/>
      <c r="D84" s="3"/>
      <c r="E84" s="3"/>
      <c r="F84" s="3"/>
      <c r="G84" s="3"/>
      <c r="H84" s="3"/>
      <c r="I84" s="3"/>
      <c r="J84" s="3"/>
      <c r="K84" s="3"/>
      <c r="L84" s="3"/>
      <c r="M84" s="3"/>
      <c r="N84" s="3"/>
      <c r="O84" s="3"/>
      <c r="P84" s="3"/>
      <c r="Q84" s="3"/>
      <c r="R84" s="3"/>
      <c r="S84" s="3"/>
      <c r="T84" s="3"/>
      <c r="U84" s="3"/>
      <c r="V84" s="3"/>
      <c r="W84" s="3"/>
      <c r="X84" s="3"/>
      <c r="Y84" s="3"/>
      <c r="Z84" s="3"/>
    </row>
    <row r="85">
      <c r="A85" s="28"/>
      <c r="B85" s="3"/>
      <c r="C85" s="3"/>
      <c r="D85" s="3"/>
      <c r="E85" s="3"/>
      <c r="F85" s="3"/>
      <c r="G85" s="3"/>
      <c r="H85" s="3"/>
      <c r="I85" s="3"/>
      <c r="J85" s="3"/>
      <c r="K85" s="3"/>
      <c r="L85" s="3"/>
      <c r="M85" s="3"/>
      <c r="N85" s="3"/>
      <c r="O85" s="3"/>
      <c r="P85" s="3"/>
      <c r="Q85" s="3"/>
      <c r="R85" s="3"/>
      <c r="S85" s="3"/>
      <c r="T85" s="3"/>
      <c r="U85" s="3"/>
      <c r="V85" s="3"/>
      <c r="W85" s="3"/>
      <c r="X85" s="3"/>
      <c r="Y85" s="3"/>
      <c r="Z85" s="3"/>
    </row>
    <row r="86">
      <c r="A86" s="28"/>
      <c r="B86" s="3"/>
      <c r="C86" s="3"/>
      <c r="D86" s="3"/>
      <c r="E86" s="3"/>
      <c r="F86" s="3"/>
      <c r="G86" s="3"/>
      <c r="H86" s="3"/>
      <c r="I86" s="3"/>
      <c r="J86" s="3"/>
      <c r="K86" s="3"/>
      <c r="L86" s="3"/>
      <c r="M86" s="3"/>
      <c r="N86" s="3"/>
      <c r="O86" s="3"/>
      <c r="P86" s="3"/>
      <c r="Q86" s="3"/>
      <c r="R86" s="3"/>
      <c r="S86" s="3"/>
      <c r="T86" s="3"/>
      <c r="U86" s="3"/>
      <c r="V86" s="3"/>
      <c r="W86" s="3"/>
      <c r="X86" s="3"/>
      <c r="Y86" s="3"/>
      <c r="Z86" s="3"/>
    </row>
    <row r="87">
      <c r="A87" s="28"/>
      <c r="B87" s="3"/>
      <c r="C87" s="3"/>
      <c r="D87" s="3"/>
      <c r="E87" s="3"/>
      <c r="F87" s="3"/>
      <c r="G87" s="3"/>
      <c r="H87" s="3"/>
      <c r="I87" s="3"/>
      <c r="J87" s="3"/>
      <c r="K87" s="3"/>
      <c r="L87" s="3"/>
      <c r="M87" s="3"/>
      <c r="N87" s="3"/>
      <c r="O87" s="3"/>
      <c r="P87" s="3"/>
      <c r="Q87" s="3"/>
      <c r="R87" s="3"/>
      <c r="S87" s="3"/>
      <c r="T87" s="3"/>
      <c r="U87" s="3"/>
      <c r="V87" s="3"/>
      <c r="W87" s="3"/>
      <c r="X87" s="3"/>
      <c r="Y87" s="3"/>
      <c r="Z87" s="3"/>
    </row>
    <row r="88">
      <c r="A88" s="28"/>
      <c r="B88" s="3"/>
      <c r="C88" s="3"/>
      <c r="D88" s="3"/>
      <c r="E88" s="3"/>
      <c r="F88" s="3"/>
      <c r="G88" s="3"/>
      <c r="H88" s="3"/>
      <c r="I88" s="3"/>
      <c r="J88" s="3"/>
      <c r="K88" s="3"/>
      <c r="L88" s="3"/>
      <c r="M88" s="3"/>
      <c r="N88" s="3"/>
      <c r="O88" s="3"/>
      <c r="P88" s="3"/>
      <c r="Q88" s="3"/>
      <c r="R88" s="3"/>
      <c r="S88" s="3"/>
      <c r="T88" s="3"/>
      <c r="U88" s="3"/>
      <c r="V88" s="3"/>
      <c r="W88" s="3"/>
      <c r="X88" s="3"/>
      <c r="Y88" s="3"/>
      <c r="Z88" s="3"/>
    </row>
    <row r="89">
      <c r="A89" s="28"/>
      <c r="B89" s="3"/>
      <c r="C89" s="3"/>
      <c r="D89" s="3"/>
      <c r="E89" s="3"/>
      <c r="F89" s="3"/>
      <c r="G89" s="3"/>
      <c r="H89" s="3"/>
      <c r="I89" s="3"/>
      <c r="J89" s="3"/>
      <c r="K89" s="3"/>
      <c r="L89" s="3"/>
      <c r="M89" s="3"/>
      <c r="N89" s="3"/>
      <c r="O89" s="3"/>
      <c r="P89" s="3"/>
      <c r="Q89" s="3"/>
      <c r="R89" s="3"/>
      <c r="S89" s="3"/>
      <c r="T89" s="3"/>
      <c r="U89" s="3"/>
      <c r="V89" s="3"/>
      <c r="W89" s="3"/>
      <c r="X89" s="3"/>
      <c r="Y89" s="3"/>
      <c r="Z89" s="3"/>
    </row>
    <row r="90">
      <c r="A90" s="28"/>
      <c r="B90" s="3"/>
      <c r="C90" s="3"/>
      <c r="D90" s="3"/>
      <c r="E90" s="3"/>
      <c r="F90" s="3"/>
      <c r="G90" s="3"/>
      <c r="H90" s="3"/>
      <c r="I90" s="3"/>
      <c r="J90" s="3"/>
      <c r="K90" s="3"/>
      <c r="L90" s="3"/>
      <c r="M90" s="3"/>
      <c r="N90" s="3"/>
      <c r="O90" s="3"/>
      <c r="P90" s="3"/>
      <c r="Q90" s="3"/>
      <c r="R90" s="3"/>
      <c r="S90" s="3"/>
      <c r="T90" s="3"/>
      <c r="U90" s="3"/>
      <c r="V90" s="3"/>
      <c r="W90" s="3"/>
      <c r="X90" s="3"/>
      <c r="Y90" s="3"/>
      <c r="Z90" s="3"/>
    </row>
    <row r="91">
      <c r="A91" s="28"/>
      <c r="B91" s="3"/>
      <c r="C91" s="3"/>
      <c r="D91" s="3"/>
      <c r="E91" s="3"/>
      <c r="F91" s="3"/>
      <c r="G91" s="3"/>
      <c r="H91" s="3"/>
      <c r="I91" s="3"/>
      <c r="J91" s="3"/>
      <c r="K91" s="3"/>
      <c r="L91" s="3"/>
      <c r="M91" s="3"/>
      <c r="N91" s="3"/>
      <c r="O91" s="3"/>
      <c r="P91" s="3"/>
      <c r="Q91" s="3"/>
      <c r="R91" s="3"/>
      <c r="S91" s="3"/>
      <c r="T91" s="3"/>
      <c r="U91" s="3"/>
      <c r="V91" s="3"/>
      <c r="W91" s="3"/>
      <c r="X91" s="3"/>
      <c r="Y91" s="3"/>
      <c r="Z91" s="3"/>
    </row>
    <row r="92">
      <c r="A92" s="28"/>
      <c r="B92" s="3"/>
      <c r="C92" s="3"/>
      <c r="D92" s="3"/>
      <c r="E92" s="3"/>
      <c r="F92" s="3"/>
      <c r="G92" s="3"/>
      <c r="H92" s="3"/>
      <c r="I92" s="3"/>
      <c r="J92" s="3"/>
      <c r="K92" s="3"/>
      <c r="L92" s="3"/>
      <c r="M92" s="3"/>
      <c r="N92" s="3"/>
      <c r="O92" s="3"/>
      <c r="P92" s="3"/>
      <c r="Q92" s="3"/>
      <c r="R92" s="3"/>
      <c r="S92" s="3"/>
      <c r="T92" s="3"/>
      <c r="U92" s="3"/>
      <c r="V92" s="3"/>
      <c r="W92" s="3"/>
      <c r="X92" s="3"/>
      <c r="Y92" s="3"/>
      <c r="Z92" s="3"/>
    </row>
    <row r="93">
      <c r="A93" s="28"/>
      <c r="B93" s="3"/>
      <c r="C93" s="3"/>
      <c r="D93" s="3"/>
      <c r="E93" s="3"/>
      <c r="F93" s="3"/>
      <c r="G93" s="3"/>
      <c r="H93" s="3"/>
      <c r="I93" s="3"/>
      <c r="J93" s="3"/>
      <c r="K93" s="3"/>
      <c r="L93" s="3"/>
      <c r="M93" s="3"/>
      <c r="N93" s="3"/>
      <c r="O93" s="3"/>
      <c r="P93" s="3"/>
      <c r="Q93" s="3"/>
      <c r="R93" s="3"/>
      <c r="S93" s="3"/>
      <c r="T93" s="3"/>
      <c r="U93" s="3"/>
      <c r="V93" s="3"/>
      <c r="W93" s="3"/>
      <c r="X93" s="3"/>
      <c r="Y93" s="3"/>
      <c r="Z93" s="3"/>
    </row>
    <row r="94">
      <c r="A94" s="28"/>
      <c r="B94" s="3"/>
      <c r="C94" s="3"/>
      <c r="D94" s="3"/>
      <c r="E94" s="3"/>
      <c r="F94" s="3"/>
      <c r="G94" s="3"/>
      <c r="H94" s="3"/>
      <c r="I94" s="3"/>
      <c r="J94" s="3"/>
      <c r="K94" s="3"/>
      <c r="L94" s="3"/>
      <c r="M94" s="3"/>
      <c r="N94" s="3"/>
      <c r="O94" s="3"/>
      <c r="P94" s="3"/>
      <c r="Q94" s="3"/>
      <c r="R94" s="3"/>
      <c r="S94" s="3"/>
      <c r="T94" s="3"/>
      <c r="U94" s="3"/>
      <c r="V94" s="3"/>
      <c r="W94" s="3"/>
      <c r="X94" s="3"/>
      <c r="Y94" s="3"/>
      <c r="Z94" s="3"/>
    </row>
    <row r="95">
      <c r="A95" s="28"/>
      <c r="B95" s="3"/>
      <c r="C95" s="3"/>
      <c r="D95" s="3"/>
      <c r="E95" s="3"/>
      <c r="F95" s="3"/>
      <c r="G95" s="3"/>
      <c r="H95" s="3"/>
      <c r="I95" s="3"/>
      <c r="J95" s="3"/>
      <c r="K95" s="3"/>
      <c r="L95" s="3"/>
      <c r="M95" s="3"/>
      <c r="N95" s="3"/>
      <c r="O95" s="3"/>
      <c r="P95" s="3"/>
      <c r="Q95" s="3"/>
      <c r="R95" s="3"/>
      <c r="S95" s="3"/>
      <c r="T95" s="3"/>
      <c r="U95" s="3"/>
      <c r="V95" s="3"/>
      <c r="W95" s="3"/>
      <c r="X95" s="3"/>
      <c r="Y95" s="3"/>
      <c r="Z95" s="3"/>
    </row>
    <row r="96">
      <c r="A96" s="28"/>
      <c r="B96" s="3"/>
      <c r="C96" s="3"/>
      <c r="D96" s="3"/>
      <c r="E96" s="3"/>
      <c r="F96" s="3"/>
      <c r="G96" s="3"/>
      <c r="H96" s="3"/>
      <c r="I96" s="3"/>
      <c r="J96" s="3"/>
      <c r="K96" s="3"/>
      <c r="L96" s="3"/>
      <c r="M96" s="3"/>
      <c r="N96" s="3"/>
      <c r="O96" s="3"/>
      <c r="P96" s="3"/>
      <c r="Q96" s="3"/>
      <c r="R96" s="3"/>
      <c r="S96" s="3"/>
      <c r="T96" s="3"/>
      <c r="U96" s="3"/>
      <c r="V96" s="3"/>
      <c r="W96" s="3"/>
      <c r="X96" s="3"/>
      <c r="Y96" s="3"/>
      <c r="Z96" s="3"/>
    </row>
    <row r="97">
      <c r="A97" s="28"/>
      <c r="B97" s="3"/>
      <c r="C97" s="3"/>
      <c r="D97" s="3"/>
      <c r="E97" s="3"/>
      <c r="F97" s="3"/>
      <c r="G97" s="3"/>
      <c r="H97" s="3"/>
      <c r="I97" s="3"/>
      <c r="J97" s="3"/>
      <c r="K97" s="3"/>
      <c r="L97" s="3"/>
      <c r="M97" s="3"/>
      <c r="N97" s="3"/>
      <c r="O97" s="3"/>
      <c r="P97" s="3"/>
      <c r="Q97" s="3"/>
      <c r="R97" s="3"/>
      <c r="S97" s="3"/>
      <c r="T97" s="3"/>
      <c r="U97" s="3"/>
      <c r="V97" s="3"/>
      <c r="W97" s="3"/>
      <c r="X97" s="3"/>
      <c r="Y97" s="3"/>
      <c r="Z97" s="3"/>
    </row>
    <row r="98">
      <c r="A98" s="28"/>
      <c r="B98" s="3"/>
      <c r="C98" s="3"/>
      <c r="D98" s="3"/>
      <c r="E98" s="3"/>
      <c r="F98" s="3"/>
      <c r="G98" s="3"/>
      <c r="H98" s="3"/>
      <c r="I98" s="3"/>
      <c r="J98" s="3"/>
      <c r="K98" s="3"/>
      <c r="L98" s="3"/>
      <c r="M98" s="3"/>
      <c r="N98" s="3"/>
      <c r="O98" s="3"/>
      <c r="P98" s="3"/>
      <c r="Q98" s="3"/>
      <c r="R98" s="3"/>
      <c r="S98" s="3"/>
      <c r="T98" s="3"/>
      <c r="U98" s="3"/>
      <c r="V98" s="3"/>
      <c r="W98" s="3"/>
      <c r="X98" s="3"/>
      <c r="Y98" s="3"/>
      <c r="Z98" s="3"/>
    </row>
    <row r="99">
      <c r="A99" s="28"/>
      <c r="B99" s="3"/>
      <c r="C99" s="3"/>
      <c r="D99" s="3"/>
      <c r="E99" s="3"/>
      <c r="F99" s="3"/>
      <c r="G99" s="3"/>
      <c r="H99" s="3"/>
      <c r="I99" s="3"/>
      <c r="J99" s="3"/>
      <c r="K99" s="3"/>
      <c r="L99" s="3"/>
      <c r="M99" s="3"/>
      <c r="N99" s="3"/>
      <c r="O99" s="3"/>
      <c r="P99" s="3"/>
      <c r="Q99" s="3"/>
      <c r="R99" s="3"/>
      <c r="S99" s="3"/>
      <c r="T99" s="3"/>
      <c r="U99" s="3"/>
      <c r="V99" s="3"/>
      <c r="W99" s="3"/>
      <c r="X99" s="3"/>
      <c r="Y99" s="3"/>
      <c r="Z99" s="3"/>
    </row>
    <row r="100">
      <c r="A100" s="2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2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2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2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2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2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2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2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2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2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2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2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2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2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2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2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2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2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2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2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2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2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2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2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2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2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2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2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2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2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2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2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2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2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2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2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2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2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2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2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2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2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2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2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2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2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2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2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2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2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2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2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2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2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2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2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2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2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2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2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2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2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2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2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2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2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2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2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2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2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2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2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2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2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2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2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2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2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2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2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2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2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2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2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2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2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2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2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2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2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2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2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2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2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2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2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2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2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2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2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2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2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2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2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2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2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2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2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2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2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2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2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2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2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2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2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2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2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2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2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2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2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2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2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2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2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2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2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2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2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2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2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2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2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2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2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2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2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2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2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2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2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2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2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2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2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2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2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2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2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2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2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2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2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2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2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2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2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2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2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2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2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2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2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2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2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2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2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2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2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2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2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2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2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2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2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2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2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2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2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2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2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2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2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2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2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2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2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2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2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2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2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2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2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2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2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2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2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2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2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2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2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2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2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2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2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2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2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2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2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2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2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2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2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2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2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2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2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2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2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2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2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2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2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2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2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2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2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2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2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2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2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2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2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2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2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2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2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2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2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2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2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2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2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2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2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2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2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2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2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2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2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2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2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2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2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2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2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2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2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2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2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2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2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2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2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2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2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2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2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2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2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2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2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2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2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2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2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2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2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2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2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2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2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2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2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2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2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2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2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2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2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2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2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2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2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2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2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2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2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2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2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2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2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2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2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2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2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2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2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2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2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2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2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2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2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2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2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2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2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2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2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2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2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2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2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2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2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2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2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2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2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2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2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2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2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2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2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2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2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2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2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2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2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2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2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2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2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2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2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2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2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2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2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2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2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2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2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2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2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2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2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2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2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2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2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2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2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2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2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2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2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2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2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2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2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2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2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2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2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2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2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2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2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2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2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2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2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2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2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2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2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2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2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2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2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2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2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2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2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2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2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2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2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2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2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2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2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2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2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2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2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2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2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2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2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2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2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2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2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2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2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2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2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2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2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2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2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2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2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2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2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2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2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2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2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2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2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2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2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2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2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2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2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2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2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2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2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2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2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2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2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2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2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2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2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2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2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2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2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2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2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2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2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2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2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2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2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2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2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2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2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2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2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2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2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2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2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2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2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2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2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2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2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2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2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2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2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2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2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2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2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2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2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2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2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2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2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2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2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2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2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2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2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2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2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2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2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2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2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2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2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2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2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2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2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2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2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2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2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2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2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2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2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2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2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2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2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2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2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2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2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2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2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2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2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2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2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2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2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2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2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2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2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2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2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2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2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2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2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2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2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2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2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2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2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2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2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2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2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2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2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2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2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2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2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2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2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2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2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2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2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2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2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2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2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2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2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2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2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2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2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2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2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2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2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2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2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2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2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2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2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2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2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2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2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2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2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2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2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2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2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2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2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2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2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2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2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2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2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2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2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2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2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2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2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2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2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2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2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2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2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2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2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2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2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2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2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2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2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2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2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2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2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2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2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2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2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2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2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2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2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2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2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2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2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2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2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2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2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2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2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2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2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2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2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2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2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2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2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2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2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2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2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2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2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2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2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2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2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2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2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2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2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2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2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2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2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2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2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2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2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2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2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2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2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2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2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2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2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2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2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2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2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2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2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2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2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2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2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2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2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2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2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2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2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2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2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2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2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2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2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2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2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2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2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2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2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2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2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2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2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2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2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2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2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2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2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2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2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2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2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2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2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2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2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2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2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2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2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2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2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2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2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2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2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2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2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2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2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2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2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2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2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2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2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2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2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2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2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2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2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2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2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2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2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2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2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2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2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2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2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2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2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2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2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2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2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2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2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2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2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2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2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2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2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2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2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2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2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2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2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2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2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2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2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2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2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2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2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2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2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2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2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2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2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2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2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2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2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2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2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2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2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2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2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2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2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2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2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2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2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2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2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2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2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2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2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2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2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2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2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2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2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2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2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2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2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2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2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2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2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2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2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2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2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2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2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2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2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2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2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2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2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2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2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2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2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2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2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2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2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2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2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2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2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2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2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2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2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2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2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2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2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2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2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2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2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2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2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2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2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2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2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2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2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2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2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2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2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2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2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2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2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2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2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2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2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2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2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2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D$7"/>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sheetData>
    <row r="1">
      <c r="A1" s="29" t="s">
        <v>59</v>
      </c>
      <c r="B1" s="30" t="s">
        <v>60</v>
      </c>
      <c r="C1" s="30" t="s">
        <v>61</v>
      </c>
      <c r="D1" s="31" t="s">
        <v>62</v>
      </c>
      <c r="E1" s="10"/>
      <c r="F1" s="10"/>
      <c r="G1" s="10"/>
      <c r="H1" s="10"/>
      <c r="I1" s="10"/>
      <c r="J1" s="10"/>
      <c r="K1" s="10"/>
      <c r="L1" s="10"/>
      <c r="M1" s="10"/>
      <c r="N1" s="10"/>
      <c r="O1" s="11"/>
      <c r="P1" s="32" t="s">
        <v>63</v>
      </c>
      <c r="Q1" s="11"/>
      <c r="R1" s="33" t="s">
        <v>64</v>
      </c>
      <c r="S1" s="10"/>
      <c r="T1" s="10"/>
      <c r="U1" s="10"/>
      <c r="V1" s="10"/>
      <c r="W1" s="10"/>
      <c r="X1" s="10"/>
      <c r="Y1" s="10"/>
      <c r="Z1" s="10"/>
      <c r="AA1" s="10"/>
      <c r="AB1" s="10"/>
      <c r="AC1" s="10"/>
      <c r="AD1" s="10"/>
      <c r="AE1" s="10"/>
      <c r="AF1" s="10"/>
      <c r="AG1" s="10"/>
      <c r="AH1" s="10"/>
      <c r="AI1" s="10"/>
      <c r="AJ1" s="10"/>
      <c r="AK1" s="10"/>
      <c r="AL1" s="10"/>
      <c r="AM1" s="10"/>
      <c r="AN1" s="11"/>
      <c r="AO1" s="34"/>
      <c r="AP1" s="34"/>
      <c r="AQ1" s="34"/>
    </row>
    <row r="2">
      <c r="A2" s="13"/>
      <c r="B2" s="13"/>
      <c r="C2" s="13"/>
      <c r="D2" s="30" t="s">
        <v>65</v>
      </c>
      <c r="E2" s="30" t="s">
        <v>66</v>
      </c>
      <c r="F2" s="30" t="s">
        <v>67</v>
      </c>
      <c r="G2" s="35" t="s">
        <v>68</v>
      </c>
      <c r="H2" s="30" t="s">
        <v>69</v>
      </c>
      <c r="I2" s="30" t="s">
        <v>70</v>
      </c>
      <c r="J2" s="30" t="s">
        <v>71</v>
      </c>
      <c r="K2" s="36" t="s">
        <v>72</v>
      </c>
      <c r="L2" s="30" t="s">
        <v>73</v>
      </c>
      <c r="M2" s="30" t="s">
        <v>74</v>
      </c>
      <c r="N2" s="30" t="s">
        <v>75</v>
      </c>
      <c r="O2" s="30" t="s">
        <v>76</v>
      </c>
      <c r="P2" s="37" t="s">
        <v>77</v>
      </c>
      <c r="Q2" s="37" t="s">
        <v>78</v>
      </c>
      <c r="R2" s="38" t="s">
        <v>79</v>
      </c>
      <c r="S2" s="38" t="s">
        <v>80</v>
      </c>
      <c r="T2" s="30" t="s">
        <v>81</v>
      </c>
      <c r="U2" s="30" t="s">
        <v>82</v>
      </c>
      <c r="V2" s="30" t="s">
        <v>83</v>
      </c>
      <c r="W2" s="30" t="s">
        <v>84</v>
      </c>
      <c r="X2" s="38" t="s">
        <v>85</v>
      </c>
      <c r="Y2" s="30" t="s">
        <v>86</v>
      </c>
      <c r="Z2" s="30" t="s">
        <v>87</v>
      </c>
      <c r="AA2" s="38" t="s">
        <v>88</v>
      </c>
      <c r="AB2" s="38" t="s">
        <v>89</v>
      </c>
      <c r="AC2" s="39" t="s">
        <v>90</v>
      </c>
      <c r="AD2" s="10"/>
      <c r="AE2" s="10"/>
      <c r="AF2" s="11"/>
      <c r="AG2" s="39" t="s">
        <v>91</v>
      </c>
      <c r="AH2" s="10"/>
      <c r="AI2" s="10"/>
      <c r="AJ2" s="11"/>
      <c r="AK2" s="31" t="s">
        <v>92</v>
      </c>
      <c r="AL2" s="10"/>
      <c r="AM2" s="10"/>
      <c r="AN2" s="11"/>
      <c r="AO2" s="40"/>
      <c r="AP2" s="40"/>
      <c r="AQ2" s="40"/>
    </row>
    <row r="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41" t="s">
        <v>93</v>
      </c>
      <c r="AD3" s="41" t="s">
        <v>94</v>
      </c>
      <c r="AE3" s="41" t="s">
        <v>95</v>
      </c>
      <c r="AF3" s="42" t="s">
        <v>96</v>
      </c>
      <c r="AG3" s="41" t="s">
        <v>93</v>
      </c>
      <c r="AH3" s="41" t="s">
        <v>94</v>
      </c>
      <c r="AI3" s="41" t="s">
        <v>95</v>
      </c>
      <c r="AJ3" s="42" t="s">
        <v>96</v>
      </c>
      <c r="AK3" s="41" t="s">
        <v>93</v>
      </c>
      <c r="AL3" s="41" t="s">
        <v>94</v>
      </c>
      <c r="AM3" s="41" t="s">
        <v>95</v>
      </c>
      <c r="AN3" s="42" t="s">
        <v>96</v>
      </c>
      <c r="AO3" s="43"/>
      <c r="AP3" s="43"/>
      <c r="AQ3" s="43"/>
    </row>
    <row r="4">
      <c r="A4" s="44" t="s">
        <v>97</v>
      </c>
      <c r="B4" s="45" t="s">
        <v>22</v>
      </c>
      <c r="C4" s="46">
        <v>1.0</v>
      </c>
      <c r="D4" s="47">
        <v>0.160873206047905</v>
      </c>
      <c r="E4" s="47">
        <v>0.603008</v>
      </c>
      <c r="F4" s="48"/>
      <c r="G4" s="48"/>
      <c r="H4" s="48"/>
      <c r="I4" s="48"/>
      <c r="J4" s="48"/>
      <c r="K4" s="48"/>
      <c r="L4" s="48"/>
      <c r="M4" s="48"/>
      <c r="N4" s="48"/>
      <c r="O4" s="48"/>
      <c r="P4" s="47"/>
      <c r="Q4" s="47"/>
      <c r="R4" s="47"/>
      <c r="S4" s="47"/>
      <c r="T4" s="47"/>
      <c r="U4" s="47"/>
      <c r="V4" s="47"/>
      <c r="W4" s="47"/>
      <c r="X4" s="47"/>
      <c r="Y4" s="47"/>
      <c r="Z4" s="47"/>
      <c r="AA4" s="47"/>
      <c r="AB4" s="47"/>
      <c r="AC4" s="47"/>
      <c r="AD4" s="47"/>
      <c r="AE4" s="47"/>
      <c r="AF4" s="47"/>
      <c r="AG4" s="47"/>
      <c r="AH4" s="47"/>
      <c r="AI4" s="47"/>
      <c r="AJ4" s="47"/>
      <c r="AK4" s="47"/>
      <c r="AL4" s="47"/>
      <c r="AM4" s="47"/>
      <c r="AN4" s="47"/>
      <c r="AO4" s="49"/>
      <c r="AP4" s="49"/>
      <c r="AQ4" s="49"/>
    </row>
    <row r="5">
      <c r="A5" s="13"/>
      <c r="B5" s="13"/>
      <c r="C5" s="46">
        <v>2.0</v>
      </c>
      <c r="D5" s="47">
        <v>0.160873206047905</v>
      </c>
      <c r="E5" s="47">
        <v>0.603008</v>
      </c>
      <c r="F5" s="48"/>
      <c r="G5" s="48"/>
      <c r="H5" s="48"/>
      <c r="I5" s="48"/>
      <c r="J5" s="48"/>
      <c r="K5" s="48"/>
      <c r="L5" s="48"/>
      <c r="M5" s="48"/>
      <c r="N5" s="48"/>
      <c r="O5" s="48"/>
      <c r="P5" s="47"/>
      <c r="Q5" s="47"/>
      <c r="R5" s="47"/>
      <c r="S5" s="47"/>
      <c r="T5" s="47"/>
      <c r="U5" s="47"/>
      <c r="V5" s="47"/>
      <c r="W5" s="47"/>
      <c r="X5" s="47"/>
      <c r="Y5" s="47"/>
      <c r="Z5" s="47"/>
      <c r="AA5" s="47"/>
      <c r="AB5" s="47"/>
      <c r="AC5" s="47"/>
      <c r="AD5" s="47"/>
      <c r="AE5" s="47"/>
      <c r="AF5" s="47"/>
      <c r="AG5" s="47"/>
      <c r="AH5" s="47"/>
      <c r="AI5" s="47"/>
      <c r="AJ5" s="47"/>
      <c r="AK5" s="47"/>
      <c r="AL5" s="47"/>
      <c r="AM5" s="47"/>
      <c r="AN5" s="47"/>
      <c r="AO5" s="49"/>
      <c r="AP5" s="49"/>
      <c r="AQ5" s="49"/>
    </row>
    <row r="6">
      <c r="A6" s="13"/>
      <c r="B6" s="13"/>
      <c r="C6" s="46">
        <v>3.0</v>
      </c>
      <c r="D6" s="47">
        <v>0.160873206047905</v>
      </c>
      <c r="E6" s="47">
        <v>0.603008</v>
      </c>
      <c r="F6" s="48"/>
      <c r="G6" s="48"/>
      <c r="H6" s="48"/>
      <c r="I6" s="48"/>
      <c r="J6" s="48"/>
      <c r="K6" s="48"/>
      <c r="L6" s="48"/>
      <c r="M6" s="48"/>
      <c r="N6" s="48"/>
      <c r="O6" s="48"/>
      <c r="P6" s="47"/>
      <c r="Q6" s="47"/>
      <c r="R6" s="47"/>
      <c r="S6" s="47"/>
      <c r="T6" s="47"/>
      <c r="U6" s="47"/>
      <c r="V6" s="47"/>
      <c r="W6" s="47"/>
      <c r="X6" s="47"/>
      <c r="Y6" s="47"/>
      <c r="Z6" s="47"/>
      <c r="AA6" s="47"/>
      <c r="AB6" s="47"/>
      <c r="AC6" s="47"/>
      <c r="AD6" s="47"/>
      <c r="AE6" s="47"/>
      <c r="AF6" s="47"/>
      <c r="AG6" s="47"/>
      <c r="AH6" s="47"/>
      <c r="AI6" s="47"/>
      <c r="AJ6" s="47"/>
      <c r="AK6" s="47"/>
      <c r="AL6" s="47"/>
      <c r="AM6" s="47"/>
      <c r="AN6" s="47"/>
      <c r="AO6" s="49"/>
      <c r="AP6" s="49"/>
      <c r="AQ6" s="49"/>
    </row>
    <row r="7">
      <c r="A7" s="13"/>
      <c r="B7" s="16"/>
      <c r="C7" s="46">
        <v>4.0</v>
      </c>
      <c r="D7" s="47">
        <v>0.160873206047905</v>
      </c>
      <c r="E7" s="47">
        <v>0.603008</v>
      </c>
      <c r="F7" s="48"/>
      <c r="G7" s="48"/>
      <c r="H7" s="48"/>
      <c r="I7" s="48"/>
      <c r="J7" s="48"/>
      <c r="K7" s="48"/>
      <c r="L7" s="48"/>
      <c r="M7" s="48"/>
      <c r="N7" s="48"/>
      <c r="O7" s="48"/>
      <c r="P7" s="47"/>
      <c r="Q7" s="47"/>
      <c r="R7" s="47"/>
      <c r="S7" s="47"/>
      <c r="T7" s="47"/>
      <c r="U7" s="47"/>
      <c r="V7" s="47"/>
      <c r="W7" s="47"/>
      <c r="X7" s="47"/>
      <c r="Y7" s="47"/>
      <c r="Z7" s="47"/>
      <c r="AA7" s="47"/>
      <c r="AB7" s="47"/>
      <c r="AC7" s="47"/>
      <c r="AD7" s="47"/>
      <c r="AE7" s="47"/>
      <c r="AF7" s="47"/>
      <c r="AG7" s="47"/>
      <c r="AH7" s="47"/>
      <c r="AI7" s="47"/>
      <c r="AJ7" s="47"/>
      <c r="AK7" s="47"/>
      <c r="AL7" s="47"/>
      <c r="AM7" s="47"/>
      <c r="AN7" s="47"/>
      <c r="AO7" s="49"/>
      <c r="AP7" s="49"/>
      <c r="AQ7" s="49"/>
    </row>
    <row r="8">
      <c r="A8" s="13"/>
      <c r="B8" s="50" t="s">
        <v>23</v>
      </c>
      <c r="C8" s="46">
        <v>1.0</v>
      </c>
      <c r="D8" s="47">
        <v>0.160873206047905</v>
      </c>
      <c r="E8" s="47">
        <v>0.603008</v>
      </c>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9"/>
      <c r="AP8" s="49"/>
      <c r="AQ8" s="49"/>
    </row>
    <row r="9">
      <c r="A9" s="13"/>
      <c r="B9" s="13"/>
      <c r="C9" s="46">
        <v>2.0</v>
      </c>
      <c r="D9" s="47">
        <v>0.160873206047905</v>
      </c>
      <c r="E9" s="47">
        <v>0.603008</v>
      </c>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9"/>
      <c r="AP9" s="49"/>
      <c r="AQ9" s="49"/>
    </row>
    <row r="10">
      <c r="A10" s="13"/>
      <c r="B10" s="13"/>
      <c r="C10" s="46">
        <v>3.0</v>
      </c>
      <c r="D10" s="47">
        <v>0.160873206047905</v>
      </c>
      <c r="E10" s="47">
        <v>0.603008</v>
      </c>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9"/>
      <c r="AP10" s="49"/>
      <c r="AQ10" s="49"/>
    </row>
    <row r="11">
      <c r="A11" s="13"/>
      <c r="B11" s="16"/>
      <c r="C11" s="46">
        <v>4.0</v>
      </c>
      <c r="D11" s="47">
        <v>0.160873206047905</v>
      </c>
      <c r="E11" s="47">
        <v>0.603008</v>
      </c>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9"/>
      <c r="AP11" s="49"/>
      <c r="AQ11" s="49"/>
    </row>
    <row r="12">
      <c r="A12" s="13"/>
      <c r="B12" s="51" t="s">
        <v>24</v>
      </c>
      <c r="C12" s="46">
        <v>1.0</v>
      </c>
      <c r="D12" s="47">
        <v>0.160873206047905</v>
      </c>
      <c r="E12" s="47">
        <v>0.603008</v>
      </c>
      <c r="F12" s="48">
        <v>1.0</v>
      </c>
      <c r="G12" s="48">
        <v>0.685435</v>
      </c>
      <c r="H12" s="48">
        <v>0.732444</v>
      </c>
      <c r="I12" s="48">
        <v>0.649238</v>
      </c>
      <c r="J12" s="48">
        <v>0.732442</v>
      </c>
      <c r="K12" s="47">
        <v>0.795163</v>
      </c>
      <c r="L12" s="48">
        <v>0.215232</v>
      </c>
      <c r="M12" s="48">
        <v>0.625008</v>
      </c>
      <c r="N12" s="48">
        <f t="shared" ref="N12:N315" si="1">(S12*X12*((AA12+1)/2)*((AB12+1)/2))^(1/4)</f>
        <v>0.4245500889</v>
      </c>
      <c r="O12" s="48">
        <f t="shared" ref="O12:O315" si="2"> 100* (N12^0.6)*(M12^0.4)</f>
        <v>49.55775134</v>
      </c>
      <c r="P12" s="48">
        <v>1382.501821</v>
      </c>
      <c r="Q12" s="48">
        <v>0.021873</v>
      </c>
      <c r="R12" s="48">
        <v>0.545594</v>
      </c>
      <c r="S12" s="48">
        <v>0.51168</v>
      </c>
      <c r="T12" s="48">
        <v>0.335197</v>
      </c>
      <c r="U12" s="48">
        <v>0.996405</v>
      </c>
      <c r="V12" s="48">
        <v>0.51168</v>
      </c>
      <c r="W12" s="48">
        <v>0.545594</v>
      </c>
      <c r="X12" s="48">
        <v>0.23889</v>
      </c>
      <c r="Y12" s="48">
        <v>0.702971</v>
      </c>
      <c r="Z12" s="48">
        <v>0.0</v>
      </c>
      <c r="AA12" s="48">
        <v>0.055512</v>
      </c>
      <c r="AB12" s="48">
        <v>0.007201</v>
      </c>
      <c r="AC12" s="48">
        <v>0.0</v>
      </c>
      <c r="AD12" s="48">
        <v>0.0</v>
      </c>
      <c r="AE12" s="48">
        <v>0.0</v>
      </c>
      <c r="AF12" s="48">
        <v>0.0</v>
      </c>
      <c r="AG12" s="48">
        <v>0.005639</v>
      </c>
      <c r="AH12" s="48">
        <v>0.990083</v>
      </c>
      <c r="AI12" s="48">
        <v>0.011214</v>
      </c>
      <c r="AJ12" s="48">
        <v>0.73419</v>
      </c>
      <c r="AK12" s="48">
        <v>0.999952</v>
      </c>
      <c r="AL12" s="48">
        <v>0.544958</v>
      </c>
      <c r="AM12" s="48">
        <v>0.705455</v>
      </c>
      <c r="AN12" s="48">
        <v>0.735533</v>
      </c>
      <c r="AO12" s="49"/>
      <c r="AP12" s="49"/>
      <c r="AQ12" s="49"/>
    </row>
    <row r="13">
      <c r="A13" s="13"/>
      <c r="B13" s="13"/>
      <c r="C13" s="46">
        <v>2.0</v>
      </c>
      <c r="D13" s="47">
        <v>0.160873206047905</v>
      </c>
      <c r="E13" s="47">
        <v>0.603008</v>
      </c>
      <c r="F13" s="48">
        <v>1.0</v>
      </c>
      <c r="G13" s="48">
        <v>0.728741</v>
      </c>
      <c r="H13" s="48">
        <v>0.710491</v>
      </c>
      <c r="I13" s="48">
        <v>0.645371</v>
      </c>
      <c r="J13" s="48">
        <v>0.710489</v>
      </c>
      <c r="K13" s="47">
        <v>0.584368</v>
      </c>
      <c r="L13" s="48">
        <v>0.110112</v>
      </c>
      <c r="M13" s="48">
        <v>0.525099</v>
      </c>
      <c r="N13" s="48">
        <f t="shared" si="1"/>
        <v>0.4186093395</v>
      </c>
      <c r="O13" s="48">
        <f t="shared" si="2"/>
        <v>45.83337356</v>
      </c>
      <c r="P13" s="48">
        <v>1382.501821</v>
      </c>
      <c r="Q13" s="48">
        <v>0.011387</v>
      </c>
      <c r="R13" s="48">
        <v>0.516741</v>
      </c>
      <c r="S13" s="48">
        <v>0.503127</v>
      </c>
      <c r="T13" s="48">
        <v>0.335096</v>
      </c>
      <c r="U13" s="48">
        <v>0.996418</v>
      </c>
      <c r="V13" s="48">
        <v>0.503127</v>
      </c>
      <c r="W13" s="48">
        <v>0.516741</v>
      </c>
      <c r="X13" s="48">
        <v>0.230437</v>
      </c>
      <c r="Y13" s="48">
        <v>0.678328</v>
      </c>
      <c r="Z13" s="48">
        <v>0.0</v>
      </c>
      <c r="AA13" s="48">
        <v>0.052629</v>
      </c>
      <c r="AB13" s="48">
        <v>0.006446</v>
      </c>
      <c r="AC13" s="48">
        <v>0.0</v>
      </c>
      <c r="AD13" s="48">
        <v>0.0</v>
      </c>
      <c r="AE13" s="48">
        <v>0.0</v>
      </c>
      <c r="AF13" s="48">
        <v>0.0</v>
      </c>
      <c r="AG13" s="48">
        <v>0.005322</v>
      </c>
      <c r="AH13" s="48">
        <v>0.993388</v>
      </c>
      <c r="AI13" s="48">
        <v>0.010587</v>
      </c>
      <c r="AJ13" s="48">
        <v>0.715604</v>
      </c>
      <c r="AK13" s="48">
        <v>0.999967</v>
      </c>
      <c r="AL13" s="48">
        <v>0.515994</v>
      </c>
      <c r="AM13" s="48">
        <v>0.680725</v>
      </c>
      <c r="AN13" s="48">
        <v>0.71659</v>
      </c>
      <c r="AO13" s="49"/>
      <c r="AP13" s="49"/>
      <c r="AQ13" s="49"/>
    </row>
    <row r="14">
      <c r="A14" s="13"/>
      <c r="B14" s="13"/>
      <c r="C14" s="46">
        <v>3.0</v>
      </c>
      <c r="D14" s="47">
        <v>0.160873206047905</v>
      </c>
      <c r="E14" s="47">
        <v>0.603008</v>
      </c>
      <c r="F14" s="48">
        <v>1.0</v>
      </c>
      <c r="G14" s="48">
        <v>0.638858</v>
      </c>
      <c r="H14" s="48">
        <v>0.638085</v>
      </c>
      <c r="I14" s="48">
        <v>0.610309</v>
      </c>
      <c r="J14" s="48">
        <v>0.638083</v>
      </c>
      <c r="K14" s="47">
        <v>0.370955</v>
      </c>
      <c r="L14" s="48">
        <v>0.040952</v>
      </c>
      <c r="M14" s="48">
        <v>0.394594</v>
      </c>
      <c r="N14" s="48">
        <f t="shared" si="1"/>
        <v>0.4100259225</v>
      </c>
      <c r="O14" s="48">
        <f t="shared" si="2"/>
        <v>40.3782023</v>
      </c>
      <c r="P14" s="48">
        <v>1382.501821</v>
      </c>
      <c r="Q14" s="48">
        <v>0.008802</v>
      </c>
      <c r="R14" s="48">
        <v>0.426336</v>
      </c>
      <c r="S14" s="48">
        <v>0.45732</v>
      </c>
      <c r="T14" s="48">
        <v>0.363438</v>
      </c>
      <c r="U14" s="48">
        <v>0.996157</v>
      </c>
      <c r="V14" s="48">
        <v>0.45732</v>
      </c>
      <c r="W14" s="48">
        <v>0.426336</v>
      </c>
      <c r="X14" s="48">
        <v>0.237962</v>
      </c>
      <c r="Y14" s="48">
        <v>0.595044</v>
      </c>
      <c r="Z14" s="48">
        <v>0.522966</v>
      </c>
      <c r="AA14" s="48">
        <v>0.035176</v>
      </c>
      <c r="AB14" s="48">
        <v>0.003606</v>
      </c>
      <c r="AC14" s="48">
        <v>0.087071</v>
      </c>
      <c r="AD14" s="48">
        <v>0.147982</v>
      </c>
      <c r="AE14" s="48">
        <v>0.109635</v>
      </c>
      <c r="AF14" s="48">
        <v>0.384398</v>
      </c>
      <c r="AG14" s="48">
        <v>0.003619</v>
      </c>
      <c r="AH14" s="48">
        <v>0.798347</v>
      </c>
      <c r="AI14" s="48">
        <v>0.007206</v>
      </c>
      <c r="AJ14" s="48">
        <v>0.583513</v>
      </c>
      <c r="AK14" s="48">
        <v>0.999625</v>
      </c>
      <c r="AL14" s="48">
        <v>0.425632</v>
      </c>
      <c r="AM14" s="48">
        <v>0.597046</v>
      </c>
      <c r="AN14" s="48">
        <v>0.637661</v>
      </c>
      <c r="AO14" s="49"/>
      <c r="AP14" s="49"/>
      <c r="AQ14" s="49"/>
    </row>
    <row r="15">
      <c r="A15" s="13"/>
      <c r="B15" s="16"/>
      <c r="C15" s="46">
        <v>4.0</v>
      </c>
      <c r="D15" s="47">
        <v>0.160873206047905</v>
      </c>
      <c r="E15" s="47">
        <v>0.603008</v>
      </c>
      <c r="F15" s="48">
        <v>1.0</v>
      </c>
      <c r="G15" s="48">
        <v>0.657068</v>
      </c>
      <c r="H15" s="48">
        <v>0.646802</v>
      </c>
      <c r="I15" s="48">
        <v>0.635604</v>
      </c>
      <c r="J15" s="48">
        <v>0.6468</v>
      </c>
      <c r="K15" s="47">
        <v>0.156058</v>
      </c>
      <c r="L15" s="48">
        <v>0.01771</v>
      </c>
      <c r="M15" s="48">
        <v>0.300404</v>
      </c>
      <c r="N15" s="48">
        <f t="shared" si="1"/>
        <v>0.4258173437</v>
      </c>
      <c r="O15" s="48">
        <f t="shared" si="2"/>
        <v>37.03533628</v>
      </c>
      <c r="P15" s="48">
        <v>1382.501821</v>
      </c>
      <c r="Q15" s="48">
        <v>0.008185</v>
      </c>
      <c r="R15" s="48">
        <v>0.435624</v>
      </c>
      <c r="S15" s="48">
        <v>0.508717</v>
      </c>
      <c r="T15" s="48">
        <v>0.361721</v>
      </c>
      <c r="U15" s="48">
        <v>0.995775</v>
      </c>
      <c r="V15" s="48">
        <v>0.508717</v>
      </c>
      <c r="W15" s="48">
        <v>0.435624</v>
      </c>
      <c r="X15" s="48">
        <v>0.249296</v>
      </c>
      <c r="Y15" s="48">
        <v>0.604067</v>
      </c>
      <c r="Z15" s="48">
        <v>0.598946</v>
      </c>
      <c r="AA15" s="48">
        <v>0.033348</v>
      </c>
      <c r="AB15" s="48">
        <v>0.003495</v>
      </c>
      <c r="AC15" s="48">
        <v>0.082587</v>
      </c>
      <c r="AD15" s="48">
        <v>0.372197</v>
      </c>
      <c r="AE15" s="48">
        <v>0.135179</v>
      </c>
      <c r="AF15" s="48">
        <v>0.608867</v>
      </c>
      <c r="AG15" s="48">
        <v>0.00333</v>
      </c>
      <c r="AH15" s="48">
        <v>0.719008</v>
      </c>
      <c r="AI15" s="48">
        <v>0.006629</v>
      </c>
      <c r="AJ15" s="48">
        <v>0.561474</v>
      </c>
      <c r="AK15" s="48">
        <v>0.999246</v>
      </c>
      <c r="AL15" s="48">
        <v>0.434944</v>
      </c>
      <c r="AM15" s="48">
        <v>0.606079</v>
      </c>
      <c r="AN15" s="48">
        <v>0.628508</v>
      </c>
      <c r="AO15" s="49"/>
      <c r="AP15" s="49"/>
      <c r="AQ15" s="49"/>
    </row>
    <row r="16">
      <c r="A16" s="13"/>
      <c r="B16" s="51" t="s">
        <v>25</v>
      </c>
      <c r="C16" s="46">
        <v>1.0</v>
      </c>
      <c r="D16" s="47">
        <v>0.160873206047905</v>
      </c>
      <c r="E16" s="47">
        <v>0.603008</v>
      </c>
      <c r="F16" s="48">
        <v>1.0</v>
      </c>
      <c r="G16" s="48">
        <v>0.0</v>
      </c>
      <c r="H16" s="48">
        <v>0.998217</v>
      </c>
      <c r="I16" s="48">
        <v>9.0E-6</v>
      </c>
      <c r="J16" s="48">
        <v>0.998217</v>
      </c>
      <c r="K16" s="47">
        <v>0.795163</v>
      </c>
      <c r="L16" s="48">
        <v>0.215232</v>
      </c>
      <c r="M16" s="48">
        <v>0.108016</v>
      </c>
      <c r="N16" s="48">
        <f t="shared" si="1"/>
        <v>0.40806609</v>
      </c>
      <c r="O16" s="48">
        <f t="shared" si="2"/>
        <v>23.97913652</v>
      </c>
      <c r="P16" s="48">
        <v>1503.049426</v>
      </c>
      <c r="Q16" s="48">
        <v>0.012032</v>
      </c>
      <c r="R16" s="48">
        <v>0.996438</v>
      </c>
      <c r="S16" s="48">
        <v>0.333333</v>
      </c>
      <c r="T16" s="48">
        <v>0.332146</v>
      </c>
      <c r="U16" s="48">
        <v>0.992889</v>
      </c>
      <c r="V16" s="48">
        <v>0.333333</v>
      </c>
      <c r="W16" s="48">
        <v>0.996438</v>
      </c>
      <c r="X16" s="48">
        <v>0.332739</v>
      </c>
      <c r="Y16" s="48">
        <v>0.99466</v>
      </c>
      <c r="Z16" s="48">
        <v>0.0</v>
      </c>
      <c r="AA16" s="48">
        <v>0.0</v>
      </c>
      <c r="AB16" s="48">
        <v>0.0</v>
      </c>
      <c r="AC16" s="48">
        <v>0.0</v>
      </c>
      <c r="AD16" s="48">
        <v>0.0</v>
      </c>
      <c r="AE16" s="48">
        <v>0.0</v>
      </c>
      <c r="AF16" s="48">
        <v>0.0</v>
      </c>
      <c r="AG16" s="48">
        <v>0.0</v>
      </c>
      <c r="AH16" s="48">
        <v>0.0</v>
      </c>
      <c r="AI16" s="48">
        <v>0.0</v>
      </c>
      <c r="AJ16" s="48">
        <v>0.0</v>
      </c>
      <c r="AK16" s="48">
        <v>0.996438</v>
      </c>
      <c r="AL16" s="48">
        <v>1.0</v>
      </c>
      <c r="AM16" s="48">
        <v>0.998216</v>
      </c>
      <c r="AN16" s="48">
        <v>0.0</v>
      </c>
      <c r="AO16" s="49"/>
      <c r="AP16" s="49"/>
      <c r="AQ16" s="49"/>
    </row>
    <row r="17">
      <c r="A17" s="13"/>
      <c r="B17" s="13"/>
      <c r="C17" s="46">
        <v>2.0</v>
      </c>
      <c r="D17" s="47">
        <v>0.160873206047905</v>
      </c>
      <c r="E17" s="47">
        <v>0.603008</v>
      </c>
      <c r="F17" s="48">
        <v>1.0</v>
      </c>
      <c r="G17" s="48">
        <v>0.0</v>
      </c>
      <c r="H17" s="48">
        <v>0.998217</v>
      </c>
      <c r="I17" s="48">
        <v>2.9E-5</v>
      </c>
      <c r="J17" s="48">
        <v>0.998217</v>
      </c>
      <c r="K17" s="47">
        <v>0.584368</v>
      </c>
      <c r="L17" s="48">
        <v>0.110112</v>
      </c>
      <c r="M17" s="48">
        <v>0.111075</v>
      </c>
      <c r="N17" s="48">
        <f t="shared" si="1"/>
        <v>0.40806609</v>
      </c>
      <c r="O17" s="48">
        <f t="shared" si="2"/>
        <v>24.24849745</v>
      </c>
      <c r="P17" s="48">
        <v>1503.049426</v>
      </c>
      <c r="Q17" s="48">
        <v>0.010857</v>
      </c>
      <c r="R17" s="48">
        <v>0.996438</v>
      </c>
      <c r="S17" s="48">
        <v>0.333333</v>
      </c>
      <c r="T17" s="48">
        <v>0.332146</v>
      </c>
      <c r="U17" s="48">
        <v>0.992889</v>
      </c>
      <c r="V17" s="48">
        <v>0.333333</v>
      </c>
      <c r="W17" s="48">
        <v>0.996438</v>
      </c>
      <c r="X17" s="48">
        <v>0.332739</v>
      </c>
      <c r="Y17" s="48">
        <v>0.99466</v>
      </c>
      <c r="Z17" s="48">
        <v>0.0</v>
      </c>
      <c r="AA17" s="48">
        <v>0.0</v>
      </c>
      <c r="AB17" s="48">
        <v>0.0</v>
      </c>
      <c r="AC17" s="48">
        <v>0.0</v>
      </c>
      <c r="AD17" s="48">
        <v>0.0</v>
      </c>
      <c r="AE17" s="48">
        <v>0.0</v>
      </c>
      <c r="AF17" s="48">
        <v>0.0</v>
      </c>
      <c r="AG17" s="48">
        <v>0.0</v>
      </c>
      <c r="AH17" s="48">
        <v>0.0</v>
      </c>
      <c r="AI17" s="48">
        <v>0.0</v>
      </c>
      <c r="AJ17" s="48">
        <v>0.0</v>
      </c>
      <c r="AK17" s="48">
        <v>0.996438</v>
      </c>
      <c r="AL17" s="48">
        <v>1.0</v>
      </c>
      <c r="AM17" s="48">
        <v>0.998216</v>
      </c>
      <c r="AN17" s="48">
        <v>0.0</v>
      </c>
      <c r="AO17" s="49"/>
      <c r="AP17" s="49"/>
      <c r="AQ17" s="49"/>
    </row>
    <row r="18">
      <c r="A18" s="13"/>
      <c r="B18" s="13"/>
      <c r="C18" s="46">
        <v>3.0</v>
      </c>
      <c r="D18" s="47">
        <v>0.160873206047905</v>
      </c>
      <c r="E18" s="47">
        <v>0.603008</v>
      </c>
      <c r="F18" s="48">
        <v>1.0</v>
      </c>
      <c r="G18" s="48">
        <v>1.03E-4</v>
      </c>
      <c r="H18" s="48">
        <v>0.998413</v>
      </c>
      <c r="I18" s="48">
        <v>8.41E-4</v>
      </c>
      <c r="J18" s="48">
        <v>0.998414</v>
      </c>
      <c r="K18" s="47">
        <v>0.370955</v>
      </c>
      <c r="L18" s="48">
        <v>0.040952</v>
      </c>
      <c r="M18" s="48">
        <v>0.152816</v>
      </c>
      <c r="N18" s="48">
        <f t="shared" si="1"/>
        <v>0.4112499939</v>
      </c>
      <c r="O18" s="48">
        <f t="shared" si="2"/>
        <v>27.67776858</v>
      </c>
      <c r="P18" s="48">
        <v>1503.049426</v>
      </c>
      <c r="Q18" s="48">
        <v>0.009456</v>
      </c>
      <c r="R18" s="48">
        <v>0.996386</v>
      </c>
      <c r="S18" s="48">
        <v>0.334415</v>
      </c>
      <c r="T18" s="48">
        <v>0.373815</v>
      </c>
      <c r="U18" s="48">
        <v>0.993222</v>
      </c>
      <c r="V18" s="48">
        <v>0.334415</v>
      </c>
      <c r="W18" s="48">
        <v>0.996386</v>
      </c>
      <c r="X18" s="48">
        <v>0.334877</v>
      </c>
      <c r="Y18" s="48">
        <v>0.994651</v>
      </c>
      <c r="Z18" s="48">
        <v>0.0</v>
      </c>
      <c r="AA18" s="48">
        <v>0.016973</v>
      </c>
      <c r="AB18" s="48">
        <v>0.004623</v>
      </c>
      <c r="AC18" s="48">
        <v>0.0</v>
      </c>
      <c r="AD18" s="48">
        <v>0.0</v>
      </c>
      <c r="AE18" s="48">
        <v>0.0</v>
      </c>
      <c r="AF18" s="48">
        <v>0.0</v>
      </c>
      <c r="AG18" s="48">
        <v>0.125</v>
      </c>
      <c r="AH18" s="48">
        <v>0.003306</v>
      </c>
      <c r="AI18" s="48">
        <v>0.006441</v>
      </c>
      <c r="AJ18" s="48">
        <v>0.057494</v>
      </c>
      <c r="AK18" s="48">
        <v>0.996446</v>
      </c>
      <c r="AL18" s="48">
        <v>0.99994</v>
      </c>
      <c r="AM18" s="48">
        <v>0.99819</v>
      </c>
      <c r="AN18" s="48">
        <v>0.049146</v>
      </c>
      <c r="AO18" s="49"/>
      <c r="AP18" s="49"/>
      <c r="AQ18" s="49"/>
    </row>
    <row r="19">
      <c r="A19" s="13"/>
      <c r="B19" s="16"/>
      <c r="C19" s="46">
        <v>4.0</v>
      </c>
      <c r="D19" s="47">
        <v>0.160873206047905</v>
      </c>
      <c r="E19" s="47">
        <v>0.603008</v>
      </c>
      <c r="F19" s="48">
        <v>1.0</v>
      </c>
      <c r="G19" s="48">
        <v>0.002252</v>
      </c>
      <c r="H19" s="48">
        <v>0.999487</v>
      </c>
      <c r="I19" s="48">
        <v>9.78E-4</v>
      </c>
      <c r="J19" s="48">
        <v>0.999487</v>
      </c>
      <c r="K19" s="47">
        <v>0.156058</v>
      </c>
      <c r="L19" s="48">
        <v>0.01771</v>
      </c>
      <c r="M19" s="48">
        <v>0.118008</v>
      </c>
      <c r="N19" s="48">
        <f t="shared" si="1"/>
        <v>0.4529301064</v>
      </c>
      <c r="O19" s="48">
        <f t="shared" si="2"/>
        <v>26.44741887</v>
      </c>
      <c r="P19" s="48">
        <v>1503.049426</v>
      </c>
      <c r="Q19" s="48">
        <v>0.008955</v>
      </c>
      <c r="R19" s="48">
        <v>0.995457</v>
      </c>
      <c r="S19" s="48">
        <v>0.363946</v>
      </c>
      <c r="T19" s="48">
        <v>0.656953</v>
      </c>
      <c r="U19" s="48">
        <v>0.994332</v>
      </c>
      <c r="V19" s="48">
        <v>0.363946</v>
      </c>
      <c r="W19" s="48">
        <v>0.995457</v>
      </c>
      <c r="X19" s="48">
        <v>0.378146</v>
      </c>
      <c r="Y19" s="48">
        <v>0.994501</v>
      </c>
      <c r="Z19" s="48">
        <v>0.233176</v>
      </c>
      <c r="AA19" s="48">
        <v>0.110795</v>
      </c>
      <c r="AB19" s="48">
        <v>0.10117</v>
      </c>
      <c r="AC19" s="48">
        <v>0.857143</v>
      </c>
      <c r="AD19" s="48">
        <v>0.026906</v>
      </c>
      <c r="AE19" s="48">
        <v>0.052174</v>
      </c>
      <c r="AF19" s="48">
        <v>0.16403</v>
      </c>
      <c r="AG19" s="48">
        <v>0.116959</v>
      </c>
      <c r="AH19" s="48">
        <v>0.066116</v>
      </c>
      <c r="AI19" s="48">
        <v>0.084477</v>
      </c>
      <c r="AJ19" s="48">
        <v>0.256962</v>
      </c>
      <c r="AK19" s="48">
        <v>0.996756</v>
      </c>
      <c r="AL19" s="48">
        <v>0.998817</v>
      </c>
      <c r="AM19" s="48">
        <v>0.997785</v>
      </c>
      <c r="AN19" s="48">
        <v>0.300787</v>
      </c>
      <c r="AO19" s="49"/>
      <c r="AP19" s="49"/>
      <c r="AQ19" s="49"/>
    </row>
    <row r="20">
      <c r="A20" s="13"/>
      <c r="B20" s="51" t="s">
        <v>26</v>
      </c>
      <c r="C20" s="46">
        <v>1.0</v>
      </c>
      <c r="D20" s="47">
        <v>0.160873206047905</v>
      </c>
      <c r="E20" s="47">
        <v>0.603008</v>
      </c>
      <c r="F20" s="48">
        <v>1.0</v>
      </c>
      <c r="G20" s="48">
        <v>0.0</v>
      </c>
      <c r="H20" s="48">
        <v>0.998217</v>
      </c>
      <c r="I20" s="48">
        <v>2.4E-5</v>
      </c>
      <c r="J20" s="48">
        <v>0.998217</v>
      </c>
      <c r="K20" s="47">
        <v>0.795163</v>
      </c>
      <c r="L20" s="48">
        <v>0.215232</v>
      </c>
      <c r="M20" s="48">
        <v>0.126212</v>
      </c>
      <c r="N20" s="48">
        <f t="shared" si="1"/>
        <v>0.40806609</v>
      </c>
      <c r="O20" s="48">
        <f t="shared" si="2"/>
        <v>25.51987622</v>
      </c>
      <c r="P20" s="48">
        <v>1468.151891</v>
      </c>
      <c r="Q20" s="48">
        <v>0.010459</v>
      </c>
      <c r="R20" s="48">
        <v>0.996438</v>
      </c>
      <c r="S20" s="48">
        <v>0.333333</v>
      </c>
      <c r="T20" s="48">
        <v>0.332146</v>
      </c>
      <c r="U20" s="48">
        <v>0.992889</v>
      </c>
      <c r="V20" s="48">
        <v>0.333333</v>
      </c>
      <c r="W20" s="48">
        <v>0.996438</v>
      </c>
      <c r="X20" s="48">
        <v>0.332739</v>
      </c>
      <c r="Y20" s="48">
        <v>0.99466</v>
      </c>
      <c r="Z20" s="48">
        <v>0.0</v>
      </c>
      <c r="AA20" s="48">
        <v>0.0</v>
      </c>
      <c r="AB20" s="48">
        <v>0.0</v>
      </c>
      <c r="AC20" s="48">
        <v>0.0</v>
      </c>
      <c r="AD20" s="48">
        <v>0.0</v>
      </c>
      <c r="AE20" s="48">
        <v>0.0</v>
      </c>
      <c r="AF20" s="48">
        <v>0.0</v>
      </c>
      <c r="AG20" s="48">
        <v>0.0</v>
      </c>
      <c r="AH20" s="48">
        <v>0.0</v>
      </c>
      <c r="AI20" s="48">
        <v>0.0</v>
      </c>
      <c r="AJ20" s="48">
        <v>0.0</v>
      </c>
      <c r="AK20" s="48">
        <v>0.996438</v>
      </c>
      <c r="AL20" s="48">
        <v>1.0</v>
      </c>
      <c r="AM20" s="48">
        <v>0.998216</v>
      </c>
      <c r="AN20" s="48">
        <v>0.0</v>
      </c>
      <c r="AO20" s="49"/>
      <c r="AP20" s="49"/>
      <c r="AQ20" s="49"/>
    </row>
    <row r="21">
      <c r="A21" s="13"/>
      <c r="B21" s="13"/>
      <c r="C21" s="46">
        <v>2.0</v>
      </c>
      <c r="D21" s="47">
        <v>0.160873206047905</v>
      </c>
      <c r="E21" s="47">
        <v>0.603008</v>
      </c>
      <c r="F21" s="48">
        <v>1.0</v>
      </c>
      <c r="G21" s="48">
        <v>0.0</v>
      </c>
      <c r="H21" s="48">
        <v>0.998217</v>
      </c>
      <c r="I21" s="48">
        <v>6.2E-5</v>
      </c>
      <c r="J21" s="48">
        <v>0.998217</v>
      </c>
      <c r="K21" s="47">
        <v>0.584368</v>
      </c>
      <c r="L21" s="48">
        <v>0.110112</v>
      </c>
      <c r="M21" s="48">
        <v>0.125792</v>
      </c>
      <c r="N21" s="48">
        <f t="shared" si="1"/>
        <v>0.40806609</v>
      </c>
      <c r="O21" s="48">
        <f t="shared" si="2"/>
        <v>25.4858729</v>
      </c>
      <c r="P21" s="48">
        <v>1468.151891</v>
      </c>
      <c r="Q21" s="48">
        <v>0.009724</v>
      </c>
      <c r="R21" s="48">
        <v>0.996438</v>
      </c>
      <c r="S21" s="48">
        <v>0.333333</v>
      </c>
      <c r="T21" s="48">
        <v>0.332146</v>
      </c>
      <c r="U21" s="48">
        <v>0.992889</v>
      </c>
      <c r="V21" s="48">
        <v>0.333333</v>
      </c>
      <c r="W21" s="48">
        <v>0.996438</v>
      </c>
      <c r="X21" s="48">
        <v>0.332739</v>
      </c>
      <c r="Y21" s="48">
        <v>0.99466</v>
      </c>
      <c r="Z21" s="48">
        <v>0.0</v>
      </c>
      <c r="AA21" s="48">
        <v>0.0</v>
      </c>
      <c r="AB21" s="48">
        <v>0.0</v>
      </c>
      <c r="AC21" s="48">
        <v>0.0</v>
      </c>
      <c r="AD21" s="48">
        <v>0.0</v>
      </c>
      <c r="AE21" s="48">
        <v>0.0</v>
      </c>
      <c r="AF21" s="48">
        <v>0.0</v>
      </c>
      <c r="AG21" s="48">
        <v>0.0</v>
      </c>
      <c r="AH21" s="48">
        <v>0.0</v>
      </c>
      <c r="AI21" s="48">
        <v>0.0</v>
      </c>
      <c r="AJ21" s="48">
        <v>0.0</v>
      </c>
      <c r="AK21" s="48">
        <v>0.996438</v>
      </c>
      <c r="AL21" s="48">
        <v>1.0</v>
      </c>
      <c r="AM21" s="48">
        <v>0.998216</v>
      </c>
      <c r="AN21" s="48">
        <v>0.0</v>
      </c>
      <c r="AO21" s="49"/>
      <c r="AP21" s="49"/>
      <c r="AQ21" s="49"/>
    </row>
    <row r="22">
      <c r="A22" s="13"/>
      <c r="B22" s="13"/>
      <c r="C22" s="46">
        <v>3.0</v>
      </c>
      <c r="D22" s="47">
        <v>0.160873206047905</v>
      </c>
      <c r="E22" s="47">
        <v>0.603008</v>
      </c>
      <c r="F22" s="48">
        <v>1.0</v>
      </c>
      <c r="G22" s="48">
        <v>7.7E-5</v>
      </c>
      <c r="H22" s="48">
        <v>0.998375</v>
      </c>
      <c r="I22" s="48">
        <v>5.37E-4</v>
      </c>
      <c r="J22" s="48">
        <v>0.998375</v>
      </c>
      <c r="K22" s="47">
        <v>0.370955</v>
      </c>
      <c r="L22" s="48">
        <v>0.040952</v>
      </c>
      <c r="M22" s="48">
        <v>0.141812</v>
      </c>
      <c r="N22" s="48">
        <f t="shared" si="1"/>
        <v>0.4097776451</v>
      </c>
      <c r="O22" s="48">
        <f t="shared" si="2"/>
        <v>26.80489746</v>
      </c>
      <c r="P22" s="48">
        <v>1468.151891</v>
      </c>
      <c r="Q22" s="48">
        <v>0.009399</v>
      </c>
      <c r="R22" s="48">
        <v>0.996395</v>
      </c>
      <c r="S22" s="48">
        <v>0.333868</v>
      </c>
      <c r="T22" s="48">
        <v>0.359925</v>
      </c>
      <c r="U22" s="48">
        <v>0.99311</v>
      </c>
      <c r="V22" s="48">
        <v>0.333868</v>
      </c>
      <c r="W22" s="48">
        <v>0.996395</v>
      </c>
      <c r="X22" s="48">
        <v>0.333812</v>
      </c>
      <c r="Y22" s="48">
        <v>0.994647</v>
      </c>
      <c r="Z22" s="48">
        <v>0.0</v>
      </c>
      <c r="AA22" s="48">
        <v>0.009675</v>
      </c>
      <c r="AB22" s="48">
        <v>0.002293</v>
      </c>
      <c r="AC22" s="48">
        <v>0.0</v>
      </c>
      <c r="AD22" s="48">
        <v>0.0</v>
      </c>
      <c r="AE22" s="48">
        <v>0.0</v>
      </c>
      <c r="AF22" s="48">
        <v>0.0</v>
      </c>
      <c r="AG22" s="48">
        <v>0.083333</v>
      </c>
      <c r="AH22" s="48">
        <v>0.001653</v>
      </c>
      <c r="AI22" s="48">
        <v>0.003241</v>
      </c>
      <c r="AJ22" s="48">
        <v>0.040655</v>
      </c>
      <c r="AK22" s="48">
        <v>0.996442</v>
      </c>
      <c r="AL22" s="48">
        <v>0.999953</v>
      </c>
      <c r="AM22" s="48">
        <v>0.998194</v>
      </c>
      <c r="AN22" s="48">
        <v>0.034752</v>
      </c>
      <c r="AO22" s="49"/>
      <c r="AP22" s="49"/>
      <c r="AQ22" s="49"/>
    </row>
    <row r="23">
      <c r="A23" s="13"/>
      <c r="B23" s="16"/>
      <c r="C23" s="46">
        <v>4.0</v>
      </c>
      <c r="D23" s="47">
        <v>0.160873206047905</v>
      </c>
      <c r="E23" s="47">
        <v>0.603008</v>
      </c>
      <c r="F23" s="48">
        <v>1.0</v>
      </c>
      <c r="G23" s="48">
        <v>0.005175</v>
      </c>
      <c r="H23" s="48">
        <v>0.999553</v>
      </c>
      <c r="I23" s="48">
        <v>6.42E-4</v>
      </c>
      <c r="J23" s="48">
        <v>0.999553</v>
      </c>
      <c r="K23" s="47">
        <v>0.156058</v>
      </c>
      <c r="L23" s="48">
        <v>0.01771</v>
      </c>
      <c r="M23" s="48">
        <v>0.110021</v>
      </c>
      <c r="N23" s="48">
        <f t="shared" si="1"/>
        <v>0.4182929932</v>
      </c>
      <c r="O23" s="48">
        <f t="shared" si="2"/>
        <v>24.51763578</v>
      </c>
      <c r="P23" s="48">
        <v>1468.151891</v>
      </c>
      <c r="Q23" s="48">
        <v>0.008892</v>
      </c>
      <c r="R23" s="48">
        <v>0.993134</v>
      </c>
      <c r="S23" s="48">
        <v>0.342908</v>
      </c>
      <c r="T23" s="48">
        <v>0.449142</v>
      </c>
      <c r="U23" s="48">
        <v>0.993319</v>
      </c>
      <c r="V23" s="48">
        <v>0.342908</v>
      </c>
      <c r="W23" s="48">
        <v>0.993134</v>
      </c>
      <c r="X23" s="48">
        <v>0.344671</v>
      </c>
      <c r="Y23" s="48">
        <v>0.993078</v>
      </c>
      <c r="Z23" s="48">
        <v>0.1284</v>
      </c>
      <c r="AA23" s="48">
        <v>0.01789</v>
      </c>
      <c r="AB23" s="48">
        <v>0.017886</v>
      </c>
      <c r="AC23" s="48">
        <v>0.333333</v>
      </c>
      <c r="AD23" s="48">
        <v>0.008969</v>
      </c>
      <c r="AE23" s="48">
        <v>0.017467</v>
      </c>
      <c r="AF23" s="48">
        <v>0.094702</v>
      </c>
      <c r="AG23" s="48">
        <v>0.017588</v>
      </c>
      <c r="AH23" s="48">
        <v>0.02314</v>
      </c>
      <c r="AI23" s="48">
        <v>0.019986</v>
      </c>
      <c r="AJ23" s="48">
        <v>0.151863</v>
      </c>
      <c r="AK23" s="48">
        <v>0.996503</v>
      </c>
      <c r="AL23" s="48">
        <v>0.996615</v>
      </c>
      <c r="AM23" s="48">
        <v>0.996559</v>
      </c>
      <c r="AN23" s="48">
        <v>0.147192</v>
      </c>
      <c r="AO23" s="49"/>
      <c r="AP23" s="49"/>
      <c r="AQ23" s="49"/>
    </row>
    <row r="24">
      <c r="A24" s="13"/>
      <c r="B24" s="51" t="s">
        <v>27</v>
      </c>
      <c r="C24" s="46">
        <v>1.0</v>
      </c>
      <c r="D24" s="47">
        <v>0.160873206047905</v>
      </c>
      <c r="E24" s="47">
        <v>0.603008</v>
      </c>
      <c r="F24" s="48">
        <v>1.0</v>
      </c>
      <c r="G24" s="48">
        <v>0.0</v>
      </c>
      <c r="H24" s="48">
        <v>0.998217</v>
      </c>
      <c r="I24" s="48">
        <v>4.523169E-9</v>
      </c>
      <c r="J24" s="48">
        <v>0.998217</v>
      </c>
      <c r="K24" s="47">
        <v>0.795163</v>
      </c>
      <c r="L24" s="48">
        <v>0.215232</v>
      </c>
      <c r="M24" s="48">
        <v>0.030284</v>
      </c>
      <c r="N24" s="48">
        <f t="shared" si="1"/>
        <v>0.40806609</v>
      </c>
      <c r="O24" s="48">
        <f t="shared" si="2"/>
        <v>14.41861677</v>
      </c>
      <c r="P24" s="48">
        <v>1641.756436</v>
      </c>
      <c r="Q24" s="48">
        <v>0.015719</v>
      </c>
      <c r="R24" s="48">
        <v>0.996438</v>
      </c>
      <c r="S24" s="48">
        <v>0.333333</v>
      </c>
      <c r="T24" s="48">
        <v>0.332146</v>
      </c>
      <c r="U24" s="48">
        <v>0.992889</v>
      </c>
      <c r="V24" s="48">
        <v>0.333333</v>
      </c>
      <c r="W24" s="48">
        <v>0.996438</v>
      </c>
      <c r="X24" s="48">
        <v>0.332739</v>
      </c>
      <c r="Y24" s="48">
        <v>0.99466</v>
      </c>
      <c r="Z24" s="48">
        <v>0.0</v>
      </c>
      <c r="AA24" s="48">
        <v>0.0</v>
      </c>
      <c r="AB24" s="48">
        <v>0.0</v>
      </c>
      <c r="AC24" s="48">
        <v>0.0</v>
      </c>
      <c r="AD24" s="48">
        <v>0.0</v>
      </c>
      <c r="AE24" s="48">
        <v>0.0</v>
      </c>
      <c r="AF24" s="48">
        <v>0.0</v>
      </c>
      <c r="AG24" s="48">
        <v>0.0</v>
      </c>
      <c r="AH24" s="48">
        <v>0.0</v>
      </c>
      <c r="AI24" s="48">
        <v>0.0</v>
      </c>
      <c r="AJ24" s="48">
        <v>0.0</v>
      </c>
      <c r="AK24" s="48">
        <v>0.996438</v>
      </c>
      <c r="AL24" s="48">
        <v>1.0</v>
      </c>
      <c r="AM24" s="48">
        <v>0.998216</v>
      </c>
      <c r="AN24" s="48">
        <v>0.0</v>
      </c>
      <c r="AO24" s="49"/>
      <c r="AP24" s="49"/>
      <c r="AQ24" s="49"/>
    </row>
    <row r="25">
      <c r="A25" s="13"/>
      <c r="B25" s="13"/>
      <c r="C25" s="46">
        <v>2.0</v>
      </c>
      <c r="D25" s="47">
        <v>0.160873206047905</v>
      </c>
      <c r="E25" s="47">
        <v>0.603008</v>
      </c>
      <c r="F25" s="48">
        <v>1.0</v>
      </c>
      <c r="G25" s="48">
        <v>0.0</v>
      </c>
      <c r="H25" s="48">
        <v>0.998217</v>
      </c>
      <c r="I25" s="48">
        <v>1.345551E-8</v>
      </c>
      <c r="J25" s="48">
        <v>0.998217</v>
      </c>
      <c r="K25" s="47">
        <v>0.584368</v>
      </c>
      <c r="L25" s="48">
        <v>0.110112</v>
      </c>
      <c r="M25" s="48">
        <v>0.030854</v>
      </c>
      <c r="N25" s="48">
        <f t="shared" si="1"/>
        <v>0.40806609</v>
      </c>
      <c r="O25" s="48">
        <f t="shared" si="2"/>
        <v>14.52656374</v>
      </c>
      <c r="P25" s="48">
        <v>1641.756436</v>
      </c>
      <c r="Q25" s="48">
        <v>0.0131</v>
      </c>
      <c r="R25" s="48">
        <v>0.996438</v>
      </c>
      <c r="S25" s="48">
        <v>0.333333</v>
      </c>
      <c r="T25" s="48">
        <v>0.332146</v>
      </c>
      <c r="U25" s="48">
        <v>0.992889</v>
      </c>
      <c r="V25" s="48">
        <v>0.333333</v>
      </c>
      <c r="W25" s="48">
        <v>0.996438</v>
      </c>
      <c r="X25" s="48">
        <v>0.332739</v>
      </c>
      <c r="Y25" s="48">
        <v>0.99466</v>
      </c>
      <c r="Z25" s="48">
        <v>0.0</v>
      </c>
      <c r="AA25" s="48">
        <v>0.0</v>
      </c>
      <c r="AB25" s="48">
        <v>0.0</v>
      </c>
      <c r="AC25" s="48">
        <v>0.0</v>
      </c>
      <c r="AD25" s="48">
        <v>0.0</v>
      </c>
      <c r="AE25" s="48">
        <v>0.0</v>
      </c>
      <c r="AF25" s="48">
        <v>0.0</v>
      </c>
      <c r="AG25" s="48">
        <v>0.0</v>
      </c>
      <c r="AH25" s="48">
        <v>0.0</v>
      </c>
      <c r="AI25" s="48">
        <v>0.0</v>
      </c>
      <c r="AJ25" s="48">
        <v>0.0</v>
      </c>
      <c r="AK25" s="48">
        <v>0.996438</v>
      </c>
      <c r="AL25" s="48">
        <v>1.0</v>
      </c>
      <c r="AM25" s="48">
        <v>0.998216</v>
      </c>
      <c r="AN25" s="48">
        <v>0.0</v>
      </c>
      <c r="AO25" s="49"/>
      <c r="AP25" s="49"/>
      <c r="AQ25" s="49"/>
    </row>
    <row r="26">
      <c r="A26" s="13"/>
      <c r="B26" s="13"/>
      <c r="C26" s="46">
        <v>3.0</v>
      </c>
      <c r="D26" s="47">
        <v>0.160873206047905</v>
      </c>
      <c r="E26" s="47">
        <v>0.603008</v>
      </c>
      <c r="F26" s="48">
        <v>1.0</v>
      </c>
      <c r="G26" s="48">
        <v>3.2E-5</v>
      </c>
      <c r="H26" s="48">
        <v>0.998296</v>
      </c>
      <c r="I26" s="48">
        <v>7.124104E-7</v>
      </c>
      <c r="J26" s="48">
        <v>0.998296</v>
      </c>
      <c r="K26" s="47">
        <v>0.370955</v>
      </c>
      <c r="L26" s="48">
        <v>0.040952</v>
      </c>
      <c r="M26" s="48">
        <v>0.047005</v>
      </c>
      <c r="N26" s="48">
        <f t="shared" si="1"/>
        <v>0.4195638655</v>
      </c>
      <c r="O26" s="48">
        <f t="shared" si="2"/>
        <v>17.47980042</v>
      </c>
      <c r="P26" s="48">
        <v>1641.756436</v>
      </c>
      <c r="Q26" s="48">
        <v>0.011058</v>
      </c>
      <c r="R26" s="48">
        <v>0.996459</v>
      </c>
      <c r="S26" s="48">
        <v>0.336088</v>
      </c>
      <c r="T26" s="48">
        <v>0.665486</v>
      </c>
      <c r="U26" s="48">
        <v>0.995513</v>
      </c>
      <c r="V26" s="48">
        <v>0.336088</v>
      </c>
      <c r="W26" s="48">
        <v>0.996459</v>
      </c>
      <c r="X26" s="48">
        <v>0.338207</v>
      </c>
      <c r="Y26" s="48">
        <v>0.994714</v>
      </c>
      <c r="Z26" s="48">
        <v>0.0</v>
      </c>
      <c r="AA26" s="48">
        <v>0.077581</v>
      </c>
      <c r="AB26" s="48">
        <v>0.011968</v>
      </c>
      <c r="AC26" s="48">
        <v>0.0</v>
      </c>
      <c r="AD26" s="48">
        <v>0.0</v>
      </c>
      <c r="AE26" s="48">
        <v>0.0</v>
      </c>
      <c r="AF26" s="48">
        <v>0.0</v>
      </c>
      <c r="AG26" s="48">
        <v>1.0</v>
      </c>
      <c r="AH26" s="48">
        <v>0.008264</v>
      </c>
      <c r="AI26" s="48">
        <v>0.016393</v>
      </c>
      <c r="AJ26" s="48">
        <v>0.090909</v>
      </c>
      <c r="AK26" s="48">
        <v>0.996459</v>
      </c>
      <c r="AL26" s="48">
        <v>1.0</v>
      </c>
      <c r="AM26" s="48">
        <v>0.998227</v>
      </c>
      <c r="AN26" s="48">
        <v>0.077709</v>
      </c>
      <c r="AO26" s="49"/>
      <c r="AP26" s="49"/>
      <c r="AQ26" s="49"/>
    </row>
    <row r="27" ht="16.5" customHeight="1">
      <c r="A27" s="16"/>
      <c r="B27" s="16"/>
      <c r="C27" s="46">
        <v>4.0</v>
      </c>
      <c r="D27" s="47">
        <v>0.160873206047905</v>
      </c>
      <c r="E27" s="47">
        <v>0.603008</v>
      </c>
      <c r="F27" s="48">
        <v>1.0</v>
      </c>
      <c r="G27" s="48">
        <v>0.001813</v>
      </c>
      <c r="H27" s="48">
        <v>0.999331</v>
      </c>
      <c r="I27" s="48">
        <v>7.97577E-7</v>
      </c>
      <c r="J27" s="48">
        <v>0.999332</v>
      </c>
      <c r="K27" s="47">
        <v>0.156058</v>
      </c>
      <c r="L27" s="48">
        <v>0.01771</v>
      </c>
      <c r="M27" s="48">
        <v>0.036067</v>
      </c>
      <c r="N27" s="48">
        <f t="shared" si="1"/>
        <v>0.4658062496</v>
      </c>
      <c r="O27" s="48">
        <f t="shared" si="2"/>
        <v>16.74045256</v>
      </c>
      <c r="P27" s="48">
        <v>1641.756436</v>
      </c>
      <c r="Q27" s="48">
        <v>0.010369</v>
      </c>
      <c r="R27" s="48">
        <v>0.995905</v>
      </c>
      <c r="S27" s="48">
        <v>0.370523</v>
      </c>
      <c r="T27" s="48">
        <v>0.412937</v>
      </c>
      <c r="U27" s="48">
        <v>0.993896</v>
      </c>
      <c r="V27" s="48">
        <v>0.370523</v>
      </c>
      <c r="W27" s="48">
        <v>0.995905</v>
      </c>
      <c r="X27" s="48">
        <v>0.383831</v>
      </c>
      <c r="Y27" s="48">
        <v>0.994837</v>
      </c>
      <c r="Z27" s="48">
        <v>0.0</v>
      </c>
      <c r="AA27" s="48">
        <v>0.161275</v>
      </c>
      <c r="AB27" s="48">
        <v>0.140226</v>
      </c>
      <c r="AC27" s="48">
        <v>0.0</v>
      </c>
      <c r="AD27" s="48">
        <v>0.0</v>
      </c>
      <c r="AE27" s="48">
        <v>0.0</v>
      </c>
      <c r="AF27" s="48">
        <v>0.0</v>
      </c>
      <c r="AG27" s="48">
        <v>0.241993</v>
      </c>
      <c r="AH27" s="48">
        <v>0.112397</v>
      </c>
      <c r="AI27" s="48">
        <v>0.153499</v>
      </c>
      <c r="AJ27" s="48">
        <v>0.335102</v>
      </c>
      <c r="AK27" s="48">
        <v>0.996817</v>
      </c>
      <c r="AL27" s="48">
        <v>0.999171</v>
      </c>
      <c r="AM27" s="48">
        <v>0.997993</v>
      </c>
      <c r="AN27" s="48">
        <v>0.327718</v>
      </c>
      <c r="AO27" s="49"/>
      <c r="AP27" s="49"/>
      <c r="AQ27" s="49"/>
    </row>
    <row r="28">
      <c r="A28" s="52" t="s">
        <v>98</v>
      </c>
      <c r="B28" s="53" t="s">
        <v>22</v>
      </c>
      <c r="C28" s="54">
        <v>1.0</v>
      </c>
      <c r="D28" s="55">
        <v>1.0</v>
      </c>
      <c r="E28" s="55">
        <v>1.0</v>
      </c>
      <c r="F28" s="56">
        <v>1.0</v>
      </c>
      <c r="G28" s="56">
        <v>0.0</v>
      </c>
      <c r="H28" s="56">
        <v>0.998217</v>
      </c>
      <c r="I28" s="56">
        <v>0.0</v>
      </c>
      <c r="J28" s="56">
        <v>0.998217</v>
      </c>
      <c r="K28" s="56">
        <v>1.0</v>
      </c>
      <c r="L28" s="56">
        <v>0.5</v>
      </c>
      <c r="M28" s="56">
        <v>0.019182</v>
      </c>
      <c r="N28" s="57">
        <f t="shared" si="1"/>
        <v>0.40806609</v>
      </c>
      <c r="O28" s="57">
        <f t="shared" si="2"/>
        <v>12.01146164</v>
      </c>
      <c r="P28" s="54">
        <v>17.973239</v>
      </c>
      <c r="Q28" s="54">
        <v>0.751848</v>
      </c>
      <c r="R28" s="54">
        <v>0.996438</v>
      </c>
      <c r="S28" s="54">
        <v>0.333333</v>
      </c>
      <c r="T28" s="54">
        <v>0.332146</v>
      </c>
      <c r="U28" s="54">
        <v>0.992889</v>
      </c>
      <c r="V28" s="54">
        <v>0.333333</v>
      </c>
      <c r="W28" s="54">
        <v>0.996438</v>
      </c>
      <c r="X28" s="54">
        <v>0.332739</v>
      </c>
      <c r="Y28" s="54">
        <v>0.99466</v>
      </c>
      <c r="Z28" s="54">
        <v>0.0</v>
      </c>
      <c r="AA28" s="54">
        <v>0.0</v>
      </c>
      <c r="AB28" s="54">
        <v>0.0</v>
      </c>
      <c r="AC28" s="54">
        <v>0.0</v>
      </c>
      <c r="AD28" s="54">
        <v>0.0</v>
      </c>
      <c r="AE28" s="54">
        <v>0.0</v>
      </c>
      <c r="AF28" s="54">
        <v>0.0</v>
      </c>
      <c r="AG28" s="54">
        <v>0.0</v>
      </c>
      <c r="AH28" s="54">
        <v>0.0</v>
      </c>
      <c r="AI28" s="54">
        <v>0.0</v>
      </c>
      <c r="AJ28" s="54">
        <v>0.0</v>
      </c>
      <c r="AK28" s="54">
        <v>0.996438</v>
      </c>
      <c r="AL28" s="54">
        <v>1.0</v>
      </c>
      <c r="AM28" s="54">
        <v>0.998216</v>
      </c>
      <c r="AN28" s="54">
        <v>0.0</v>
      </c>
      <c r="AO28" s="58"/>
      <c r="AP28" s="58"/>
      <c r="AQ28" s="58"/>
    </row>
    <row r="29">
      <c r="A29" s="13"/>
      <c r="B29" s="13"/>
      <c r="C29" s="54">
        <v>2.0</v>
      </c>
      <c r="D29" s="55">
        <v>1.0</v>
      </c>
      <c r="E29" s="55">
        <v>1.0</v>
      </c>
      <c r="F29" s="56">
        <v>1.0</v>
      </c>
      <c r="G29" s="56">
        <v>1.23E-4</v>
      </c>
      <c r="H29" s="56">
        <v>0.99844</v>
      </c>
      <c r="I29" s="56">
        <v>0.0</v>
      </c>
      <c r="J29" s="56">
        <v>0.99844</v>
      </c>
      <c r="K29" s="56">
        <v>1.0</v>
      </c>
      <c r="L29" s="56">
        <v>0.5</v>
      </c>
      <c r="M29" s="56">
        <v>0.019184</v>
      </c>
      <c r="N29" s="57">
        <f t="shared" si="1"/>
        <v>0.4325417127</v>
      </c>
      <c r="O29" s="57">
        <f t="shared" si="2"/>
        <v>12.43920037</v>
      </c>
      <c r="P29" s="54">
        <v>17.973239</v>
      </c>
      <c r="Q29" s="54">
        <v>0.91725</v>
      </c>
      <c r="R29" s="54">
        <v>0.996498</v>
      </c>
      <c r="S29" s="54">
        <v>0.341596</v>
      </c>
      <c r="T29" s="54">
        <v>0.59533</v>
      </c>
      <c r="U29" s="54">
        <v>0.99502</v>
      </c>
      <c r="V29" s="54">
        <v>0.341596</v>
      </c>
      <c r="W29" s="54">
        <v>0.996498</v>
      </c>
      <c r="X29" s="54">
        <v>0.348776</v>
      </c>
      <c r="Y29" s="54">
        <v>0.994822</v>
      </c>
      <c r="Z29" s="54">
        <v>0.0</v>
      </c>
      <c r="AA29" s="54">
        <v>0.131277</v>
      </c>
      <c r="AB29" s="54">
        <v>0.038828</v>
      </c>
      <c r="AC29" s="54">
        <v>0.0</v>
      </c>
      <c r="AD29" s="54">
        <v>0.0</v>
      </c>
      <c r="AE29" s="54">
        <v>0.0</v>
      </c>
      <c r="AF29" s="54">
        <v>0.0</v>
      </c>
      <c r="AG29" s="54">
        <v>0.789474</v>
      </c>
      <c r="AH29" s="54">
        <v>0.024793</v>
      </c>
      <c r="AI29" s="54">
        <v>0.048077</v>
      </c>
      <c r="AJ29" s="54">
        <v>0.157458</v>
      </c>
      <c r="AK29" s="54">
        <v>0.996515</v>
      </c>
      <c r="AL29" s="54">
        <v>0.999996</v>
      </c>
      <c r="AM29" s="54">
        <v>0.998252</v>
      </c>
      <c r="AN29" s="54">
        <v>0.147442</v>
      </c>
      <c r="AO29" s="58"/>
      <c r="AP29" s="58"/>
      <c r="AQ29" s="58"/>
    </row>
    <row r="30">
      <c r="A30" s="13"/>
      <c r="B30" s="13"/>
      <c r="C30" s="54">
        <v>3.0</v>
      </c>
      <c r="D30" s="55">
        <v>1.0</v>
      </c>
      <c r="E30" s="55">
        <v>1.0</v>
      </c>
      <c r="F30" s="56">
        <v>1.0</v>
      </c>
      <c r="G30" s="56">
        <v>0.145604</v>
      </c>
      <c r="H30" s="56">
        <v>0.954566</v>
      </c>
      <c r="I30" s="56">
        <v>0.0</v>
      </c>
      <c r="J30" s="56">
        <v>0.954565</v>
      </c>
      <c r="K30" s="56">
        <v>1.0</v>
      </c>
      <c r="L30" s="56">
        <v>0.5</v>
      </c>
      <c r="M30" s="56">
        <v>0.018899</v>
      </c>
      <c r="N30" s="57">
        <f t="shared" si="1"/>
        <v>0.4573071702</v>
      </c>
      <c r="O30" s="57">
        <f t="shared" si="2"/>
        <v>12.78498835</v>
      </c>
      <c r="P30" s="54">
        <v>17.973239</v>
      </c>
      <c r="Q30" s="54">
        <v>1.046122</v>
      </c>
      <c r="R30" s="54">
        <v>0.900961</v>
      </c>
      <c r="S30" s="54">
        <v>0.50046</v>
      </c>
      <c r="T30" s="54">
        <v>0.348865</v>
      </c>
      <c r="U30" s="54">
        <v>0.993666</v>
      </c>
      <c r="V30" s="54">
        <v>0.50046</v>
      </c>
      <c r="W30" s="54">
        <v>0.900961</v>
      </c>
      <c r="X30" s="54">
        <v>0.334723</v>
      </c>
      <c r="Y30" s="54">
        <v>0.944762</v>
      </c>
      <c r="Z30" s="54">
        <v>0.420307</v>
      </c>
      <c r="AA30" s="54">
        <v>0.032494</v>
      </c>
      <c r="AB30" s="54">
        <v>0.011462</v>
      </c>
      <c r="AC30" s="54">
        <v>0.00561</v>
      </c>
      <c r="AD30" s="54">
        <v>0.55157</v>
      </c>
      <c r="AE30" s="54">
        <v>0.011107</v>
      </c>
      <c r="AF30" s="54">
        <v>0.706955</v>
      </c>
      <c r="AG30" s="54">
        <v>0.043887</v>
      </c>
      <c r="AH30" s="54">
        <v>0.046281</v>
      </c>
      <c r="AI30" s="54">
        <v>0.045052</v>
      </c>
      <c r="AJ30" s="54">
        <v>0.214847</v>
      </c>
      <c r="AK30" s="54">
        <v>0.997098</v>
      </c>
      <c r="AL30" s="54">
        <v>0.903529</v>
      </c>
      <c r="AM30" s="54">
        <v>0.948011</v>
      </c>
      <c r="AN30" s="54">
        <v>0.488853</v>
      </c>
      <c r="AO30" s="58"/>
      <c r="AP30" s="58"/>
      <c r="AQ30" s="58"/>
    </row>
    <row r="31">
      <c r="A31" s="13"/>
      <c r="B31" s="16"/>
      <c r="C31" s="54">
        <v>4.0</v>
      </c>
      <c r="D31" s="55">
        <v>1.0</v>
      </c>
      <c r="E31" s="55">
        <v>1.0</v>
      </c>
      <c r="F31" s="56">
        <v>1.0</v>
      </c>
      <c r="G31" s="56">
        <v>0.005556</v>
      </c>
      <c r="H31" s="56">
        <v>0.99999</v>
      </c>
      <c r="I31" s="56">
        <v>1.15E-4</v>
      </c>
      <c r="J31" s="56">
        <v>0.99999</v>
      </c>
      <c r="K31" s="56">
        <v>1.0</v>
      </c>
      <c r="L31" s="56">
        <v>0.5</v>
      </c>
      <c r="M31" s="56">
        <v>0.196481</v>
      </c>
      <c r="N31" s="57">
        <f t="shared" si="1"/>
        <v>0.8422818071</v>
      </c>
      <c r="O31" s="57">
        <f t="shared" si="2"/>
        <v>47.05466394</v>
      </c>
      <c r="P31" s="54">
        <v>17.973239</v>
      </c>
      <c r="Q31" s="54">
        <v>1.209711</v>
      </c>
      <c r="R31" s="54">
        <v>0.998176</v>
      </c>
      <c r="S31" s="54">
        <v>0.823527</v>
      </c>
      <c r="T31" s="54">
        <v>0.781911</v>
      </c>
      <c r="U31" s="54">
        <v>0.998244</v>
      </c>
      <c r="V31" s="54">
        <v>0.823527</v>
      </c>
      <c r="W31" s="54">
        <v>0.998176</v>
      </c>
      <c r="X31" s="54">
        <v>0.799784</v>
      </c>
      <c r="Y31" s="54">
        <v>0.998201</v>
      </c>
      <c r="Z31" s="54">
        <v>0.870106</v>
      </c>
      <c r="AA31" s="54">
        <v>0.748388</v>
      </c>
      <c r="AB31" s="54">
        <v>0.748241</v>
      </c>
      <c r="AC31" s="54">
        <v>0.609319</v>
      </c>
      <c r="AD31" s="54">
        <v>0.762332</v>
      </c>
      <c r="AE31" s="54">
        <v>0.677291</v>
      </c>
      <c r="AF31" s="54">
        <v>0.872911</v>
      </c>
      <c r="AG31" s="54">
        <v>0.737113</v>
      </c>
      <c r="AH31" s="54">
        <v>0.709091</v>
      </c>
      <c r="AI31" s="54">
        <v>0.722831</v>
      </c>
      <c r="AJ31" s="54">
        <v>0.841797</v>
      </c>
      <c r="AK31" s="54">
        <v>0.9993</v>
      </c>
      <c r="AL31" s="54">
        <v>0.999158</v>
      </c>
      <c r="AM31" s="54">
        <v>0.999229</v>
      </c>
      <c r="AN31" s="54">
        <v>0.896477</v>
      </c>
      <c r="AO31" s="58"/>
      <c r="AP31" s="58"/>
      <c r="AQ31" s="58"/>
    </row>
    <row r="32">
      <c r="A32" s="13"/>
      <c r="B32" s="59" t="s">
        <v>23</v>
      </c>
      <c r="C32" s="54">
        <v>1.0</v>
      </c>
      <c r="D32" s="55">
        <v>1.0</v>
      </c>
      <c r="E32" s="55">
        <v>1.0</v>
      </c>
      <c r="F32" s="56">
        <v>1.0</v>
      </c>
      <c r="G32" s="56">
        <v>1.29058E-4</v>
      </c>
      <c r="H32" s="56">
        <v>0.998466893</v>
      </c>
      <c r="I32" s="56">
        <v>0.545810509</v>
      </c>
      <c r="J32" s="56">
        <v>0.99846741</v>
      </c>
      <c r="K32" s="56">
        <v>1.0</v>
      </c>
      <c r="L32" s="56">
        <v>0.5</v>
      </c>
      <c r="M32" s="56">
        <v>0.804970398</v>
      </c>
      <c r="N32" s="57">
        <f t="shared" si="1"/>
        <v>0.4407280313</v>
      </c>
      <c r="O32" s="57">
        <f t="shared" si="2"/>
        <v>56.08082167</v>
      </c>
      <c r="P32" s="56">
        <v>164.1243809</v>
      </c>
      <c r="Q32" s="56">
        <v>0.579851151</v>
      </c>
      <c r="R32" s="56">
        <v>0.996519727</v>
      </c>
      <c r="S32" s="56">
        <v>0.347576869</v>
      </c>
      <c r="T32" s="56">
        <v>0.97800791</v>
      </c>
      <c r="U32" s="56">
        <v>0.996373445</v>
      </c>
      <c r="V32" s="56">
        <v>0.347576869</v>
      </c>
      <c r="W32" s="56">
        <v>0.996519727</v>
      </c>
      <c r="X32" s="56">
        <v>0.360603436</v>
      </c>
      <c r="Y32" s="56">
        <v>0.994862572</v>
      </c>
      <c r="Z32" s="56">
        <v>0.148541612</v>
      </c>
      <c r="AA32" s="56">
        <v>0.151300576</v>
      </c>
      <c r="AB32" s="56">
        <v>0.045859236</v>
      </c>
      <c r="AC32" s="56">
        <v>1.0</v>
      </c>
      <c r="AD32" s="56">
        <v>0.01793722</v>
      </c>
      <c r="AE32" s="56">
        <v>0.035242291</v>
      </c>
      <c r="AF32" s="56">
        <v>0.133929906</v>
      </c>
      <c r="AG32" s="56">
        <v>0.9375</v>
      </c>
      <c r="AH32" s="56">
        <v>0.024793388</v>
      </c>
      <c r="AI32" s="56">
        <v>0.048309179</v>
      </c>
      <c r="AJ32" s="56">
        <v>0.157458825</v>
      </c>
      <c r="AK32" s="56">
        <v>0.996523729</v>
      </c>
      <c r="AL32" s="56">
        <v>1.0</v>
      </c>
      <c r="AM32" s="56">
        <v>0.998258838</v>
      </c>
      <c r="AN32" s="56">
        <v>0.155417468</v>
      </c>
      <c r="AO32" s="58"/>
      <c r="AP32" s="58"/>
      <c r="AQ32" s="58"/>
    </row>
    <row r="33">
      <c r="A33" s="13"/>
      <c r="B33" s="13"/>
      <c r="C33" s="54">
        <v>2.0</v>
      </c>
      <c r="D33" s="55">
        <v>1.0</v>
      </c>
      <c r="E33" s="55">
        <v>1.0</v>
      </c>
      <c r="F33" s="56">
        <v>1.0</v>
      </c>
      <c r="G33" s="56">
        <v>9.87296E-4</v>
      </c>
      <c r="H33" s="56">
        <v>0.999206053</v>
      </c>
      <c r="I33" s="56">
        <v>0.671268074</v>
      </c>
      <c r="J33" s="56">
        <v>0.999206459</v>
      </c>
      <c r="K33" s="56">
        <v>1.0</v>
      </c>
      <c r="L33" s="56">
        <v>0.5</v>
      </c>
      <c r="M33" s="56">
        <v>0.83341769</v>
      </c>
      <c r="N33" s="57">
        <f t="shared" si="1"/>
        <v>0.5742589928</v>
      </c>
      <c r="O33" s="57">
        <f t="shared" si="2"/>
        <v>66.6514756</v>
      </c>
      <c r="P33" s="56">
        <v>164.1243809</v>
      </c>
      <c r="Q33" s="56">
        <v>0.579393148</v>
      </c>
      <c r="R33" s="56">
        <v>0.997053168</v>
      </c>
      <c r="S33" s="56">
        <v>0.448141015</v>
      </c>
      <c r="T33" s="56">
        <v>0.964390678</v>
      </c>
      <c r="U33" s="56">
        <v>0.996909866</v>
      </c>
      <c r="V33" s="56">
        <v>0.448141015</v>
      </c>
      <c r="W33" s="56">
        <v>0.997053168</v>
      </c>
      <c r="X33" s="56">
        <v>0.527132132</v>
      </c>
      <c r="Y33" s="56">
        <v>0.99603245</v>
      </c>
      <c r="Z33" s="56">
        <v>0.418872826</v>
      </c>
      <c r="AA33" s="56">
        <v>0.415285768</v>
      </c>
      <c r="AB33" s="56">
        <v>0.301106624</v>
      </c>
      <c r="AC33" s="56">
        <v>0.948717949</v>
      </c>
      <c r="AD33" s="56">
        <v>0.165919283</v>
      </c>
      <c r="AE33" s="56">
        <v>0.282442748</v>
      </c>
      <c r="AF33" s="56">
        <v>0.407330153</v>
      </c>
      <c r="AG33" s="56">
        <v>0.947368421</v>
      </c>
      <c r="AH33" s="56">
        <v>0.178512397</v>
      </c>
      <c r="AI33" s="56">
        <v>0.300417246</v>
      </c>
      <c r="AJ33" s="56">
        <v>0.422501807</v>
      </c>
      <c r="AK33" s="56">
        <v>0.997085665</v>
      </c>
      <c r="AL33" s="56">
        <v>0.999991365</v>
      </c>
      <c r="AM33" s="56">
        <v>0.998536401</v>
      </c>
      <c r="AN33" s="56">
        <v>0.427042826</v>
      </c>
      <c r="AO33" s="58"/>
      <c r="AP33" s="58"/>
      <c r="AQ33" s="58"/>
    </row>
    <row r="34">
      <c r="A34" s="13"/>
      <c r="B34" s="13"/>
      <c r="C34" s="54">
        <v>3.0</v>
      </c>
      <c r="D34" s="55">
        <v>1.0</v>
      </c>
      <c r="E34" s="55">
        <v>1.0</v>
      </c>
      <c r="F34" s="56">
        <v>1.0</v>
      </c>
      <c r="G34" s="56">
        <v>0.002903813</v>
      </c>
      <c r="H34" s="56">
        <v>0.999817311</v>
      </c>
      <c r="I34" s="56">
        <v>0.585784555</v>
      </c>
      <c r="J34" s="56">
        <v>0.999817495</v>
      </c>
      <c r="K34" s="56">
        <v>1.0</v>
      </c>
      <c r="L34" s="56">
        <v>0.5</v>
      </c>
      <c r="M34" s="56">
        <v>0.814876045</v>
      </c>
      <c r="N34" s="57">
        <f t="shared" si="1"/>
        <v>0.7876683514</v>
      </c>
      <c r="O34" s="57">
        <f t="shared" si="2"/>
        <v>79.84406838</v>
      </c>
      <c r="P34" s="56">
        <v>164.1243809</v>
      </c>
      <c r="Q34" s="56">
        <v>0.615234137</v>
      </c>
      <c r="R34" s="56">
        <v>0.998184579</v>
      </c>
      <c r="S34" s="56">
        <v>0.691032651</v>
      </c>
      <c r="T34" s="56">
        <v>0.952407441</v>
      </c>
      <c r="U34" s="56">
        <v>0.99807108</v>
      </c>
      <c r="V34" s="56">
        <v>0.691032651</v>
      </c>
      <c r="W34" s="56">
        <v>0.998184579</v>
      </c>
      <c r="X34" s="56">
        <v>0.784935533</v>
      </c>
      <c r="Y34" s="56">
        <v>0.99789667</v>
      </c>
      <c r="Z34" s="56">
        <v>0.728735994</v>
      </c>
      <c r="AA34" s="56">
        <v>0.700623736</v>
      </c>
      <c r="AB34" s="56">
        <v>0.669140061</v>
      </c>
      <c r="AC34" s="56">
        <v>0.931034483</v>
      </c>
      <c r="AD34" s="56">
        <v>0.605381166</v>
      </c>
      <c r="AE34" s="56">
        <v>0.733695652</v>
      </c>
      <c r="AF34" s="56">
        <v>0.778045691</v>
      </c>
      <c r="AG34" s="56">
        <v>0.927868853</v>
      </c>
      <c r="AH34" s="56">
        <v>0.467768595</v>
      </c>
      <c r="AI34" s="56">
        <v>0.621978022</v>
      </c>
      <c r="AJ34" s="56">
        <v>0.683903655</v>
      </c>
      <c r="AK34" s="56">
        <v>0.998318987</v>
      </c>
      <c r="AL34" s="56">
        <v>0.999948192</v>
      </c>
      <c r="AM34" s="56">
        <v>0.999132926</v>
      </c>
      <c r="AN34" s="56">
        <v>0.727295058</v>
      </c>
      <c r="AO34" s="58"/>
      <c r="AP34" s="58"/>
      <c r="AQ34" s="58"/>
    </row>
    <row r="35">
      <c r="A35" s="13"/>
      <c r="B35" s="16"/>
      <c r="C35" s="54">
        <v>4.0</v>
      </c>
      <c r="D35" s="55">
        <v>1.0</v>
      </c>
      <c r="E35" s="55">
        <v>1.0</v>
      </c>
      <c r="F35" s="56">
        <v>1.0</v>
      </c>
      <c r="G35" s="56">
        <v>0.004065338</v>
      </c>
      <c r="H35" s="56">
        <v>0.99995219</v>
      </c>
      <c r="I35" s="56">
        <v>8.87E-5</v>
      </c>
      <c r="J35" s="56">
        <v>0.999952271</v>
      </c>
      <c r="K35" s="56">
        <v>1.0</v>
      </c>
      <c r="L35" s="56">
        <v>0.5</v>
      </c>
      <c r="M35" s="56">
        <v>0.188133045</v>
      </c>
      <c r="N35" s="57">
        <f t="shared" si="1"/>
        <v>0.866518249</v>
      </c>
      <c r="O35" s="57">
        <f t="shared" si="2"/>
        <v>47.03841311</v>
      </c>
      <c r="P35" s="56">
        <v>164.1243809</v>
      </c>
      <c r="Q35" s="56">
        <v>1.017124176</v>
      </c>
      <c r="R35" s="56">
        <v>0.998726624</v>
      </c>
      <c r="S35" s="56">
        <v>0.809196805</v>
      </c>
      <c r="T35" s="56">
        <v>0.926985684</v>
      </c>
      <c r="U35" s="56">
        <v>0.998642074</v>
      </c>
      <c r="V35" s="56">
        <v>0.809196805</v>
      </c>
      <c r="W35" s="56">
        <v>0.998726624</v>
      </c>
      <c r="X35" s="56">
        <v>0.859927937</v>
      </c>
      <c r="Y35" s="56">
        <v>0.998624851</v>
      </c>
      <c r="Z35" s="56">
        <v>0.845088999</v>
      </c>
      <c r="AA35" s="56">
        <v>0.803976443</v>
      </c>
      <c r="AB35" s="56">
        <v>0.796485703</v>
      </c>
      <c r="AC35" s="56">
        <v>0.879396985</v>
      </c>
      <c r="AD35" s="56">
        <v>0.784753363</v>
      </c>
      <c r="AE35" s="56">
        <v>0.829383886</v>
      </c>
      <c r="AF35" s="56">
        <v>0.885817285</v>
      </c>
      <c r="AG35" s="56">
        <v>0.902552204</v>
      </c>
      <c r="AH35" s="56">
        <v>0.642975207</v>
      </c>
      <c r="AI35" s="56">
        <v>0.750965251</v>
      </c>
      <c r="AJ35" s="56">
        <v>0.801784715</v>
      </c>
      <c r="AK35" s="56">
        <v>0.999007864</v>
      </c>
      <c r="AL35" s="56">
        <v>0.999861846</v>
      </c>
      <c r="AM35" s="56">
        <v>0.999434672</v>
      </c>
      <c r="AN35" s="56">
        <v>0.849777879</v>
      </c>
      <c r="AO35" s="58"/>
      <c r="AP35" s="58"/>
      <c r="AQ35" s="58"/>
    </row>
    <row r="36">
      <c r="A36" s="13"/>
      <c r="B36" s="59" t="s">
        <v>24</v>
      </c>
      <c r="C36" s="54">
        <v>1.0</v>
      </c>
      <c r="D36" s="55">
        <v>1.0</v>
      </c>
      <c r="E36" s="55">
        <v>1.0</v>
      </c>
      <c r="F36" s="56">
        <v>1.0</v>
      </c>
      <c r="G36" s="56">
        <v>0.001167978</v>
      </c>
      <c r="H36" s="56">
        <v>0.999144449</v>
      </c>
      <c r="I36" s="56">
        <v>0.005447313</v>
      </c>
      <c r="J36" s="56">
        <v>0.999144883</v>
      </c>
      <c r="K36" s="56">
        <v>1.0</v>
      </c>
      <c r="L36" s="56">
        <v>0.5</v>
      </c>
      <c r="M36" s="56">
        <v>0.373595396</v>
      </c>
      <c r="N36" s="57">
        <f t="shared" si="1"/>
        <v>0.4459655124</v>
      </c>
      <c r="O36" s="57">
        <f t="shared" si="2"/>
        <v>41.54716275</v>
      </c>
      <c r="P36" s="56">
        <v>1430.84617</v>
      </c>
      <c r="Q36" s="56">
        <v>0.054613833</v>
      </c>
      <c r="R36" s="56">
        <v>0.996033607</v>
      </c>
      <c r="S36" s="56">
        <v>0.356278111</v>
      </c>
      <c r="T36" s="56">
        <v>0.409557717</v>
      </c>
      <c r="U36" s="56">
        <v>0.993682886</v>
      </c>
      <c r="V36" s="56">
        <v>0.356278111</v>
      </c>
      <c r="W36" s="56">
        <v>0.996033607</v>
      </c>
      <c r="X36" s="56">
        <v>0.368296395</v>
      </c>
      <c r="Y36" s="56">
        <v>0.994742152</v>
      </c>
      <c r="Z36" s="56">
        <v>0.0</v>
      </c>
      <c r="AA36" s="56">
        <v>0.111127127</v>
      </c>
      <c r="AB36" s="56">
        <v>0.085212361</v>
      </c>
      <c r="AC36" s="56">
        <v>0.0</v>
      </c>
      <c r="AD36" s="56">
        <v>0.0</v>
      </c>
      <c r="AE36" s="56">
        <v>0.0</v>
      </c>
      <c r="AF36" s="56">
        <v>0.0</v>
      </c>
      <c r="AG36" s="56">
        <v>0.232044199</v>
      </c>
      <c r="AH36" s="56">
        <v>0.069421488</v>
      </c>
      <c r="AI36" s="56">
        <v>0.106870229</v>
      </c>
      <c r="AJ36" s="56">
        <v>0.263400583</v>
      </c>
      <c r="AK36" s="56">
        <v>0.996628952</v>
      </c>
      <c r="AL36" s="56">
        <v>0.999412844</v>
      </c>
      <c r="AM36" s="56">
        <v>0.998018957</v>
      </c>
      <c r="AN36" s="56">
        <v>0.233057751</v>
      </c>
      <c r="AO36" s="58"/>
      <c r="AP36" s="58"/>
      <c r="AQ36" s="58"/>
    </row>
    <row r="37">
      <c r="A37" s="13"/>
      <c r="B37" s="13"/>
      <c r="C37" s="54">
        <v>2.0</v>
      </c>
      <c r="D37" s="55">
        <v>1.0</v>
      </c>
      <c r="E37" s="55">
        <v>1.0</v>
      </c>
      <c r="F37" s="56">
        <v>1.0</v>
      </c>
      <c r="G37" s="56">
        <v>0.001174431</v>
      </c>
      <c r="H37" s="56">
        <v>0.999146853</v>
      </c>
      <c r="I37" s="56">
        <v>0.005051566</v>
      </c>
      <c r="J37" s="56">
        <v>0.999147286</v>
      </c>
      <c r="K37" s="56">
        <v>1.0</v>
      </c>
      <c r="L37" s="56">
        <v>0.5</v>
      </c>
      <c r="M37" s="56">
        <v>0.368928736</v>
      </c>
      <c r="N37" s="57">
        <f t="shared" si="1"/>
        <v>0.4517276783</v>
      </c>
      <c r="O37" s="57">
        <f t="shared" si="2"/>
        <v>41.65844113</v>
      </c>
      <c r="P37" s="56">
        <v>1430.84617</v>
      </c>
      <c r="Q37" s="56">
        <v>0.022419783</v>
      </c>
      <c r="R37" s="56">
        <v>0.996089532</v>
      </c>
      <c r="S37" s="56">
        <v>0.359593969</v>
      </c>
      <c r="T37" s="56">
        <v>0.420133215</v>
      </c>
      <c r="U37" s="56">
        <v>0.993799675</v>
      </c>
      <c r="V37" s="56">
        <v>0.359593969</v>
      </c>
      <c r="W37" s="56">
        <v>0.996089532</v>
      </c>
      <c r="X37" s="56">
        <v>0.373344499</v>
      </c>
      <c r="Y37" s="56">
        <v>0.994813699</v>
      </c>
      <c r="Z37" s="56">
        <v>0.0</v>
      </c>
      <c r="AA37" s="56">
        <v>0.128878757</v>
      </c>
      <c r="AB37" s="56">
        <v>0.09899911</v>
      </c>
      <c r="AC37" s="56">
        <v>0.0</v>
      </c>
      <c r="AD37" s="56">
        <v>0.0</v>
      </c>
      <c r="AE37" s="56">
        <v>0.0</v>
      </c>
      <c r="AF37" s="56">
        <v>0.0</v>
      </c>
      <c r="AG37" s="56">
        <v>0.263736264</v>
      </c>
      <c r="AH37" s="56">
        <v>0.079338843</v>
      </c>
      <c r="AI37" s="56">
        <v>0.121982211</v>
      </c>
      <c r="AJ37" s="56">
        <v>0.281590106</v>
      </c>
      <c r="AK37" s="56">
        <v>0.99666338</v>
      </c>
      <c r="AL37" s="56">
        <v>0.999443065</v>
      </c>
      <c r="AM37" s="56">
        <v>0.998051287</v>
      </c>
      <c r="AN37" s="56">
        <v>0.252930846</v>
      </c>
      <c r="AO37" s="58"/>
      <c r="AP37" s="58"/>
      <c r="AQ37" s="58"/>
    </row>
    <row r="38">
      <c r="A38" s="13"/>
      <c r="B38" s="13"/>
      <c r="C38" s="54">
        <v>3.0</v>
      </c>
      <c r="D38" s="55">
        <v>1.0</v>
      </c>
      <c r="E38" s="55">
        <v>1.0</v>
      </c>
      <c r="F38" s="56">
        <v>1.0</v>
      </c>
      <c r="G38" s="56">
        <v>0.002594073</v>
      </c>
      <c r="H38" s="56">
        <v>0.999626064</v>
      </c>
      <c r="I38" s="56">
        <v>0.00956228</v>
      </c>
      <c r="J38" s="56">
        <v>0.999626373</v>
      </c>
      <c r="K38" s="56">
        <v>1.0</v>
      </c>
      <c r="L38" s="56">
        <v>0.5</v>
      </c>
      <c r="M38" s="56">
        <v>0.410394116</v>
      </c>
      <c r="N38" s="57">
        <f t="shared" si="1"/>
        <v>0.5124134741</v>
      </c>
      <c r="O38" s="57">
        <f t="shared" si="2"/>
        <v>46.88703552</v>
      </c>
      <c r="P38" s="56">
        <v>1430.84617</v>
      </c>
      <c r="Q38" s="56">
        <v>0.020743157</v>
      </c>
      <c r="R38" s="56">
        <v>0.995771188</v>
      </c>
      <c r="S38" s="56">
        <v>0.417224593</v>
      </c>
      <c r="T38" s="56">
        <v>0.721111224</v>
      </c>
      <c r="U38" s="56">
        <v>0.994975911</v>
      </c>
      <c r="V38" s="56">
        <v>0.417224593</v>
      </c>
      <c r="W38" s="56">
        <v>0.995771188</v>
      </c>
      <c r="X38" s="56">
        <v>0.454587227</v>
      </c>
      <c r="Y38" s="56">
        <v>0.995025091</v>
      </c>
      <c r="Z38" s="56">
        <v>0.364376035</v>
      </c>
      <c r="AA38" s="56">
        <v>0.21242432</v>
      </c>
      <c r="AB38" s="56">
        <v>0.199224212</v>
      </c>
      <c r="AC38" s="56">
        <v>0.913043478</v>
      </c>
      <c r="AD38" s="56">
        <v>0.094170404</v>
      </c>
      <c r="AE38" s="56">
        <v>0.170731707</v>
      </c>
      <c r="AF38" s="56">
        <v>0.306870645</v>
      </c>
      <c r="AG38" s="56">
        <v>0.253298153</v>
      </c>
      <c r="AH38" s="56">
        <v>0.158677686</v>
      </c>
      <c r="AI38" s="56">
        <v>0.195121951</v>
      </c>
      <c r="AJ38" s="56">
        <v>0.398100489</v>
      </c>
      <c r="AK38" s="56">
        <v>0.996992041</v>
      </c>
      <c r="AL38" s="56">
        <v>0.998825688</v>
      </c>
      <c r="AM38" s="56">
        <v>0.997908022</v>
      </c>
      <c r="AN38" s="56">
        <v>0.396005629</v>
      </c>
      <c r="AO38" s="58"/>
      <c r="AP38" s="58"/>
      <c r="AQ38" s="58"/>
    </row>
    <row r="39">
      <c r="A39" s="13"/>
      <c r="B39" s="16"/>
      <c r="C39" s="54">
        <v>4.0</v>
      </c>
      <c r="D39" s="55">
        <v>1.0</v>
      </c>
      <c r="E39" s="55">
        <v>1.0</v>
      </c>
      <c r="F39" s="56">
        <v>1.0</v>
      </c>
      <c r="G39" s="56">
        <v>0.004420248</v>
      </c>
      <c r="H39" s="56">
        <v>0.999967739</v>
      </c>
      <c r="I39" s="56">
        <v>9.3E-5</v>
      </c>
      <c r="J39" s="56">
        <v>0.999967785</v>
      </c>
      <c r="K39" s="56">
        <v>1.0</v>
      </c>
      <c r="L39" s="56">
        <v>0.5</v>
      </c>
      <c r="M39" s="56">
        <v>0.189634409</v>
      </c>
      <c r="N39" s="57">
        <f t="shared" si="1"/>
        <v>0.8650166446</v>
      </c>
      <c r="O39" s="57">
        <f t="shared" si="2"/>
        <v>47.13912703</v>
      </c>
      <c r="P39" s="56">
        <v>1430.84617</v>
      </c>
      <c r="Q39" s="56">
        <v>0.020795528</v>
      </c>
      <c r="R39" s="56">
        <v>0.998528735</v>
      </c>
      <c r="S39" s="56">
        <v>0.830360035</v>
      </c>
      <c r="T39" s="56">
        <v>0.890884959</v>
      </c>
      <c r="U39" s="56">
        <v>0.998419697</v>
      </c>
      <c r="V39" s="56">
        <v>0.830360035</v>
      </c>
      <c r="W39" s="56">
        <v>0.998528735</v>
      </c>
      <c r="X39" s="56">
        <v>0.855912404</v>
      </c>
      <c r="Y39" s="56">
        <v>0.998437518</v>
      </c>
      <c r="Z39" s="56">
        <v>0.855526436</v>
      </c>
      <c r="AA39" s="56">
        <v>0.776886282</v>
      </c>
      <c r="AB39" s="56">
        <v>0.773382649</v>
      </c>
      <c r="AC39" s="56">
        <v>0.850877193</v>
      </c>
      <c r="AD39" s="56">
        <v>0.869955157</v>
      </c>
      <c r="AE39" s="56">
        <v>0.860310421</v>
      </c>
      <c r="AF39" s="56">
        <v>0.932645586</v>
      </c>
      <c r="AG39" s="56">
        <v>0.822757112</v>
      </c>
      <c r="AH39" s="56">
        <v>0.621487603</v>
      </c>
      <c r="AI39" s="56">
        <v>0.708097928</v>
      </c>
      <c r="AJ39" s="56">
        <v>0.788207128</v>
      </c>
      <c r="AK39" s="56">
        <v>0.999020572</v>
      </c>
      <c r="AL39" s="56">
        <v>0.999637345</v>
      </c>
      <c r="AM39" s="56">
        <v>0.999328863</v>
      </c>
      <c r="AN39" s="56">
        <v>0.851811117</v>
      </c>
      <c r="AO39" s="58"/>
      <c r="AP39" s="58"/>
      <c r="AQ39" s="58"/>
    </row>
    <row r="40">
      <c r="A40" s="13"/>
      <c r="B40" s="59" t="s">
        <v>25</v>
      </c>
      <c r="C40" s="54">
        <v>1.0</v>
      </c>
      <c r="D40" s="55">
        <v>1.0</v>
      </c>
      <c r="E40" s="55">
        <v>1.0</v>
      </c>
      <c r="F40" s="56">
        <v>1.0</v>
      </c>
      <c r="G40" s="56">
        <v>0.037007481</v>
      </c>
      <c r="H40" s="56">
        <v>0.992045921</v>
      </c>
      <c r="I40" s="56">
        <v>0.017232852</v>
      </c>
      <c r="J40" s="56">
        <v>0.992045541</v>
      </c>
      <c r="K40" s="56">
        <v>1.0</v>
      </c>
      <c r="L40" s="56">
        <v>0.5</v>
      </c>
      <c r="M40" s="56">
        <v>0.451576944</v>
      </c>
      <c r="N40" s="57">
        <f t="shared" si="1"/>
        <v>0.501058392</v>
      </c>
      <c r="O40" s="57">
        <f t="shared" si="2"/>
        <v>48.0646416</v>
      </c>
      <c r="P40" s="56">
        <v>1687.080632</v>
      </c>
      <c r="Q40" s="56">
        <v>0.098677376</v>
      </c>
      <c r="R40" s="56">
        <v>0.975126155</v>
      </c>
      <c r="S40" s="56">
        <v>0.513675833</v>
      </c>
      <c r="T40" s="56">
        <v>0.685428666</v>
      </c>
      <c r="U40" s="56">
        <v>0.995956817</v>
      </c>
      <c r="V40" s="56">
        <v>0.513675833</v>
      </c>
      <c r="W40" s="56">
        <v>0.975126155</v>
      </c>
      <c r="X40" s="56">
        <v>0.372988884</v>
      </c>
      <c r="Y40" s="56">
        <v>0.984448074</v>
      </c>
      <c r="Z40" s="56">
        <v>0.39803902</v>
      </c>
      <c r="AA40" s="56">
        <v>0.178025607</v>
      </c>
      <c r="AB40" s="56">
        <v>0.117052536</v>
      </c>
      <c r="AC40" s="56">
        <v>1.0</v>
      </c>
      <c r="AD40" s="56">
        <v>0.013452915</v>
      </c>
      <c r="AE40" s="56">
        <v>0.026548673</v>
      </c>
      <c r="AF40" s="56">
        <v>0.115986701</v>
      </c>
      <c r="AG40" s="56">
        <v>0.057882844</v>
      </c>
      <c r="AH40" s="56">
        <v>0.550413223</v>
      </c>
      <c r="AI40" s="56">
        <v>0.104749921</v>
      </c>
      <c r="AJ40" s="56">
        <v>0.733175287</v>
      </c>
      <c r="AK40" s="56">
        <v>0.998403155</v>
      </c>
      <c r="AL40" s="56">
        <v>0.97716136</v>
      </c>
      <c r="AM40" s="56">
        <v>0.987668059</v>
      </c>
      <c r="AN40" s="56">
        <v>0.741584993</v>
      </c>
      <c r="AO40" s="58"/>
      <c r="AP40" s="58"/>
      <c r="AQ40" s="58"/>
    </row>
    <row r="41">
      <c r="A41" s="13"/>
      <c r="B41" s="13"/>
      <c r="C41" s="54">
        <v>2.0</v>
      </c>
      <c r="D41" s="55">
        <v>1.0</v>
      </c>
      <c r="E41" s="55">
        <v>1.0</v>
      </c>
      <c r="F41" s="56">
        <v>1.0</v>
      </c>
      <c r="G41" s="56">
        <v>0.023340202</v>
      </c>
      <c r="H41" s="56">
        <v>0.996048815</v>
      </c>
      <c r="I41" s="56">
        <v>0.01001111</v>
      </c>
      <c r="J41" s="56">
        <v>0.996048558</v>
      </c>
      <c r="K41" s="56">
        <v>1.0</v>
      </c>
      <c r="L41" s="56">
        <v>0.5</v>
      </c>
      <c r="M41" s="56">
        <v>0.413049619</v>
      </c>
      <c r="N41" s="57">
        <f t="shared" si="1"/>
        <v>0.5514658614</v>
      </c>
      <c r="O41" s="57">
        <f t="shared" si="2"/>
        <v>49.12607533</v>
      </c>
      <c r="P41" s="56">
        <v>1687.080632</v>
      </c>
      <c r="Q41" s="56">
        <v>0.081516908</v>
      </c>
      <c r="R41" s="56">
        <v>0.984775417</v>
      </c>
      <c r="S41" s="56">
        <v>0.559086592</v>
      </c>
      <c r="T41" s="56">
        <v>0.589310797</v>
      </c>
      <c r="U41" s="56">
        <v>0.996029481</v>
      </c>
      <c r="V41" s="56">
        <v>0.559086592</v>
      </c>
      <c r="W41" s="56">
        <v>0.984775417</v>
      </c>
      <c r="X41" s="56">
        <v>0.437415545</v>
      </c>
      <c r="Y41" s="56">
        <v>0.989675529</v>
      </c>
      <c r="Z41" s="56">
        <v>0.558736051</v>
      </c>
      <c r="AA41" s="56">
        <v>0.259479288</v>
      </c>
      <c r="AB41" s="56">
        <v>0.201075204</v>
      </c>
      <c r="AC41" s="56">
        <v>0.666666667</v>
      </c>
      <c r="AD41" s="56">
        <v>0.080717489</v>
      </c>
      <c r="AE41" s="56">
        <v>0.144</v>
      </c>
      <c r="AF41" s="56">
        <v>0.284102729</v>
      </c>
      <c r="AG41" s="56">
        <v>0.102585488</v>
      </c>
      <c r="AH41" s="56">
        <v>0.609917355</v>
      </c>
      <c r="AI41" s="56">
        <v>0.175630652</v>
      </c>
      <c r="AJ41" s="56">
        <v>0.775516298</v>
      </c>
      <c r="AK41" s="56">
        <v>0.998680237</v>
      </c>
      <c r="AL41" s="56">
        <v>0.986624933</v>
      </c>
      <c r="AM41" s="56">
        <v>0.992615983</v>
      </c>
      <c r="AN41" s="56">
        <v>0.791687425</v>
      </c>
      <c r="AO41" s="58"/>
      <c r="AP41" s="58"/>
      <c r="AQ41" s="58"/>
    </row>
    <row r="42">
      <c r="A42" s="13"/>
      <c r="B42" s="13"/>
      <c r="C42" s="54">
        <v>3.0</v>
      </c>
      <c r="D42" s="55">
        <v>1.0</v>
      </c>
      <c r="E42" s="55">
        <v>1.0</v>
      </c>
      <c r="F42" s="56">
        <v>1.0</v>
      </c>
      <c r="G42" s="56">
        <v>0.039117585</v>
      </c>
      <c r="H42" s="56">
        <v>0.991912172</v>
      </c>
      <c r="I42" s="56">
        <v>0.018101807</v>
      </c>
      <c r="J42" s="56">
        <v>0.99191166</v>
      </c>
      <c r="K42" s="56">
        <v>1.0</v>
      </c>
      <c r="L42" s="56">
        <v>0.5</v>
      </c>
      <c r="M42" s="56">
        <v>0.455274186</v>
      </c>
      <c r="N42" s="57">
        <f t="shared" si="1"/>
        <v>0.5830240262</v>
      </c>
      <c r="O42" s="57">
        <f t="shared" si="2"/>
        <v>52.8105976</v>
      </c>
      <c r="P42" s="56">
        <v>1687.080632</v>
      </c>
      <c r="Q42" s="56">
        <v>0.08005669</v>
      </c>
      <c r="R42" s="56">
        <v>0.974536788</v>
      </c>
      <c r="S42" s="56">
        <v>0.63638508</v>
      </c>
      <c r="T42" s="56">
        <v>0.654251756</v>
      </c>
      <c r="U42" s="56">
        <v>0.996128699</v>
      </c>
      <c r="V42" s="56">
        <v>0.63638508</v>
      </c>
      <c r="W42" s="56">
        <v>0.974536788</v>
      </c>
      <c r="X42" s="56">
        <v>0.529098044</v>
      </c>
      <c r="Y42" s="56">
        <v>0.984510899</v>
      </c>
      <c r="Z42" s="56">
        <v>0.703477039</v>
      </c>
      <c r="AA42" s="56">
        <v>0.209347812</v>
      </c>
      <c r="AB42" s="56">
        <v>0.135006718</v>
      </c>
      <c r="AC42" s="56">
        <v>0.903614458</v>
      </c>
      <c r="AD42" s="56">
        <v>0.33632287</v>
      </c>
      <c r="AE42" s="56">
        <v>0.490196078</v>
      </c>
      <c r="AF42" s="56">
        <v>0.579923516</v>
      </c>
      <c r="AG42" s="56">
        <v>0.060479142</v>
      </c>
      <c r="AH42" s="56">
        <v>0.596694215</v>
      </c>
      <c r="AI42" s="56">
        <v>0.10982659</v>
      </c>
      <c r="AJ42" s="56">
        <v>0.76306043</v>
      </c>
      <c r="AK42" s="56">
        <v>0.998661667</v>
      </c>
      <c r="AL42" s="56">
        <v>0.976138154</v>
      </c>
      <c r="AM42" s="56">
        <v>0.987271465</v>
      </c>
      <c r="AN42" s="56">
        <v>0.786719885</v>
      </c>
      <c r="AO42" s="58"/>
      <c r="AP42" s="58"/>
      <c r="AQ42" s="58"/>
    </row>
    <row r="43">
      <c r="A43" s="13"/>
      <c r="B43" s="16"/>
      <c r="C43" s="54">
        <v>4.0</v>
      </c>
      <c r="D43" s="55">
        <v>1.0</v>
      </c>
      <c r="E43" s="55">
        <v>1.0</v>
      </c>
      <c r="F43" s="56">
        <v>1.0</v>
      </c>
      <c r="G43" s="56">
        <v>0.004775159</v>
      </c>
      <c r="H43" s="56">
        <v>0.999989968</v>
      </c>
      <c r="I43" s="56">
        <v>7.4E-6</v>
      </c>
      <c r="J43" s="56">
        <v>0.999989999</v>
      </c>
      <c r="K43" s="56">
        <v>1.0</v>
      </c>
      <c r="L43" s="56">
        <v>0.5</v>
      </c>
      <c r="M43" s="56">
        <v>0.124371925</v>
      </c>
      <c r="N43" s="57">
        <f t="shared" si="1"/>
        <v>0.8732186222</v>
      </c>
      <c r="O43" s="57">
        <f t="shared" si="2"/>
        <v>40.04633129</v>
      </c>
      <c r="P43" s="56">
        <v>1687.080632</v>
      </c>
      <c r="Q43" s="56">
        <v>0.080273915</v>
      </c>
      <c r="R43" s="56">
        <v>0.998554547</v>
      </c>
      <c r="S43" s="56">
        <v>0.844572535</v>
      </c>
      <c r="T43" s="56">
        <v>0.885264389</v>
      </c>
      <c r="U43" s="56">
        <v>0.998475815</v>
      </c>
      <c r="V43" s="56">
        <v>0.844572535</v>
      </c>
      <c r="W43" s="56">
        <v>0.998554547</v>
      </c>
      <c r="X43" s="56">
        <v>0.863510316</v>
      </c>
      <c r="Y43" s="56">
        <v>0.998504215</v>
      </c>
      <c r="Z43" s="56">
        <v>0.872733959</v>
      </c>
      <c r="AA43" s="56">
        <v>0.786386765</v>
      </c>
      <c r="AB43" s="56">
        <v>0.785138719</v>
      </c>
      <c r="AC43" s="56">
        <v>0.868181818</v>
      </c>
      <c r="AD43" s="56">
        <v>0.856502242</v>
      </c>
      <c r="AE43" s="56">
        <v>0.862302483</v>
      </c>
      <c r="AF43" s="56">
        <v>0.925416277</v>
      </c>
      <c r="AG43" s="56">
        <v>0.788461539</v>
      </c>
      <c r="AH43" s="56">
        <v>0.67768595</v>
      </c>
      <c r="AI43" s="56">
        <v>0.728888889</v>
      </c>
      <c r="AJ43" s="56">
        <v>0.823021521</v>
      </c>
      <c r="AK43" s="56">
        <v>0.99914981</v>
      </c>
      <c r="AL43" s="56">
        <v>0.999529412</v>
      </c>
      <c r="AM43" s="56">
        <v>0.999339575</v>
      </c>
      <c r="AN43" s="56">
        <v>0.872764957</v>
      </c>
      <c r="AO43" s="58"/>
      <c r="AP43" s="58"/>
      <c r="AQ43" s="58"/>
    </row>
    <row r="44">
      <c r="A44" s="13"/>
      <c r="B44" s="59" t="s">
        <v>26</v>
      </c>
      <c r="C44" s="54">
        <v>1.0</v>
      </c>
      <c r="D44" s="55">
        <v>1.0</v>
      </c>
      <c r="E44" s="55">
        <v>1.0</v>
      </c>
      <c r="F44" s="56">
        <v>1.0</v>
      </c>
      <c r="G44" s="56">
        <v>0.00595</v>
      </c>
      <c r="H44" s="56">
        <v>0.999684</v>
      </c>
      <c r="I44" s="56">
        <v>0.004291</v>
      </c>
      <c r="J44" s="56">
        <v>0.999684</v>
      </c>
      <c r="K44" s="56">
        <v>1.0</v>
      </c>
      <c r="L44" s="56">
        <v>0.5</v>
      </c>
      <c r="M44" s="56">
        <v>0.359097</v>
      </c>
      <c r="N44" s="57">
        <f t="shared" si="1"/>
        <v>0.5531211882</v>
      </c>
      <c r="O44" s="57">
        <f t="shared" si="2"/>
        <v>46.53469672</v>
      </c>
      <c r="P44" s="54">
        <v>1458.526081</v>
      </c>
      <c r="Q44" s="54">
        <v>0.070945</v>
      </c>
      <c r="R44" s="54">
        <v>0.994403</v>
      </c>
      <c r="S44" s="54">
        <v>0.478494</v>
      </c>
      <c r="T44" s="54">
        <v>0.712391</v>
      </c>
      <c r="U44" s="54">
        <v>0.99533</v>
      </c>
      <c r="V44" s="54">
        <v>0.478494</v>
      </c>
      <c r="W44" s="54">
        <v>0.994403</v>
      </c>
      <c r="X44" s="54">
        <v>0.497291</v>
      </c>
      <c r="Y44" s="54">
        <v>0.99457</v>
      </c>
      <c r="Z44" s="54">
        <v>0.482805</v>
      </c>
      <c r="AA44" s="54">
        <v>0.254574</v>
      </c>
      <c r="AB44" s="54">
        <v>0.254174</v>
      </c>
      <c r="AC44" s="54">
        <v>0.944444</v>
      </c>
      <c r="AD44" s="54">
        <v>0.152466</v>
      </c>
      <c r="AE44" s="54">
        <v>0.262548</v>
      </c>
      <c r="AF44" s="54">
        <v>0.390468</v>
      </c>
      <c r="AG44" s="54">
        <v>0.19526</v>
      </c>
      <c r="AH44" s="54">
        <v>0.28595</v>
      </c>
      <c r="AI44" s="54">
        <v>0.232059</v>
      </c>
      <c r="AJ44" s="54">
        <v>0.53392</v>
      </c>
      <c r="AK44" s="54">
        <v>0.997469</v>
      </c>
      <c r="AL44" s="54">
        <v>0.997064</v>
      </c>
      <c r="AM44" s="54">
        <v>0.997267</v>
      </c>
      <c r="AN44" s="54">
        <v>0.539826</v>
      </c>
      <c r="AO44" s="60"/>
      <c r="AP44" s="60"/>
      <c r="AQ44" s="60"/>
    </row>
    <row r="45">
      <c r="A45" s="13"/>
      <c r="B45" s="13"/>
      <c r="C45" s="54">
        <v>2.0</v>
      </c>
      <c r="D45" s="55">
        <v>1.0</v>
      </c>
      <c r="E45" s="55">
        <v>1.0</v>
      </c>
      <c r="F45" s="56">
        <v>1.0</v>
      </c>
      <c r="G45" s="56">
        <v>0.006163</v>
      </c>
      <c r="H45" s="56">
        <v>0.999821</v>
      </c>
      <c r="I45" s="56">
        <v>0.003546</v>
      </c>
      <c r="J45" s="56">
        <v>0.999822</v>
      </c>
      <c r="K45" s="56">
        <v>1.0</v>
      </c>
      <c r="L45" s="56">
        <v>0.5</v>
      </c>
      <c r="M45" s="56">
        <v>0.347884</v>
      </c>
      <c r="N45" s="57">
        <f t="shared" si="1"/>
        <v>0.6487471246</v>
      </c>
      <c r="O45" s="57">
        <f t="shared" si="2"/>
        <v>50.56139522</v>
      </c>
      <c r="P45" s="54">
        <v>1458.526081</v>
      </c>
      <c r="Q45" s="54">
        <v>0.056074</v>
      </c>
      <c r="R45" s="54">
        <v>0.99535</v>
      </c>
      <c r="S45" s="54">
        <v>0.589817</v>
      </c>
      <c r="T45" s="54">
        <v>0.749528</v>
      </c>
      <c r="U45" s="54">
        <v>0.996146</v>
      </c>
      <c r="V45" s="54">
        <v>0.589817</v>
      </c>
      <c r="W45" s="54">
        <v>0.99535</v>
      </c>
      <c r="X45" s="54">
        <v>0.619719</v>
      </c>
      <c r="Y45" s="54">
        <v>0.995585</v>
      </c>
      <c r="Z45" s="54">
        <v>0.636115</v>
      </c>
      <c r="AA45" s="54">
        <v>0.392792</v>
      </c>
      <c r="AB45" s="54">
        <v>0.391757</v>
      </c>
      <c r="AC45" s="54">
        <v>0.963855</v>
      </c>
      <c r="AD45" s="54">
        <v>0.358744</v>
      </c>
      <c r="AE45" s="54">
        <v>0.522876</v>
      </c>
      <c r="AF45" s="54">
        <v>0.598949</v>
      </c>
      <c r="AG45" s="54">
        <v>0.286697</v>
      </c>
      <c r="AH45" s="54">
        <v>0.413223</v>
      </c>
      <c r="AI45" s="54">
        <v>0.338524</v>
      </c>
      <c r="AJ45" s="54">
        <v>0.641961</v>
      </c>
      <c r="AK45" s="54">
        <v>0.99803</v>
      </c>
      <c r="AL45" s="54">
        <v>0.997483</v>
      </c>
      <c r="AM45" s="54">
        <v>0.997757</v>
      </c>
      <c r="AN45" s="54">
        <v>0.669436</v>
      </c>
      <c r="AO45" s="60"/>
      <c r="AP45" s="60"/>
      <c r="AQ45" s="60"/>
    </row>
    <row r="46">
      <c r="A46" s="13"/>
      <c r="B46" s="13"/>
      <c r="C46" s="54">
        <v>3.0</v>
      </c>
      <c r="D46" s="55">
        <v>1.0</v>
      </c>
      <c r="E46" s="55">
        <v>1.0</v>
      </c>
      <c r="F46" s="56">
        <v>1.0</v>
      </c>
      <c r="G46" s="56">
        <v>0.004988</v>
      </c>
      <c r="H46" s="56">
        <v>0.999981</v>
      </c>
      <c r="I46" s="56">
        <v>0.00115</v>
      </c>
      <c r="J46" s="56">
        <v>0.999981</v>
      </c>
      <c r="K46" s="56">
        <v>1.0</v>
      </c>
      <c r="L46" s="56">
        <v>0.5</v>
      </c>
      <c r="M46" s="56">
        <v>0.288354</v>
      </c>
      <c r="N46" s="57">
        <f t="shared" si="1"/>
        <v>0.7647059395</v>
      </c>
      <c r="O46" s="57">
        <f t="shared" si="2"/>
        <v>51.76867746</v>
      </c>
      <c r="P46" s="54">
        <v>1458.526081</v>
      </c>
      <c r="Q46" s="54">
        <v>0.055053</v>
      </c>
      <c r="R46" s="54">
        <v>0.997195</v>
      </c>
      <c r="S46" s="54">
        <v>0.717246</v>
      </c>
      <c r="T46" s="54">
        <v>0.804587</v>
      </c>
      <c r="U46" s="54">
        <v>0.997191</v>
      </c>
      <c r="V46" s="54">
        <v>0.717246</v>
      </c>
      <c r="W46" s="54">
        <v>0.997195</v>
      </c>
      <c r="X46" s="54">
        <v>0.752901</v>
      </c>
      <c r="Y46" s="54">
        <v>0.99717</v>
      </c>
      <c r="Z46" s="54">
        <v>0.761578</v>
      </c>
      <c r="AA46" s="54">
        <v>0.591718</v>
      </c>
      <c r="AB46" s="54">
        <v>0.59135</v>
      </c>
      <c r="AC46" s="54">
        <v>0.903846</v>
      </c>
      <c r="AD46" s="54">
        <v>0.632287</v>
      </c>
      <c r="AE46" s="54">
        <v>0.744063</v>
      </c>
      <c r="AF46" s="54">
        <v>0.795139</v>
      </c>
      <c r="AG46" s="54">
        <v>0.511364</v>
      </c>
      <c r="AH46" s="54">
        <v>0.520661</v>
      </c>
      <c r="AI46" s="54">
        <v>0.515971</v>
      </c>
      <c r="AJ46" s="54">
        <v>0.7211</v>
      </c>
      <c r="AK46" s="54">
        <v>0.99855</v>
      </c>
      <c r="AL46" s="54">
        <v>0.998791</v>
      </c>
      <c r="AM46" s="54">
        <v>0.99867</v>
      </c>
      <c r="AN46" s="54">
        <v>0.77038</v>
      </c>
      <c r="AO46" s="60"/>
      <c r="AP46" s="60"/>
      <c r="AQ46" s="60"/>
    </row>
    <row r="47">
      <c r="A47" s="13"/>
      <c r="B47" s="16"/>
      <c r="C47" s="54">
        <v>4.0</v>
      </c>
      <c r="D47" s="55">
        <v>1.0</v>
      </c>
      <c r="E47" s="55">
        <v>1.0</v>
      </c>
      <c r="F47" s="56">
        <v>1.0</v>
      </c>
      <c r="G47" s="56">
        <v>0.004795</v>
      </c>
      <c r="H47" s="56">
        <v>0.99999</v>
      </c>
      <c r="I47" s="56">
        <v>1.1E-5</v>
      </c>
      <c r="J47" s="56">
        <v>0.99999</v>
      </c>
      <c r="K47" s="56">
        <v>1.0</v>
      </c>
      <c r="L47" s="56">
        <v>0.5</v>
      </c>
      <c r="M47" s="56">
        <v>0.132481</v>
      </c>
      <c r="N47" s="57">
        <f t="shared" si="1"/>
        <v>0.8782897885</v>
      </c>
      <c r="O47" s="57">
        <f t="shared" si="2"/>
        <v>41.21394044</v>
      </c>
      <c r="P47" s="54">
        <v>1458.526081</v>
      </c>
      <c r="Q47" s="54">
        <v>0.054937</v>
      </c>
      <c r="R47" s="54">
        <v>0.998576</v>
      </c>
      <c r="S47" s="54">
        <v>0.853695</v>
      </c>
      <c r="T47" s="54">
        <v>0.890768</v>
      </c>
      <c r="U47" s="54">
        <v>0.998501</v>
      </c>
      <c r="V47" s="54">
        <v>0.853695</v>
      </c>
      <c r="W47" s="54">
        <v>0.998576</v>
      </c>
      <c r="X47" s="54">
        <v>0.870826</v>
      </c>
      <c r="Y47" s="54">
        <v>0.998528</v>
      </c>
      <c r="Z47" s="54">
        <v>0.877568</v>
      </c>
      <c r="AA47" s="54">
        <v>0.789905</v>
      </c>
      <c r="AB47" s="54">
        <v>0.78874</v>
      </c>
      <c r="AC47" s="54">
        <v>0.878924</v>
      </c>
      <c r="AD47" s="54">
        <v>0.878924</v>
      </c>
      <c r="AE47" s="54">
        <v>0.878924</v>
      </c>
      <c r="AF47" s="54">
        <v>0.937455</v>
      </c>
      <c r="AG47" s="54">
        <v>0.794231</v>
      </c>
      <c r="AH47" s="54">
        <v>0.682645</v>
      </c>
      <c r="AI47" s="54">
        <v>0.734222</v>
      </c>
      <c r="AJ47" s="54">
        <v>0.826032</v>
      </c>
      <c r="AK47" s="54">
        <v>0.99915</v>
      </c>
      <c r="AL47" s="54">
        <v>0.999516</v>
      </c>
      <c r="AM47" s="54">
        <v>0.999333</v>
      </c>
      <c r="AN47" s="54">
        <v>0.872759</v>
      </c>
      <c r="AO47" s="60"/>
      <c r="AP47" s="60"/>
      <c r="AQ47" s="60"/>
    </row>
    <row r="48">
      <c r="A48" s="13"/>
      <c r="B48" s="59" t="s">
        <v>27</v>
      </c>
      <c r="C48" s="54">
        <v>1.0</v>
      </c>
      <c r="D48" s="55">
        <v>1.0</v>
      </c>
      <c r="E48" s="55">
        <v>1.0</v>
      </c>
      <c r="F48" s="55">
        <v>1.0</v>
      </c>
      <c r="G48" s="56">
        <v>0.005117163</v>
      </c>
      <c r="H48" s="56">
        <v>0.999703465</v>
      </c>
      <c r="I48" s="56">
        <v>0.001353193</v>
      </c>
      <c r="J48" s="56">
        <v>0.999703639</v>
      </c>
      <c r="K48" s="56">
        <v>1.0</v>
      </c>
      <c r="L48" s="56">
        <v>0.5</v>
      </c>
      <c r="M48" s="55">
        <v>0.296263875</v>
      </c>
      <c r="N48" s="57">
        <f t="shared" si="1"/>
        <v>0.5095268415</v>
      </c>
      <c r="O48" s="57">
        <f t="shared" si="2"/>
        <v>41.01773925</v>
      </c>
      <c r="P48" s="54">
        <v>1652.119728</v>
      </c>
      <c r="Q48" s="54">
        <v>0.171949</v>
      </c>
      <c r="R48" s="54">
        <v>0.944694</v>
      </c>
      <c r="S48" s="54">
        <v>0.551031</v>
      </c>
      <c r="T48" s="54">
        <v>0.663052</v>
      </c>
      <c r="U48" s="54">
        <v>0.995904</v>
      </c>
      <c r="V48" s="54">
        <v>0.551031</v>
      </c>
      <c r="W48" s="54">
        <v>0.944694</v>
      </c>
      <c r="X48" s="54">
        <v>0.410904</v>
      </c>
      <c r="Y48" s="54">
        <v>0.968621</v>
      </c>
      <c r="Z48" s="54">
        <v>0.576016</v>
      </c>
      <c r="AA48" s="54">
        <v>0.125233</v>
      </c>
      <c r="AB48" s="54">
        <v>0.058204</v>
      </c>
      <c r="AC48" s="54">
        <v>0.962963</v>
      </c>
      <c r="AD48" s="54">
        <v>0.116592</v>
      </c>
      <c r="AE48" s="54">
        <v>0.208</v>
      </c>
      <c r="AF48" s="54">
        <v>0.341455</v>
      </c>
      <c r="AG48" s="54">
        <v>0.027728</v>
      </c>
      <c r="AH48" s="54">
        <v>0.590083</v>
      </c>
      <c r="AI48" s="54">
        <v>0.052967</v>
      </c>
      <c r="AJ48" s="54">
        <v>0.747143</v>
      </c>
      <c r="AK48" s="54">
        <v>0.998465</v>
      </c>
      <c r="AL48" s="54">
        <v>0.946418</v>
      </c>
      <c r="AM48" s="54">
        <v>0.971745</v>
      </c>
      <c r="AN48" s="54">
        <v>0.749147</v>
      </c>
      <c r="AO48" s="58"/>
      <c r="AP48" s="58"/>
      <c r="AQ48" s="58"/>
    </row>
    <row r="49">
      <c r="A49" s="13"/>
      <c r="B49" s="13"/>
      <c r="C49" s="54">
        <v>2.0</v>
      </c>
      <c r="D49" s="55">
        <v>1.0</v>
      </c>
      <c r="E49" s="55">
        <v>1.0</v>
      </c>
      <c r="F49" s="55">
        <v>1.0</v>
      </c>
      <c r="G49" s="56">
        <v>0.059934696</v>
      </c>
      <c r="H49" s="56">
        <v>0.985470148</v>
      </c>
      <c r="I49" s="56">
        <v>0.015045625</v>
      </c>
      <c r="J49" s="56">
        <v>0.985469517</v>
      </c>
      <c r="K49" s="56">
        <v>1.0</v>
      </c>
      <c r="L49" s="56">
        <v>0.5</v>
      </c>
      <c r="M49" s="55">
        <v>0.440498552</v>
      </c>
      <c r="N49" s="57">
        <f t="shared" si="1"/>
        <v>0.5420179756</v>
      </c>
      <c r="O49" s="57">
        <f t="shared" si="2"/>
        <v>49.88684147</v>
      </c>
      <c r="P49" s="54">
        <v>1652.119728</v>
      </c>
      <c r="Q49" s="54">
        <v>0.157828</v>
      </c>
      <c r="R49" s="54">
        <v>0.944045</v>
      </c>
      <c r="S49" s="54">
        <v>0.611071</v>
      </c>
      <c r="T49" s="54">
        <v>0.618104</v>
      </c>
      <c r="U49" s="54">
        <v>0.996018</v>
      </c>
      <c r="V49" s="54">
        <v>0.611071</v>
      </c>
      <c r="W49" s="54">
        <v>0.944045</v>
      </c>
      <c r="X49" s="54">
        <v>0.464253</v>
      </c>
      <c r="Y49" s="54">
        <v>0.968406</v>
      </c>
      <c r="Z49" s="54">
        <v>0.668947</v>
      </c>
      <c r="AA49" s="54">
        <v>0.142183</v>
      </c>
      <c r="AB49" s="54">
        <v>0.065449</v>
      </c>
      <c r="AC49" s="54">
        <v>0.825397</v>
      </c>
      <c r="AD49" s="54">
        <v>0.233184</v>
      </c>
      <c r="AE49" s="54">
        <v>0.363636</v>
      </c>
      <c r="AF49" s="54">
        <v>0.48288</v>
      </c>
      <c r="AG49" s="54">
        <v>0.030211</v>
      </c>
      <c r="AH49" s="54">
        <v>0.654545</v>
      </c>
      <c r="AI49" s="54">
        <v>0.057755</v>
      </c>
      <c r="AJ49" s="54">
        <v>0.786548</v>
      </c>
      <c r="AK49" s="54">
        <v>0.998705</v>
      </c>
      <c r="AL49" s="54">
        <v>0.945485</v>
      </c>
      <c r="AM49" s="54">
        <v>0.971367</v>
      </c>
      <c r="AN49" s="54">
        <v>0.788155</v>
      </c>
      <c r="AO49" s="58"/>
      <c r="AP49" s="58"/>
      <c r="AQ49" s="58"/>
    </row>
    <row r="50">
      <c r="A50" s="13"/>
      <c r="B50" s="13"/>
      <c r="C50" s="54">
        <v>3.0</v>
      </c>
      <c r="D50" s="55">
        <v>1.0</v>
      </c>
      <c r="E50" s="55">
        <v>1.0</v>
      </c>
      <c r="F50" s="55">
        <v>1.0</v>
      </c>
      <c r="G50" s="56">
        <v>0.007059492</v>
      </c>
      <c r="H50" s="56">
        <v>0.999806951</v>
      </c>
      <c r="I50" s="56">
        <v>8.09762E-4</v>
      </c>
      <c r="J50" s="56">
        <v>0.999806955</v>
      </c>
      <c r="K50" s="56">
        <v>1.0</v>
      </c>
      <c r="L50" s="56">
        <v>0.5</v>
      </c>
      <c r="M50" s="55">
        <v>0.271973534</v>
      </c>
      <c r="N50" s="57">
        <f t="shared" si="1"/>
        <v>0.5681968651</v>
      </c>
      <c r="O50" s="57">
        <f t="shared" si="2"/>
        <v>42.31652122</v>
      </c>
      <c r="P50" s="54">
        <v>1652.119728</v>
      </c>
      <c r="Q50" s="54">
        <v>0.156061</v>
      </c>
      <c r="R50" s="54">
        <v>0.796712</v>
      </c>
      <c r="S50" s="54">
        <v>0.71789</v>
      </c>
      <c r="T50" s="54">
        <v>0.619926</v>
      </c>
      <c r="U50" s="54">
        <v>0.996601</v>
      </c>
      <c r="V50" s="54">
        <v>0.71789</v>
      </c>
      <c r="W50" s="54">
        <v>0.796712</v>
      </c>
      <c r="X50" s="54">
        <v>0.521003</v>
      </c>
      <c r="Y50" s="54">
        <v>0.884225</v>
      </c>
      <c r="Z50" s="54">
        <v>0.786364</v>
      </c>
      <c r="AA50" s="54">
        <v>0.091527</v>
      </c>
      <c r="AB50" s="54">
        <v>0.021228</v>
      </c>
      <c r="AC50" s="54">
        <v>0.85</v>
      </c>
      <c r="AD50" s="54">
        <v>0.533632</v>
      </c>
      <c r="AE50" s="54">
        <v>0.655647</v>
      </c>
      <c r="AF50" s="54">
        <v>0.730468</v>
      </c>
      <c r="AG50" s="54">
        <v>0.010461</v>
      </c>
      <c r="AH50" s="54">
        <v>0.82314</v>
      </c>
      <c r="AI50" s="54">
        <v>0.020659</v>
      </c>
      <c r="AJ50" s="54">
        <v>0.809871</v>
      </c>
      <c r="AK50" s="54">
        <v>0.999318</v>
      </c>
      <c r="AL50" s="54">
        <v>0.796896</v>
      </c>
      <c r="AM50" s="54">
        <v>0.886701</v>
      </c>
      <c r="AN50" s="54">
        <v>0.821967</v>
      </c>
      <c r="AO50" s="58"/>
      <c r="AP50" s="58"/>
      <c r="AQ50" s="58"/>
    </row>
    <row r="51">
      <c r="A51" s="16"/>
      <c r="B51" s="16"/>
      <c r="C51" s="54">
        <v>4.0</v>
      </c>
      <c r="D51" s="55">
        <v>1.0</v>
      </c>
      <c r="E51" s="55">
        <v>1.0</v>
      </c>
      <c r="F51" s="55">
        <v>1.0</v>
      </c>
      <c r="G51" s="56">
        <v>0.004781612</v>
      </c>
      <c r="H51" s="56">
        <v>0.999987823</v>
      </c>
      <c r="I51" s="56">
        <v>4.4E-6</v>
      </c>
      <c r="J51" s="56">
        <v>0.999987849</v>
      </c>
      <c r="K51" s="56">
        <v>1.0</v>
      </c>
      <c r="L51" s="56">
        <v>0.5</v>
      </c>
      <c r="M51" s="55">
        <v>0.114038279</v>
      </c>
      <c r="N51" s="57">
        <f t="shared" si="1"/>
        <v>0.8736579502</v>
      </c>
      <c r="O51" s="57">
        <f t="shared" si="2"/>
        <v>38.69235126</v>
      </c>
      <c r="P51" s="54">
        <v>1652.119728</v>
      </c>
      <c r="Q51" s="54">
        <v>0.156076</v>
      </c>
      <c r="R51" s="54">
        <v>0.998572</v>
      </c>
      <c r="S51" s="54">
        <v>0.844817</v>
      </c>
      <c r="T51" s="54">
        <v>0.885478</v>
      </c>
      <c r="U51" s="54">
        <v>0.998488</v>
      </c>
      <c r="V51" s="54">
        <v>0.844817</v>
      </c>
      <c r="W51" s="54">
        <v>0.998572</v>
      </c>
      <c r="X51" s="54">
        <v>0.863333</v>
      </c>
      <c r="Y51" s="54">
        <v>0.998516</v>
      </c>
      <c r="Z51" s="54">
        <v>0.872471</v>
      </c>
      <c r="AA51" s="54">
        <v>0.788221</v>
      </c>
      <c r="AB51" s="54">
        <v>0.786749</v>
      </c>
      <c r="AC51" s="54">
        <v>0.861607</v>
      </c>
      <c r="AD51" s="54">
        <v>0.865471</v>
      </c>
      <c r="AE51" s="54">
        <v>0.863535</v>
      </c>
      <c r="AF51" s="54">
        <v>0.930245</v>
      </c>
      <c r="AG51" s="54">
        <v>0.795678</v>
      </c>
      <c r="AH51" s="54">
        <v>0.669421</v>
      </c>
      <c r="AI51" s="54">
        <v>0.72711</v>
      </c>
      <c r="AJ51" s="54">
        <v>0.817998</v>
      </c>
      <c r="AK51" s="54">
        <v>0.99915</v>
      </c>
      <c r="AL51" s="54">
        <v>0.99956</v>
      </c>
      <c r="AM51" s="54">
        <v>0.999355</v>
      </c>
      <c r="AN51" s="54">
        <v>0.872778</v>
      </c>
      <c r="AO51" s="58"/>
      <c r="AP51" s="58"/>
      <c r="AQ51" s="58"/>
    </row>
    <row r="52">
      <c r="A52" s="44" t="s">
        <v>99</v>
      </c>
      <c r="B52" s="61" t="s">
        <v>22</v>
      </c>
      <c r="C52" s="46">
        <v>1.0</v>
      </c>
      <c r="D52" s="47">
        <v>1.0</v>
      </c>
      <c r="E52" s="47">
        <v>1.0</v>
      </c>
      <c r="F52" s="62">
        <v>1.0</v>
      </c>
      <c r="G52" s="62">
        <v>0.0</v>
      </c>
      <c r="H52" s="62">
        <v>0.998217</v>
      </c>
      <c r="I52" s="62">
        <v>0.002903</v>
      </c>
      <c r="J52" s="62">
        <v>0.540852</v>
      </c>
      <c r="K52" s="62">
        <v>1.0</v>
      </c>
      <c r="L52" s="62">
        <v>0.5</v>
      </c>
      <c r="M52" s="62">
        <v>0.303634</v>
      </c>
      <c r="N52" s="48">
        <f t="shared" si="1"/>
        <v>0.40806609</v>
      </c>
      <c r="O52" s="48">
        <f t="shared" si="2"/>
        <v>36.25588114</v>
      </c>
      <c r="P52" s="46">
        <v>135.272832</v>
      </c>
      <c r="Q52" s="46">
        <v>0.714235</v>
      </c>
      <c r="R52" s="46">
        <v>0.996438</v>
      </c>
      <c r="S52" s="46">
        <v>0.333333</v>
      </c>
      <c r="T52" s="46">
        <v>0.332146</v>
      </c>
      <c r="U52" s="46">
        <v>0.992889</v>
      </c>
      <c r="V52" s="46">
        <v>0.333333</v>
      </c>
      <c r="W52" s="46">
        <v>0.996438</v>
      </c>
      <c r="X52" s="46">
        <v>0.332739</v>
      </c>
      <c r="Y52" s="46">
        <v>0.99466</v>
      </c>
      <c r="Z52" s="46">
        <v>0.0</v>
      </c>
      <c r="AA52" s="46">
        <v>0.0</v>
      </c>
      <c r="AB52" s="46">
        <v>0.0</v>
      </c>
      <c r="AC52" s="46">
        <v>0.0</v>
      </c>
      <c r="AD52" s="46">
        <v>0.0</v>
      </c>
      <c r="AE52" s="46">
        <v>0.0</v>
      </c>
      <c r="AF52" s="46">
        <v>0.0</v>
      </c>
      <c r="AG52" s="46">
        <v>0.0</v>
      </c>
      <c r="AH52" s="46">
        <v>0.0</v>
      </c>
      <c r="AI52" s="46">
        <v>0.0</v>
      </c>
      <c r="AJ52" s="46">
        <v>0.0</v>
      </c>
      <c r="AK52" s="46">
        <v>0.996438</v>
      </c>
      <c r="AL52" s="46">
        <v>1.0</v>
      </c>
      <c r="AM52" s="46">
        <v>0.998216</v>
      </c>
      <c r="AN52" s="46">
        <v>0.0</v>
      </c>
      <c r="AO52" s="49"/>
      <c r="AP52" s="49"/>
      <c r="AQ52" s="49"/>
    </row>
    <row r="53">
      <c r="A53" s="13"/>
      <c r="B53" s="13"/>
      <c r="C53" s="46">
        <v>2.0</v>
      </c>
      <c r="D53" s="47">
        <v>1.0</v>
      </c>
      <c r="E53" s="47">
        <v>1.0</v>
      </c>
      <c r="F53" s="62">
        <v>1.0</v>
      </c>
      <c r="G53" s="62">
        <v>2.45E-4</v>
      </c>
      <c r="H53" s="62">
        <v>0.998619</v>
      </c>
      <c r="I53" s="62">
        <v>0.002873</v>
      </c>
      <c r="J53" s="62">
        <v>0.541899</v>
      </c>
      <c r="K53" s="62">
        <v>1.0</v>
      </c>
      <c r="L53" s="62">
        <v>0.5</v>
      </c>
      <c r="M53" s="62">
        <v>0.303236</v>
      </c>
      <c r="N53" s="48">
        <f t="shared" si="1"/>
        <v>0.4628603589</v>
      </c>
      <c r="O53" s="48">
        <f t="shared" si="2"/>
        <v>39.08249638</v>
      </c>
      <c r="P53" s="46">
        <v>135.272832</v>
      </c>
      <c r="Q53" s="46">
        <v>0.747425</v>
      </c>
      <c r="R53" s="46">
        <v>0.996597</v>
      </c>
      <c r="S53" s="46">
        <v>0.361269</v>
      </c>
      <c r="T53" s="46">
        <v>0.96183</v>
      </c>
      <c r="U53" s="46">
        <v>0.996506</v>
      </c>
      <c r="V53" s="46">
        <v>0.361269</v>
      </c>
      <c r="W53" s="46">
        <v>0.996597</v>
      </c>
      <c r="X53" s="46">
        <v>0.386249</v>
      </c>
      <c r="Y53" s="46">
        <v>0.995046</v>
      </c>
      <c r="Z53" s="46">
        <v>0.207108</v>
      </c>
      <c r="AA53" s="46">
        <v>0.211107</v>
      </c>
      <c r="AB53" s="46">
        <v>0.086374</v>
      </c>
      <c r="AC53" s="46">
        <v>0.888889</v>
      </c>
      <c r="AD53" s="46">
        <v>0.035874</v>
      </c>
      <c r="AE53" s="46">
        <v>0.068966</v>
      </c>
      <c r="AF53" s="46">
        <v>0.189405</v>
      </c>
      <c r="AG53" s="46">
        <v>1.0</v>
      </c>
      <c r="AH53" s="46">
        <v>0.047934</v>
      </c>
      <c r="AI53" s="46">
        <v>0.091483</v>
      </c>
      <c r="AJ53" s="46">
        <v>0.218938</v>
      </c>
      <c r="AK53" s="46">
        <v>0.996601</v>
      </c>
      <c r="AL53" s="46">
        <v>1.0</v>
      </c>
      <c r="AM53" s="46">
        <v>0.998298</v>
      </c>
      <c r="AN53" s="46">
        <v>0.214228</v>
      </c>
      <c r="AO53" s="49"/>
      <c r="AP53" s="49"/>
      <c r="AQ53" s="49"/>
    </row>
    <row r="54">
      <c r="A54" s="13"/>
      <c r="B54" s="13"/>
      <c r="C54" s="46">
        <v>3.0</v>
      </c>
      <c r="D54" s="47">
        <v>1.0</v>
      </c>
      <c r="E54" s="47">
        <v>1.0</v>
      </c>
      <c r="F54" s="62">
        <v>1.0</v>
      </c>
      <c r="G54" s="62">
        <v>0.005298</v>
      </c>
      <c r="H54" s="62">
        <v>0.999846</v>
      </c>
      <c r="I54" s="62">
        <v>0.015159</v>
      </c>
      <c r="J54" s="62">
        <v>0.556023</v>
      </c>
      <c r="K54" s="62">
        <v>1.0</v>
      </c>
      <c r="L54" s="62">
        <v>0.5</v>
      </c>
      <c r="M54" s="62">
        <v>0.401892</v>
      </c>
      <c r="N54" s="48">
        <f t="shared" si="1"/>
        <v>0.747698391</v>
      </c>
      <c r="O54" s="48">
        <f t="shared" si="2"/>
        <v>58.32833938</v>
      </c>
      <c r="P54" s="46">
        <v>135.272832</v>
      </c>
      <c r="Q54" s="46">
        <v>0.879489</v>
      </c>
      <c r="R54" s="46">
        <v>0.996993</v>
      </c>
      <c r="S54" s="46">
        <v>0.725744</v>
      </c>
      <c r="T54" s="46">
        <v>0.710735</v>
      </c>
      <c r="U54" s="46">
        <v>0.997345</v>
      </c>
      <c r="V54" s="46">
        <v>0.725744</v>
      </c>
      <c r="W54" s="46">
        <v>0.996993</v>
      </c>
      <c r="X54" s="46">
        <v>0.69441</v>
      </c>
      <c r="Y54" s="46">
        <v>0.997058</v>
      </c>
      <c r="Z54" s="46">
        <v>0.765465</v>
      </c>
      <c r="AA54" s="46">
        <v>0.575041</v>
      </c>
      <c r="AB54" s="46">
        <v>0.574978</v>
      </c>
      <c r="AC54" s="46">
        <v>0.350962</v>
      </c>
      <c r="AD54" s="46">
        <v>0.654709</v>
      </c>
      <c r="AE54" s="46">
        <v>0.456964</v>
      </c>
      <c r="AF54" s="46">
        <v>0.80867</v>
      </c>
      <c r="AG54" s="46">
        <v>0.782716</v>
      </c>
      <c r="AH54" s="46">
        <v>0.523967</v>
      </c>
      <c r="AI54" s="46">
        <v>0.627723</v>
      </c>
      <c r="AJ54" s="46">
        <v>0.723718</v>
      </c>
      <c r="AK54" s="46">
        <v>0.998528</v>
      </c>
      <c r="AL54" s="46">
        <v>0.998558</v>
      </c>
      <c r="AM54" s="46">
        <v>0.998543</v>
      </c>
      <c r="AN54" s="46">
        <v>0.766366</v>
      </c>
      <c r="AO54" s="49"/>
      <c r="AP54" s="49"/>
      <c r="AQ54" s="49"/>
    </row>
    <row r="55">
      <c r="A55" s="13"/>
      <c r="B55" s="16"/>
      <c r="C55" s="46">
        <v>4.0</v>
      </c>
      <c r="D55" s="47">
        <v>1.0</v>
      </c>
      <c r="E55" s="47">
        <v>1.0</v>
      </c>
      <c r="F55" s="62">
        <v>1.0</v>
      </c>
      <c r="G55" s="62">
        <v>0.008802</v>
      </c>
      <c r="H55" s="62">
        <v>0.999786</v>
      </c>
      <c r="I55" s="62">
        <v>0.002639</v>
      </c>
      <c r="J55" s="62">
        <v>0.563612</v>
      </c>
      <c r="K55" s="62">
        <v>1.0</v>
      </c>
      <c r="L55" s="62">
        <v>0.5</v>
      </c>
      <c r="M55" s="62">
        <v>0.300983</v>
      </c>
      <c r="N55" s="48">
        <f t="shared" si="1"/>
        <v>0.8475140657</v>
      </c>
      <c r="O55" s="48">
        <f t="shared" si="2"/>
        <v>56.01507676</v>
      </c>
      <c r="P55" s="46">
        <v>135.272832</v>
      </c>
      <c r="Q55" s="46">
        <v>0.914138</v>
      </c>
      <c r="R55" s="46">
        <v>0.997019</v>
      </c>
      <c r="S55" s="46">
        <v>0.931542</v>
      </c>
      <c r="T55" s="46">
        <v>0.681858</v>
      </c>
      <c r="U55" s="46">
        <v>0.998099</v>
      </c>
      <c r="V55" s="46">
        <v>0.931542</v>
      </c>
      <c r="W55" s="46">
        <v>0.997019</v>
      </c>
      <c r="X55" s="46">
        <v>0.77249</v>
      </c>
      <c r="Y55" s="46">
        <v>0.997405</v>
      </c>
      <c r="Z55" s="46">
        <v>0.951894</v>
      </c>
      <c r="AA55" s="46">
        <v>0.704263</v>
      </c>
      <c r="AB55" s="46">
        <v>0.682735</v>
      </c>
      <c r="AC55" s="46">
        <v>0.488263</v>
      </c>
      <c r="AD55" s="46">
        <v>0.932735</v>
      </c>
      <c r="AE55" s="46">
        <v>0.640986</v>
      </c>
      <c r="AF55" s="46">
        <v>0.965329</v>
      </c>
      <c r="AG55" s="46">
        <v>0.557569</v>
      </c>
      <c r="AH55" s="46">
        <v>0.864463</v>
      </c>
      <c r="AI55" s="46">
        <v>0.6779</v>
      </c>
      <c r="AJ55" s="46">
        <v>0.928932</v>
      </c>
      <c r="AK55" s="46">
        <v>0.99974</v>
      </c>
      <c r="AL55" s="46">
        <v>0.997427</v>
      </c>
      <c r="AM55" s="46">
        <v>0.998582</v>
      </c>
      <c r="AN55" s="46">
        <v>0.961847</v>
      </c>
      <c r="AO55" s="49"/>
      <c r="AP55" s="49"/>
      <c r="AQ55" s="49"/>
    </row>
    <row r="56">
      <c r="A56" s="13"/>
      <c r="B56" s="51" t="s">
        <v>23</v>
      </c>
      <c r="C56" s="46">
        <v>1.0</v>
      </c>
      <c r="D56" s="47">
        <v>1.0</v>
      </c>
      <c r="E56" s="47">
        <v>1.0</v>
      </c>
      <c r="F56" s="62">
        <v>1.0</v>
      </c>
      <c r="G56" s="62">
        <v>0.001484171</v>
      </c>
      <c r="H56" s="62">
        <v>0.999248247</v>
      </c>
      <c r="I56" s="62">
        <v>0.436394345</v>
      </c>
      <c r="J56" s="62">
        <v>0.545515222</v>
      </c>
      <c r="K56" s="62">
        <v>1.0</v>
      </c>
      <c r="L56" s="62">
        <v>0.5</v>
      </c>
      <c r="M56" s="62">
        <v>0.701274797</v>
      </c>
      <c r="N56" s="48">
        <f t="shared" si="1"/>
        <v>0.4478428903</v>
      </c>
      <c r="O56" s="48">
        <f t="shared" si="2"/>
        <v>53.58345375</v>
      </c>
      <c r="P56" s="62">
        <v>651.802292</v>
      </c>
      <c r="Q56" s="62">
        <v>0.630783796</v>
      </c>
      <c r="R56" s="62">
        <v>0.995934662</v>
      </c>
      <c r="S56" s="62">
        <v>0.354596436</v>
      </c>
      <c r="T56" s="62">
        <v>0.388772779</v>
      </c>
      <c r="U56" s="62">
        <v>0.993643999</v>
      </c>
      <c r="V56" s="62">
        <v>0.354596436</v>
      </c>
      <c r="W56" s="62">
        <v>0.995934662</v>
      </c>
      <c r="X56" s="62">
        <v>0.363817108</v>
      </c>
      <c r="Y56" s="62">
        <v>0.994726253</v>
      </c>
      <c r="Z56" s="62">
        <v>0.0</v>
      </c>
      <c r="AA56" s="62">
        <v>0.128092191</v>
      </c>
      <c r="AB56" s="62">
        <v>0.105606672</v>
      </c>
      <c r="AC56" s="62">
        <v>0.0</v>
      </c>
      <c r="AD56" s="62">
        <v>0.0</v>
      </c>
      <c r="AE56" s="62">
        <v>0.0</v>
      </c>
      <c r="AF56" s="62">
        <v>0.0</v>
      </c>
      <c r="AG56" s="62">
        <v>0.169565217</v>
      </c>
      <c r="AH56" s="62">
        <v>0.06446281</v>
      </c>
      <c r="AI56" s="62">
        <v>0.093413174</v>
      </c>
      <c r="AJ56" s="62">
        <v>0.253790671</v>
      </c>
      <c r="AK56" s="62">
        <v>0.996753121</v>
      </c>
      <c r="AL56" s="62">
        <v>0.999326498</v>
      </c>
      <c r="AM56" s="62">
        <v>0.99803815</v>
      </c>
      <c r="AN56" s="62">
        <v>0.29885078</v>
      </c>
      <c r="AO56" s="49"/>
      <c r="AP56" s="49"/>
      <c r="AQ56" s="49"/>
    </row>
    <row r="57">
      <c r="A57" s="13"/>
      <c r="B57" s="13"/>
      <c r="C57" s="46">
        <v>2.0</v>
      </c>
      <c r="D57" s="47">
        <v>1.0</v>
      </c>
      <c r="E57" s="47">
        <v>1.0</v>
      </c>
      <c r="F57" s="62">
        <v>1.0</v>
      </c>
      <c r="G57" s="62">
        <v>0.001606776</v>
      </c>
      <c r="H57" s="62">
        <v>0.999405939</v>
      </c>
      <c r="I57" s="62">
        <v>0.64515209</v>
      </c>
      <c r="J57" s="62">
        <v>0.546031552</v>
      </c>
      <c r="K57" s="62">
        <v>1.0</v>
      </c>
      <c r="L57" s="62">
        <v>0.5</v>
      </c>
      <c r="M57" s="62">
        <v>0.748626672</v>
      </c>
      <c r="N57" s="48">
        <f t="shared" si="1"/>
        <v>0.5091360048</v>
      </c>
      <c r="O57" s="48">
        <f t="shared" si="2"/>
        <v>59.40273001</v>
      </c>
      <c r="P57" s="62">
        <v>651.802292</v>
      </c>
      <c r="Q57" s="62">
        <v>0.653851509</v>
      </c>
      <c r="R57" s="62">
        <v>0.996463801</v>
      </c>
      <c r="S57" s="62">
        <v>0.395068679</v>
      </c>
      <c r="T57" s="62">
        <v>0.697915729</v>
      </c>
      <c r="U57" s="62">
        <v>0.99519034</v>
      </c>
      <c r="V57" s="62">
        <v>0.395068679</v>
      </c>
      <c r="W57" s="62">
        <v>0.996463801</v>
      </c>
      <c r="X57" s="62">
        <v>0.430237756</v>
      </c>
      <c r="Y57" s="62">
        <v>0.995416014</v>
      </c>
      <c r="Z57" s="62">
        <v>0.337464945</v>
      </c>
      <c r="AA57" s="62">
        <v>0.279679793</v>
      </c>
      <c r="AB57" s="62">
        <v>0.235699299</v>
      </c>
      <c r="AC57" s="62">
        <v>0.764705882</v>
      </c>
      <c r="AD57" s="62">
        <v>0.058295964</v>
      </c>
      <c r="AE57" s="62">
        <v>0.108333333</v>
      </c>
      <c r="AF57" s="62">
        <v>0.241443492</v>
      </c>
      <c r="AG57" s="62">
        <v>0.331896552</v>
      </c>
      <c r="AH57" s="62">
        <v>0.127272727</v>
      </c>
      <c r="AI57" s="62">
        <v>0.183990442</v>
      </c>
      <c r="AJ57" s="62">
        <v>0.356633762</v>
      </c>
      <c r="AK57" s="62">
        <v>0.997144752</v>
      </c>
      <c r="AL57" s="62">
        <v>0.999637345</v>
      </c>
      <c r="AM57" s="62">
        <v>0.998389493</v>
      </c>
      <c r="AN57" s="62">
        <v>0.446321738</v>
      </c>
      <c r="AO57" s="49"/>
      <c r="AP57" s="49"/>
      <c r="AQ57" s="49"/>
    </row>
    <row r="58">
      <c r="A58" s="13"/>
      <c r="B58" s="13"/>
      <c r="C58" s="46">
        <v>3.0</v>
      </c>
      <c r="D58" s="47">
        <v>1.0</v>
      </c>
      <c r="E58" s="47">
        <v>1.0</v>
      </c>
      <c r="F58" s="62">
        <v>1.0</v>
      </c>
      <c r="G58" s="62">
        <v>0.006898169</v>
      </c>
      <c r="H58" s="62">
        <v>0.999927697</v>
      </c>
      <c r="I58" s="62">
        <v>0.728636509</v>
      </c>
      <c r="J58" s="62">
        <v>0.559591727</v>
      </c>
      <c r="K58" s="62">
        <v>1.0</v>
      </c>
      <c r="L58" s="62">
        <v>0.5</v>
      </c>
      <c r="M58" s="62">
        <v>0.767161505</v>
      </c>
      <c r="N58" s="48">
        <f t="shared" si="1"/>
        <v>0.7747945395</v>
      </c>
      <c r="O58" s="48">
        <f t="shared" si="2"/>
        <v>77.17322542</v>
      </c>
      <c r="P58" s="62">
        <v>651.802292</v>
      </c>
      <c r="Q58" s="62">
        <v>0.762949705</v>
      </c>
      <c r="R58" s="62">
        <v>0.997005846</v>
      </c>
      <c r="S58" s="62">
        <v>0.76858711</v>
      </c>
      <c r="T58" s="62">
        <v>0.658330468</v>
      </c>
      <c r="U58" s="62">
        <v>0.997578551</v>
      </c>
      <c r="V58" s="62">
        <v>0.76858711</v>
      </c>
      <c r="W58" s="62">
        <v>0.997005846</v>
      </c>
      <c r="X58" s="62">
        <v>0.701971403</v>
      </c>
      <c r="Y58" s="62">
        <v>0.997254114</v>
      </c>
      <c r="Z58" s="62">
        <v>0.828791554</v>
      </c>
      <c r="AA58" s="62">
        <v>0.63714667</v>
      </c>
      <c r="AB58" s="62">
        <v>0.631947152</v>
      </c>
      <c r="AC58" s="62">
        <v>0.34828496</v>
      </c>
      <c r="AD58" s="62">
        <v>0.591928251</v>
      </c>
      <c r="AE58" s="62">
        <v>0.438538206</v>
      </c>
      <c r="AF58" s="62">
        <v>0.768959476</v>
      </c>
      <c r="AG58" s="62">
        <v>0.627536232</v>
      </c>
      <c r="AH58" s="62">
        <v>0.715702479</v>
      </c>
      <c r="AI58" s="62">
        <v>0.668725869</v>
      </c>
      <c r="AJ58" s="62">
        <v>0.845522994</v>
      </c>
      <c r="AK58" s="62">
        <v>0.999170211</v>
      </c>
      <c r="AL58" s="62">
        <v>0.998130599</v>
      </c>
      <c r="AM58" s="62">
        <v>0.998650134</v>
      </c>
      <c r="AN58" s="62">
        <v>0.875602664</v>
      </c>
      <c r="AO58" s="49"/>
      <c r="AP58" s="49"/>
      <c r="AQ58" s="49"/>
    </row>
    <row r="59">
      <c r="A59" s="13"/>
      <c r="B59" s="16"/>
      <c r="C59" s="46">
        <v>4.0</v>
      </c>
      <c r="D59" s="47">
        <v>1.0</v>
      </c>
      <c r="E59" s="47">
        <v>1.0</v>
      </c>
      <c r="F59" s="62">
        <v>1.0</v>
      </c>
      <c r="G59" s="62">
        <v>0.007820936</v>
      </c>
      <c r="H59" s="62">
        <v>0.999885364</v>
      </c>
      <c r="I59" s="62">
        <v>0.0</v>
      </c>
      <c r="J59" s="62">
        <v>0.561441621</v>
      </c>
      <c r="K59" s="62">
        <v>1.0</v>
      </c>
      <c r="L59" s="62">
        <v>0.5</v>
      </c>
      <c r="M59" s="62">
        <v>0.017432947</v>
      </c>
      <c r="N59" s="48">
        <f t="shared" si="1"/>
        <v>0.8468047905</v>
      </c>
      <c r="O59" s="48">
        <f t="shared" si="2"/>
        <v>17.91506168</v>
      </c>
      <c r="P59" s="62">
        <v>651.802292</v>
      </c>
      <c r="Q59" s="62">
        <v>0.923930168</v>
      </c>
      <c r="R59" s="62">
        <v>0.997423135</v>
      </c>
      <c r="S59" s="62">
        <v>0.895299882</v>
      </c>
      <c r="T59" s="62">
        <v>0.709926058</v>
      </c>
      <c r="U59" s="62">
        <v>0.998130947</v>
      </c>
      <c r="V59" s="62">
        <v>0.895299882</v>
      </c>
      <c r="W59" s="62">
        <v>0.997423135</v>
      </c>
      <c r="X59" s="62">
        <v>0.783979555</v>
      </c>
      <c r="Y59" s="62">
        <v>0.997686836</v>
      </c>
      <c r="Z59" s="62">
        <v>0.928249443</v>
      </c>
      <c r="AA59" s="62">
        <v>0.718302916</v>
      </c>
      <c r="AB59" s="62">
        <v>0.705376306</v>
      </c>
      <c r="AC59" s="62">
        <v>0.547277937</v>
      </c>
      <c r="AD59" s="62">
        <v>0.856502242</v>
      </c>
      <c r="AE59" s="62">
        <v>0.667832168</v>
      </c>
      <c r="AF59" s="62">
        <v>0.925159182</v>
      </c>
      <c r="AG59" s="62">
        <v>0.582850521</v>
      </c>
      <c r="AH59" s="62">
        <v>0.831404959</v>
      </c>
      <c r="AI59" s="62">
        <v>0.685286104</v>
      </c>
      <c r="AJ59" s="62">
        <v>0.911105922</v>
      </c>
      <c r="AK59" s="62">
        <v>0.999649716</v>
      </c>
      <c r="AL59" s="62">
        <v>0.997992445</v>
      </c>
      <c r="AM59" s="62">
        <v>0.998820393</v>
      </c>
      <c r="AN59" s="62">
        <v>0.948874464</v>
      </c>
      <c r="AO59" s="49"/>
      <c r="AP59" s="49"/>
      <c r="AQ59" s="49"/>
    </row>
    <row r="60">
      <c r="A60" s="13"/>
      <c r="B60" s="51" t="s">
        <v>24</v>
      </c>
      <c r="C60" s="46">
        <v>1.0</v>
      </c>
      <c r="D60" s="47">
        <v>1.0</v>
      </c>
      <c r="E60" s="47">
        <v>1.0</v>
      </c>
      <c r="F60" s="62">
        <v>1.0</v>
      </c>
      <c r="G60" s="62">
        <v>0.016422675</v>
      </c>
      <c r="H60" s="62">
        <v>0.998084172</v>
      </c>
      <c r="I60" s="62">
        <v>0.002442959</v>
      </c>
      <c r="J60" s="62">
        <v>0.574920696</v>
      </c>
      <c r="K60" s="62">
        <v>1.0</v>
      </c>
      <c r="L60" s="62">
        <v>0.5</v>
      </c>
      <c r="M60" s="62">
        <v>0.298041594</v>
      </c>
      <c r="N60" s="48">
        <f t="shared" si="1"/>
        <v>0.4978623375</v>
      </c>
      <c r="O60" s="48">
        <f t="shared" si="2"/>
        <v>40.54864212</v>
      </c>
      <c r="P60" s="62">
        <v>4223.367928</v>
      </c>
      <c r="Q60" s="62">
        <v>0.019978056</v>
      </c>
      <c r="R60" s="62">
        <v>0.987997574</v>
      </c>
      <c r="S60" s="62">
        <v>0.452122421</v>
      </c>
      <c r="T60" s="62">
        <v>0.379725283</v>
      </c>
      <c r="U60" s="62">
        <v>0.994735139</v>
      </c>
      <c r="V60" s="62">
        <v>0.452122421</v>
      </c>
      <c r="W60" s="62">
        <v>0.987997574</v>
      </c>
      <c r="X60" s="62">
        <v>0.388512031</v>
      </c>
      <c r="Y60" s="62">
        <v>0.991147586</v>
      </c>
      <c r="Z60" s="62">
        <v>0.398699146</v>
      </c>
      <c r="AA60" s="62">
        <v>0.196780363</v>
      </c>
      <c r="AB60" s="62">
        <v>0.169020469</v>
      </c>
      <c r="AC60" s="62">
        <v>0.057142857</v>
      </c>
      <c r="AD60" s="62">
        <v>0.02690583</v>
      </c>
      <c r="AE60" s="62">
        <v>0.036585366</v>
      </c>
      <c r="AF60" s="62">
        <v>0.163994999</v>
      </c>
      <c r="AG60" s="62">
        <v>0.084016393</v>
      </c>
      <c r="AH60" s="62">
        <v>0.338842975</v>
      </c>
      <c r="AI60" s="62">
        <v>0.134646962</v>
      </c>
      <c r="AJ60" s="62">
        <v>0.579289695</v>
      </c>
      <c r="AK60" s="62">
        <v>0.998016598</v>
      </c>
      <c r="AL60" s="62">
        <v>0.990618457</v>
      </c>
      <c r="AM60" s="62">
        <v>0.994303766</v>
      </c>
      <c r="AN60" s="62">
        <v>0.667128523</v>
      </c>
      <c r="AO60" s="63"/>
      <c r="AP60" s="63"/>
      <c r="AQ60" s="63"/>
    </row>
    <row r="61">
      <c r="A61" s="13"/>
      <c r="B61" s="13"/>
      <c r="C61" s="46">
        <v>2.0</v>
      </c>
      <c r="D61" s="47">
        <v>1.0</v>
      </c>
      <c r="E61" s="47">
        <v>1.0</v>
      </c>
      <c r="F61" s="62">
        <v>1.0</v>
      </c>
      <c r="G61" s="62">
        <v>0.014667481</v>
      </c>
      <c r="H61" s="62">
        <v>0.99855677</v>
      </c>
      <c r="I61" s="62">
        <v>0.001984729</v>
      </c>
      <c r="J61" s="62">
        <v>0.572465222</v>
      </c>
      <c r="K61" s="62">
        <v>1.0</v>
      </c>
      <c r="L61" s="62">
        <v>0.5</v>
      </c>
      <c r="M61" s="62">
        <v>0.287716987</v>
      </c>
      <c r="N61" s="48">
        <f t="shared" si="1"/>
        <v>0.5201918927</v>
      </c>
      <c r="O61" s="48">
        <f t="shared" si="2"/>
        <v>41.04727671</v>
      </c>
      <c r="P61" s="62">
        <v>4223.367928</v>
      </c>
      <c r="Q61" s="62">
        <v>0.019746707</v>
      </c>
      <c r="R61" s="62">
        <v>0.989356988</v>
      </c>
      <c r="S61" s="62">
        <v>0.478345726</v>
      </c>
      <c r="T61" s="62">
        <v>0.408419374</v>
      </c>
      <c r="U61" s="62">
        <v>0.99492206</v>
      </c>
      <c r="V61" s="62">
        <v>0.478345726</v>
      </c>
      <c r="W61" s="62">
        <v>0.989356988</v>
      </c>
      <c r="X61" s="62">
        <v>0.41706401</v>
      </c>
      <c r="Y61" s="62">
        <v>0.991933431</v>
      </c>
      <c r="Z61" s="62">
        <v>0.484203885</v>
      </c>
      <c r="AA61" s="62">
        <v>0.224854298</v>
      </c>
      <c r="AB61" s="62">
        <v>0.198630338</v>
      </c>
      <c r="AC61" s="62">
        <v>0.123188406</v>
      </c>
      <c r="AD61" s="62">
        <v>0.076233184</v>
      </c>
      <c r="AE61" s="62">
        <v>0.094182826</v>
      </c>
      <c r="AF61" s="62">
        <v>0.276031635</v>
      </c>
      <c r="AG61" s="62">
        <v>0.103981265</v>
      </c>
      <c r="AH61" s="62">
        <v>0.366942149</v>
      </c>
      <c r="AI61" s="62">
        <v>0.162043796</v>
      </c>
      <c r="AJ61" s="62">
        <v>0.603253242</v>
      </c>
      <c r="AK61" s="62">
        <v>0.998088453</v>
      </c>
      <c r="AL61" s="62">
        <v>0.991861846</v>
      </c>
      <c r="AM61" s="62">
        <v>0.994965408</v>
      </c>
      <c r="AN61" s="62">
        <v>0.68175179</v>
      </c>
      <c r="AO61" s="63"/>
      <c r="AP61" s="63"/>
      <c r="AQ61" s="63"/>
    </row>
    <row r="62">
      <c r="A62" s="13"/>
      <c r="B62" s="13"/>
      <c r="C62" s="46">
        <v>3.0</v>
      </c>
      <c r="D62" s="47">
        <v>1.0</v>
      </c>
      <c r="E62" s="47">
        <v>1.0</v>
      </c>
      <c r="F62" s="62">
        <v>1.0</v>
      </c>
      <c r="G62" s="62">
        <v>0.040892137</v>
      </c>
      <c r="H62" s="62">
        <v>0.992028889</v>
      </c>
      <c r="I62" s="62">
        <v>0.007264489</v>
      </c>
      <c r="J62" s="62">
        <v>0.609541925</v>
      </c>
      <c r="K62" s="62">
        <v>1.0</v>
      </c>
      <c r="L62" s="62">
        <v>0.5</v>
      </c>
      <c r="M62" s="62">
        <v>0.360537543</v>
      </c>
      <c r="N62" s="48">
        <f t="shared" si="1"/>
        <v>0.599696714</v>
      </c>
      <c r="O62" s="48">
        <f t="shared" si="2"/>
        <v>48.92594237</v>
      </c>
      <c r="P62" s="62">
        <v>4223.367928</v>
      </c>
      <c r="Q62" s="62">
        <v>0.019946134</v>
      </c>
      <c r="R62" s="62">
        <v>0.974149613</v>
      </c>
      <c r="S62" s="62">
        <v>0.725985902</v>
      </c>
      <c r="T62" s="62">
        <v>0.450048898</v>
      </c>
      <c r="U62" s="62">
        <v>0.996031534</v>
      </c>
      <c r="V62" s="62">
        <v>0.725985902</v>
      </c>
      <c r="W62" s="62">
        <v>0.974149613</v>
      </c>
      <c r="X62" s="62">
        <v>0.493803568</v>
      </c>
      <c r="Y62" s="62">
        <v>0.984277947</v>
      </c>
      <c r="Z62" s="62">
        <v>0.799086386</v>
      </c>
      <c r="AA62" s="62">
        <v>0.247489037</v>
      </c>
      <c r="AB62" s="62">
        <v>0.156824611</v>
      </c>
      <c r="AC62" s="62">
        <v>0.283018868</v>
      </c>
      <c r="AD62" s="62">
        <v>0.538116592</v>
      </c>
      <c r="AE62" s="62">
        <v>0.370942813</v>
      </c>
      <c r="AF62" s="62">
        <v>0.733084014</v>
      </c>
      <c r="AG62" s="62">
        <v>0.067985794</v>
      </c>
      <c r="AH62" s="62">
        <v>0.66446281</v>
      </c>
      <c r="AI62" s="62">
        <v>0.123350721</v>
      </c>
      <c r="AJ62" s="62">
        <v>0.805399656</v>
      </c>
      <c r="AK62" s="62">
        <v>0.999142033</v>
      </c>
      <c r="AL62" s="62">
        <v>0.975378306</v>
      </c>
      <c r="AM62" s="62">
        <v>0.987117169</v>
      </c>
      <c r="AN62" s="62">
        <v>0.864203471</v>
      </c>
      <c r="AO62" s="63"/>
      <c r="AP62" s="63"/>
      <c r="AQ62" s="63"/>
    </row>
    <row r="63">
      <c r="A63" s="13"/>
      <c r="B63" s="16"/>
      <c r="C63" s="46">
        <v>4.0</v>
      </c>
      <c r="D63" s="47">
        <v>1.0</v>
      </c>
      <c r="E63" s="47">
        <v>1.0</v>
      </c>
      <c r="F63" s="62">
        <v>1.0</v>
      </c>
      <c r="G63" s="62">
        <v>0.012892929</v>
      </c>
      <c r="H63" s="62">
        <v>0.999220271</v>
      </c>
      <c r="I63" s="62">
        <v>6.01E-5</v>
      </c>
      <c r="J63" s="62">
        <v>0.571661424</v>
      </c>
      <c r="K63" s="62">
        <v>1.0</v>
      </c>
      <c r="L63" s="62">
        <v>0.5</v>
      </c>
      <c r="M63" s="62">
        <v>0.160606147</v>
      </c>
      <c r="N63" s="48">
        <f t="shared" si="1"/>
        <v>0.7927436211</v>
      </c>
      <c r="O63" s="48">
        <f t="shared" si="2"/>
        <v>41.85858266</v>
      </c>
      <c r="P63" s="62">
        <v>4223.367928</v>
      </c>
      <c r="Q63" s="62">
        <v>0.020035935</v>
      </c>
      <c r="R63" s="62">
        <v>0.994480605</v>
      </c>
      <c r="S63" s="62">
        <v>0.936020307</v>
      </c>
      <c r="T63" s="62">
        <v>0.581033652</v>
      </c>
      <c r="U63" s="62">
        <v>0.99762189</v>
      </c>
      <c r="V63" s="62">
        <v>0.936020307</v>
      </c>
      <c r="W63" s="62">
        <v>0.994480605</v>
      </c>
      <c r="X63" s="62">
        <v>0.683839</v>
      </c>
      <c r="Y63" s="62">
        <v>0.995653394</v>
      </c>
      <c r="Z63" s="62">
        <v>0.959015104</v>
      </c>
      <c r="AA63" s="62">
        <v>0.598302056</v>
      </c>
      <c r="AB63" s="62">
        <v>0.544162571</v>
      </c>
      <c r="AC63" s="62">
        <v>0.362007169</v>
      </c>
      <c r="AD63" s="62">
        <v>0.905829596</v>
      </c>
      <c r="AE63" s="62">
        <v>0.517285531</v>
      </c>
      <c r="AF63" s="62">
        <v>0.951021027</v>
      </c>
      <c r="AG63" s="62">
        <v>0.38125</v>
      </c>
      <c r="AH63" s="62">
        <v>0.907438017</v>
      </c>
      <c r="AI63" s="62">
        <v>0.536919315</v>
      </c>
      <c r="AJ63" s="62">
        <v>0.95076322</v>
      </c>
      <c r="AK63" s="62">
        <v>0.999843787</v>
      </c>
      <c r="AL63" s="62">
        <v>0.994793308</v>
      </c>
      <c r="AM63" s="62">
        <v>0.997312154</v>
      </c>
      <c r="AN63" s="62">
        <v>0.975469848</v>
      </c>
      <c r="AO63" s="63"/>
      <c r="AP63" s="63"/>
      <c r="AQ63" s="63"/>
    </row>
    <row r="64">
      <c r="A64" s="13"/>
      <c r="B64" s="51" t="s">
        <v>25</v>
      </c>
      <c r="C64" s="46">
        <v>1.0</v>
      </c>
      <c r="D64" s="47">
        <v>1.0</v>
      </c>
      <c r="E64" s="47">
        <v>1.0</v>
      </c>
      <c r="F64" s="62">
        <v>1.0</v>
      </c>
      <c r="G64" s="62">
        <v>2.19399E-4</v>
      </c>
      <c r="H64" s="62">
        <v>0.998528035</v>
      </c>
      <c r="I64" s="62">
        <v>2.01E-8</v>
      </c>
      <c r="J64" s="62">
        <v>0.541796636</v>
      </c>
      <c r="K64" s="62">
        <v>1.0</v>
      </c>
      <c r="L64" s="62">
        <v>0.5</v>
      </c>
      <c r="M64" s="62">
        <v>0.041922831</v>
      </c>
      <c r="N64" s="48">
        <f t="shared" si="1"/>
        <v>0.4697018006</v>
      </c>
      <c r="O64" s="48">
        <f t="shared" si="2"/>
        <v>17.86790258</v>
      </c>
      <c r="P64" s="62">
        <v>4504.184755</v>
      </c>
      <c r="Q64" s="62">
        <v>0.079728357</v>
      </c>
      <c r="R64" s="62">
        <v>0.996562746</v>
      </c>
      <c r="S64" s="62">
        <v>0.374949252</v>
      </c>
      <c r="T64" s="62">
        <v>0.891274609</v>
      </c>
      <c r="U64" s="62">
        <v>0.995808198</v>
      </c>
      <c r="V64" s="62">
        <v>0.374949252</v>
      </c>
      <c r="W64" s="62">
        <v>0.996562746</v>
      </c>
      <c r="X64" s="62">
        <v>0.407540068</v>
      </c>
      <c r="Y64" s="62">
        <v>0.994966519</v>
      </c>
      <c r="Z64" s="62">
        <v>0.182739416</v>
      </c>
      <c r="AA64" s="62">
        <v>0.187527145</v>
      </c>
      <c r="AB64" s="62">
        <v>0.072908141</v>
      </c>
      <c r="AC64" s="62">
        <v>0.962962963</v>
      </c>
      <c r="AD64" s="62">
        <v>0.116591928</v>
      </c>
      <c r="AE64" s="62">
        <v>0.208</v>
      </c>
      <c r="AF64" s="62">
        <v>0.341454867</v>
      </c>
      <c r="AG64" s="62">
        <v>0.714285714</v>
      </c>
      <c r="AH64" s="62">
        <v>0.008264463</v>
      </c>
      <c r="AI64" s="62">
        <v>0.016339869</v>
      </c>
      <c r="AJ64" s="62">
        <v>0.090908699</v>
      </c>
      <c r="AK64" s="62">
        <v>0.996575151</v>
      </c>
      <c r="AL64" s="62">
        <v>0.999991365</v>
      </c>
      <c r="AM64" s="62">
        <v>0.998280336</v>
      </c>
      <c r="AN64" s="62">
        <v>0.196588426</v>
      </c>
      <c r="AO64" s="49"/>
      <c r="AP64" s="49"/>
      <c r="AQ64" s="49"/>
    </row>
    <row r="65">
      <c r="A65" s="13"/>
      <c r="B65" s="13"/>
      <c r="C65" s="46">
        <v>2.0</v>
      </c>
      <c r="D65" s="47">
        <v>1.0</v>
      </c>
      <c r="E65" s="47">
        <v>1.0</v>
      </c>
      <c r="F65" s="62">
        <v>1.0</v>
      </c>
      <c r="G65" s="62">
        <v>0.001071184</v>
      </c>
      <c r="H65" s="62">
        <v>0.99914647</v>
      </c>
      <c r="I65" s="62">
        <v>1.54E-7</v>
      </c>
      <c r="J65" s="62">
        <v>0.544730026</v>
      </c>
      <c r="K65" s="62">
        <v>1.0</v>
      </c>
      <c r="L65" s="62">
        <v>0.5</v>
      </c>
      <c r="M65" s="62">
        <v>0.058909441</v>
      </c>
      <c r="N65" s="48">
        <f t="shared" si="1"/>
        <v>0.5646175369</v>
      </c>
      <c r="O65" s="48">
        <f t="shared" si="2"/>
        <v>22.86265056</v>
      </c>
      <c r="P65" s="62">
        <v>4504.184755</v>
      </c>
      <c r="Q65" s="62">
        <v>0.079885703</v>
      </c>
      <c r="R65" s="62">
        <v>0.996717616</v>
      </c>
      <c r="S65" s="62">
        <v>0.472915148</v>
      </c>
      <c r="T65" s="62">
        <v>0.761915901</v>
      </c>
      <c r="U65" s="62">
        <v>0.995412455</v>
      </c>
      <c r="V65" s="62">
        <v>0.472915148</v>
      </c>
      <c r="W65" s="62">
        <v>0.996717616</v>
      </c>
      <c r="X65" s="62">
        <v>0.532358741</v>
      </c>
      <c r="Y65" s="62">
        <v>0.995536313</v>
      </c>
      <c r="Z65" s="62">
        <v>0.372788887</v>
      </c>
      <c r="AA65" s="62">
        <v>0.310912511</v>
      </c>
      <c r="AB65" s="62">
        <v>0.231731707</v>
      </c>
      <c r="AC65" s="62">
        <v>0.811881188</v>
      </c>
      <c r="AD65" s="62">
        <v>0.367713005</v>
      </c>
      <c r="AE65" s="62">
        <v>0.50617284</v>
      </c>
      <c r="AF65" s="62">
        <v>0.606368634</v>
      </c>
      <c r="AG65" s="62">
        <v>0.476923077</v>
      </c>
      <c r="AH65" s="62">
        <v>0.051239669</v>
      </c>
      <c r="AI65" s="62">
        <v>0.092537313</v>
      </c>
      <c r="AJ65" s="62">
        <v>0.226345213</v>
      </c>
      <c r="AK65" s="62">
        <v>0.996943436</v>
      </c>
      <c r="AL65" s="62">
        <v>0.999792769</v>
      </c>
      <c r="AM65" s="62">
        <v>0.998366069</v>
      </c>
      <c r="AN65" s="62">
        <v>0.3774686</v>
      </c>
      <c r="AO65" s="49"/>
      <c r="AP65" s="49"/>
      <c r="AQ65" s="49"/>
    </row>
    <row r="66">
      <c r="A66" s="13"/>
      <c r="B66" s="13"/>
      <c r="C66" s="46">
        <v>3.0</v>
      </c>
      <c r="D66" s="47">
        <v>1.0</v>
      </c>
      <c r="E66" s="47">
        <v>1.0</v>
      </c>
      <c r="F66" s="62">
        <v>1.0</v>
      </c>
      <c r="G66" s="62">
        <v>0.002116557</v>
      </c>
      <c r="H66" s="62">
        <v>0.999525223</v>
      </c>
      <c r="I66" s="62">
        <v>2.27E-7</v>
      </c>
      <c r="J66" s="62">
        <v>0.547839758</v>
      </c>
      <c r="K66" s="62">
        <v>1.0</v>
      </c>
      <c r="L66" s="62">
        <v>0.5</v>
      </c>
      <c r="M66" s="62">
        <v>0.062957571</v>
      </c>
      <c r="N66" s="48">
        <f t="shared" si="1"/>
        <v>0.6688872842</v>
      </c>
      <c r="O66" s="48">
        <f t="shared" si="2"/>
        <v>25.9914764</v>
      </c>
      <c r="P66" s="62">
        <v>4504.184755</v>
      </c>
      <c r="Q66" s="62">
        <v>0.079956969</v>
      </c>
      <c r="R66" s="62">
        <v>0.997104791</v>
      </c>
      <c r="S66" s="62">
        <v>0.597587319</v>
      </c>
      <c r="T66" s="62">
        <v>0.787946734</v>
      </c>
      <c r="U66" s="62">
        <v>0.996202758</v>
      </c>
      <c r="V66" s="62">
        <v>0.597587319</v>
      </c>
      <c r="W66" s="62">
        <v>0.997104791</v>
      </c>
      <c r="X66" s="62">
        <v>0.646843594</v>
      </c>
      <c r="Y66" s="62">
        <v>0.996306397</v>
      </c>
      <c r="Z66" s="62">
        <v>0.547903246</v>
      </c>
      <c r="AA66" s="62">
        <v>0.462413759</v>
      </c>
      <c r="AB66" s="62">
        <v>0.416448641</v>
      </c>
      <c r="AC66" s="62">
        <v>0.807692308</v>
      </c>
      <c r="AD66" s="62">
        <v>0.659192825</v>
      </c>
      <c r="AE66" s="62">
        <v>0.725925926</v>
      </c>
      <c r="AF66" s="62">
        <v>0.811845722</v>
      </c>
      <c r="AG66" s="62">
        <v>0.55862069</v>
      </c>
      <c r="AH66" s="62">
        <v>0.133884298</v>
      </c>
      <c r="AI66" s="62">
        <v>0.216</v>
      </c>
      <c r="AJ66" s="62">
        <v>0.365851527</v>
      </c>
      <c r="AK66" s="62">
        <v>0.997527205</v>
      </c>
      <c r="AL66" s="62">
        <v>0.999684835</v>
      </c>
      <c r="AM66" s="62">
        <v>0.998604855</v>
      </c>
      <c r="AN66" s="62">
        <v>0.553774868</v>
      </c>
      <c r="AO66" s="49"/>
      <c r="AP66" s="49"/>
      <c r="AQ66" s="49"/>
    </row>
    <row r="67">
      <c r="A67" s="13"/>
      <c r="B67" s="16"/>
      <c r="C67" s="46">
        <v>4.0</v>
      </c>
      <c r="D67" s="47">
        <v>1.0</v>
      </c>
      <c r="E67" s="47">
        <v>1.0</v>
      </c>
      <c r="F67" s="62">
        <v>1.0</v>
      </c>
      <c r="G67" s="62">
        <v>0.009679376</v>
      </c>
      <c r="H67" s="62">
        <v>0.99969237</v>
      </c>
      <c r="I67" s="62">
        <v>7.0E-6</v>
      </c>
      <c r="J67" s="62">
        <v>0.565326615</v>
      </c>
      <c r="K67" s="62">
        <v>1.0</v>
      </c>
      <c r="L67" s="62">
        <v>0.5</v>
      </c>
      <c r="M67" s="62">
        <v>0.112045571</v>
      </c>
      <c r="N67" s="48">
        <f t="shared" si="1"/>
        <v>0.8077028676</v>
      </c>
      <c r="O67" s="48">
        <f t="shared" si="2"/>
        <v>36.65294309</v>
      </c>
      <c r="P67" s="62">
        <v>4504.184755</v>
      </c>
      <c r="Q67" s="62">
        <v>0.079738362</v>
      </c>
      <c r="R67" s="62">
        <v>0.996098136</v>
      </c>
      <c r="S67" s="62">
        <v>0.890854715</v>
      </c>
      <c r="T67" s="62">
        <v>0.636657003</v>
      </c>
      <c r="U67" s="62">
        <v>0.997668052</v>
      </c>
      <c r="V67" s="62">
        <v>0.890854715</v>
      </c>
      <c r="W67" s="62">
        <v>0.996098136</v>
      </c>
      <c r="X67" s="62">
        <v>0.725882285</v>
      </c>
      <c r="Y67" s="62">
        <v>0.9966901</v>
      </c>
      <c r="Z67" s="62">
        <v>0.923270236</v>
      </c>
      <c r="AA67" s="62">
        <v>0.636245117</v>
      </c>
      <c r="AB67" s="62">
        <v>0.608959255</v>
      </c>
      <c r="AC67" s="62">
        <v>0.451764706</v>
      </c>
      <c r="AD67" s="62">
        <v>0.860986547</v>
      </c>
      <c r="AE67" s="62">
        <v>0.592592593</v>
      </c>
      <c r="AF67" s="62">
        <v>0.927428006</v>
      </c>
      <c r="AG67" s="62">
        <v>0.458604651</v>
      </c>
      <c r="AH67" s="62">
        <v>0.814876033</v>
      </c>
      <c r="AI67" s="62">
        <v>0.586904762</v>
      </c>
      <c r="AJ67" s="62">
        <v>0.901571116</v>
      </c>
      <c r="AK67" s="62">
        <v>0.999601651</v>
      </c>
      <c r="AL67" s="62">
        <v>0.996701565</v>
      </c>
      <c r="AM67" s="62">
        <v>0.998149501</v>
      </c>
      <c r="AN67" s="62">
        <v>0.94125286</v>
      </c>
      <c r="AO67" s="49"/>
      <c r="AP67" s="49"/>
      <c r="AQ67" s="49"/>
    </row>
    <row r="68">
      <c r="A68" s="13"/>
      <c r="B68" s="51" t="s">
        <v>26</v>
      </c>
      <c r="C68" s="46">
        <v>1.0</v>
      </c>
      <c r="D68" s="47">
        <v>1.0</v>
      </c>
      <c r="E68" s="47">
        <v>1.0</v>
      </c>
      <c r="F68" s="62">
        <v>1.0</v>
      </c>
      <c r="G68" s="62">
        <v>0.002491</v>
      </c>
      <c r="H68" s="62">
        <v>0.999625</v>
      </c>
      <c r="I68" s="62">
        <v>3.0E-6</v>
      </c>
      <c r="J68" s="62">
        <v>0.548354</v>
      </c>
      <c r="K68" s="62">
        <v>1.0</v>
      </c>
      <c r="L68" s="62">
        <v>0.5</v>
      </c>
      <c r="M68" s="62">
        <v>0.097491</v>
      </c>
      <c r="N68" s="48">
        <f t="shared" si="1"/>
        <v>0.4974960872</v>
      </c>
      <c r="O68" s="48">
        <f t="shared" si="2"/>
        <v>25.92146911</v>
      </c>
      <c r="P68" s="46">
        <v>4044.241352</v>
      </c>
      <c r="Q68" s="46">
        <v>0.054971</v>
      </c>
      <c r="R68" s="46">
        <v>0.995612</v>
      </c>
      <c r="S68" s="46">
        <v>0.406814</v>
      </c>
      <c r="T68" s="46">
        <v>0.70387</v>
      </c>
      <c r="U68" s="46">
        <v>0.994701</v>
      </c>
      <c r="V68" s="46">
        <v>0.406814</v>
      </c>
      <c r="W68" s="46">
        <v>0.995612</v>
      </c>
      <c r="X68" s="46">
        <v>0.444531</v>
      </c>
      <c r="Y68" s="46">
        <v>0.99482</v>
      </c>
      <c r="Z68" s="46">
        <v>0.338092</v>
      </c>
      <c r="AA68" s="46">
        <v>0.169887</v>
      </c>
      <c r="AB68" s="46">
        <v>0.158182</v>
      </c>
      <c r="AC68" s="46">
        <v>0.923077</v>
      </c>
      <c r="AD68" s="46">
        <v>0.107623</v>
      </c>
      <c r="AE68" s="46">
        <v>0.192771</v>
      </c>
      <c r="AF68" s="46">
        <v>0.328059</v>
      </c>
      <c r="AG68" s="46">
        <v>0.191667</v>
      </c>
      <c r="AH68" s="46">
        <v>0.11405</v>
      </c>
      <c r="AI68" s="46">
        <v>0.143005</v>
      </c>
      <c r="AJ68" s="46">
        <v>0.3375</v>
      </c>
      <c r="AK68" s="46">
        <v>0.996867</v>
      </c>
      <c r="AL68" s="46">
        <v>0.99877</v>
      </c>
      <c r="AM68" s="46">
        <v>0.997818</v>
      </c>
      <c r="AN68" s="46">
        <v>0.349042</v>
      </c>
      <c r="AO68" s="64"/>
      <c r="AP68" s="64"/>
      <c r="AQ68" s="64"/>
    </row>
    <row r="69">
      <c r="A69" s="13"/>
      <c r="B69" s="13"/>
      <c r="C69" s="46">
        <v>2.0</v>
      </c>
      <c r="D69" s="47">
        <v>1.0</v>
      </c>
      <c r="E69" s="47">
        <v>1.0</v>
      </c>
      <c r="F69" s="62">
        <v>1.0</v>
      </c>
      <c r="G69" s="62">
        <v>0.002207</v>
      </c>
      <c r="H69" s="62">
        <v>0.999657</v>
      </c>
      <c r="I69" s="62">
        <v>1.0E-6</v>
      </c>
      <c r="J69" s="62">
        <v>0.547858</v>
      </c>
      <c r="K69" s="62">
        <v>1.0</v>
      </c>
      <c r="L69" s="62">
        <v>0.5</v>
      </c>
      <c r="M69" s="62">
        <v>0.084083</v>
      </c>
      <c r="N69" s="48">
        <f t="shared" si="1"/>
        <v>0.5480896089</v>
      </c>
      <c r="O69" s="48">
        <f t="shared" si="2"/>
        <v>25.89370647</v>
      </c>
      <c r="P69" s="46">
        <v>4044.241352</v>
      </c>
      <c r="Q69" s="46">
        <v>0.055109</v>
      </c>
      <c r="R69" s="46">
        <v>0.996137</v>
      </c>
      <c r="S69" s="46">
        <v>0.454298</v>
      </c>
      <c r="T69" s="46">
        <v>0.714616</v>
      </c>
      <c r="U69" s="46">
        <v>0.995049</v>
      </c>
      <c r="V69" s="46">
        <v>0.454298</v>
      </c>
      <c r="W69" s="46">
        <v>0.996137</v>
      </c>
      <c r="X69" s="46">
        <v>0.514568</v>
      </c>
      <c r="Y69" s="46">
        <v>0.995346</v>
      </c>
      <c r="Z69" s="46">
        <v>0.415908</v>
      </c>
      <c r="AA69" s="46">
        <v>0.254206</v>
      </c>
      <c r="AB69" s="46">
        <v>0.231158</v>
      </c>
      <c r="AC69" s="46">
        <v>0.866667</v>
      </c>
      <c r="AD69" s="46">
        <v>0.233184</v>
      </c>
      <c r="AE69" s="46">
        <v>0.367491</v>
      </c>
      <c r="AF69" s="46">
        <v>0.482883</v>
      </c>
      <c r="AG69" s="46">
        <v>0.280142</v>
      </c>
      <c r="AH69" s="46">
        <v>0.130579</v>
      </c>
      <c r="AI69" s="46">
        <v>0.178129</v>
      </c>
      <c r="AJ69" s="46">
        <v>0.361198</v>
      </c>
      <c r="AK69" s="46">
        <v>0.99704</v>
      </c>
      <c r="AL69" s="46">
        <v>0.999132</v>
      </c>
      <c r="AM69" s="46">
        <v>0.998085</v>
      </c>
      <c r="AN69" s="46">
        <v>0.412483</v>
      </c>
      <c r="AO69" s="64"/>
      <c r="AP69" s="64"/>
      <c r="AQ69" s="64"/>
    </row>
    <row r="70">
      <c r="A70" s="13"/>
      <c r="B70" s="13"/>
      <c r="C70" s="46">
        <v>3.0</v>
      </c>
      <c r="D70" s="47">
        <v>1.0</v>
      </c>
      <c r="E70" s="47">
        <v>1.0</v>
      </c>
      <c r="F70" s="62">
        <v>1.0</v>
      </c>
      <c r="G70" s="62">
        <v>0.004575</v>
      </c>
      <c r="H70" s="62">
        <v>0.999969</v>
      </c>
      <c r="I70" s="62">
        <v>3.0E-6</v>
      </c>
      <c r="J70" s="62">
        <v>0.55417</v>
      </c>
      <c r="K70" s="62">
        <v>1.0</v>
      </c>
      <c r="L70" s="62">
        <v>0.5</v>
      </c>
      <c r="M70" s="62">
        <v>0.094205</v>
      </c>
      <c r="N70" s="48">
        <f t="shared" si="1"/>
        <v>0.6872331369</v>
      </c>
      <c r="O70" s="48">
        <f t="shared" si="2"/>
        <v>31.03787908</v>
      </c>
      <c r="P70" s="46">
        <v>4044.241352</v>
      </c>
      <c r="Q70" s="46">
        <v>0.055068</v>
      </c>
      <c r="R70" s="46">
        <v>0.996442</v>
      </c>
      <c r="S70" s="46">
        <v>0.643417</v>
      </c>
      <c r="T70" s="46">
        <v>0.660407</v>
      </c>
      <c r="U70" s="46">
        <v>0.996159</v>
      </c>
      <c r="V70" s="46">
        <v>0.643417</v>
      </c>
      <c r="W70" s="46">
        <v>0.996442</v>
      </c>
      <c r="X70" s="46">
        <v>0.649137</v>
      </c>
      <c r="Y70" s="46">
        <v>0.996281</v>
      </c>
      <c r="Z70" s="46">
        <v>0.670144</v>
      </c>
      <c r="AA70" s="46">
        <v>0.462272</v>
      </c>
      <c r="AB70" s="46">
        <v>0.460896</v>
      </c>
      <c r="AC70" s="46">
        <v>0.528455</v>
      </c>
      <c r="AD70" s="46">
        <v>0.58296</v>
      </c>
      <c r="AE70" s="46">
        <v>0.554371</v>
      </c>
      <c r="AF70" s="46">
        <v>0.763327</v>
      </c>
      <c r="AG70" s="46">
        <v>0.454741</v>
      </c>
      <c r="AH70" s="46">
        <v>0.34876</v>
      </c>
      <c r="AI70" s="46">
        <v>0.394761</v>
      </c>
      <c r="AJ70" s="46">
        <v>0.590237</v>
      </c>
      <c r="AK70" s="46">
        <v>0.998024</v>
      </c>
      <c r="AL70" s="46">
        <v>0.998532</v>
      </c>
      <c r="AM70" s="46">
        <v>0.998278</v>
      </c>
      <c r="AN70" s="46">
        <v>0.667985</v>
      </c>
      <c r="AO70" s="64"/>
      <c r="AP70" s="64"/>
      <c r="AQ70" s="64"/>
    </row>
    <row r="71">
      <c r="A71" s="13"/>
      <c r="B71" s="16"/>
      <c r="C71" s="46">
        <v>4.0</v>
      </c>
      <c r="D71" s="47">
        <v>1.0</v>
      </c>
      <c r="E71" s="47">
        <v>1.0</v>
      </c>
      <c r="F71" s="62">
        <v>1.0</v>
      </c>
      <c r="G71" s="62">
        <v>0.010893</v>
      </c>
      <c r="H71" s="62">
        <v>0.999531</v>
      </c>
      <c r="I71" s="62">
        <v>6.0E-6</v>
      </c>
      <c r="J71" s="62">
        <v>0.567781</v>
      </c>
      <c r="K71" s="62">
        <v>1.0</v>
      </c>
      <c r="L71" s="62">
        <v>0.5</v>
      </c>
      <c r="M71" s="62">
        <v>0.109174</v>
      </c>
      <c r="N71" s="48">
        <f t="shared" si="1"/>
        <v>0.7997294396</v>
      </c>
      <c r="O71" s="48">
        <f t="shared" si="2"/>
        <v>36.05898843</v>
      </c>
      <c r="P71" s="46">
        <v>4044.241352</v>
      </c>
      <c r="Q71" s="46">
        <v>0.054993</v>
      </c>
      <c r="R71" s="46">
        <v>0.995423</v>
      </c>
      <c r="S71" s="46">
        <v>0.909325</v>
      </c>
      <c r="T71" s="46">
        <v>0.611872</v>
      </c>
      <c r="U71" s="46">
        <v>0.997568</v>
      </c>
      <c r="V71" s="46">
        <v>0.909325</v>
      </c>
      <c r="W71" s="46">
        <v>0.995423</v>
      </c>
      <c r="X71" s="46">
        <v>0.708376</v>
      </c>
      <c r="Y71" s="46">
        <v>0.996227</v>
      </c>
      <c r="Z71" s="46">
        <v>0.9349</v>
      </c>
      <c r="AA71" s="46">
        <v>0.612434</v>
      </c>
      <c r="AB71" s="46">
        <v>0.575315</v>
      </c>
      <c r="AC71" s="46">
        <v>0.415449</v>
      </c>
      <c r="AD71" s="46">
        <v>0.892377</v>
      </c>
      <c r="AE71" s="46">
        <v>0.566952</v>
      </c>
      <c r="AF71" s="46">
        <v>0.944087</v>
      </c>
      <c r="AG71" s="46">
        <v>0.42053</v>
      </c>
      <c r="AH71" s="46">
        <v>0.839669</v>
      </c>
      <c r="AI71" s="46">
        <v>0.560397</v>
      </c>
      <c r="AJ71" s="46">
        <v>0.91495</v>
      </c>
      <c r="AK71" s="46">
        <v>0.999636</v>
      </c>
      <c r="AL71" s="46">
        <v>0.995929</v>
      </c>
      <c r="AM71" s="46">
        <v>0.997779</v>
      </c>
      <c r="AN71" s="46">
        <v>0.945988</v>
      </c>
      <c r="AO71" s="64"/>
      <c r="AP71" s="64"/>
      <c r="AQ71" s="64"/>
    </row>
    <row r="72">
      <c r="A72" s="13"/>
      <c r="B72" s="51" t="s">
        <v>27</v>
      </c>
      <c r="C72" s="46">
        <v>1.0</v>
      </c>
      <c r="D72" s="47">
        <v>1.0</v>
      </c>
      <c r="E72" s="47">
        <v>1.0</v>
      </c>
      <c r="F72" s="65">
        <v>1.0</v>
      </c>
      <c r="G72" s="62">
        <v>0.001148619</v>
      </c>
      <c r="H72" s="62">
        <v>0.998970594</v>
      </c>
      <c r="I72" s="62">
        <v>5.25E-8</v>
      </c>
      <c r="J72" s="62">
        <v>0.544842555</v>
      </c>
      <c r="K72" s="62">
        <v>1.0</v>
      </c>
      <c r="L72" s="62">
        <v>0.5</v>
      </c>
      <c r="M72" s="65">
        <v>0.049264419</v>
      </c>
      <c r="N72" s="48">
        <f t="shared" si="1"/>
        <v>0.5108049326</v>
      </c>
      <c r="O72" s="48">
        <f t="shared" si="2"/>
        <v>20.04316933</v>
      </c>
      <c r="P72" s="46">
        <v>4273.123954</v>
      </c>
      <c r="Q72" s="46">
        <v>0.15613</v>
      </c>
      <c r="R72" s="46">
        <v>0.996391</v>
      </c>
      <c r="S72" s="46">
        <v>0.425497</v>
      </c>
      <c r="T72" s="46">
        <v>0.702277</v>
      </c>
      <c r="U72" s="46">
        <v>0.995578</v>
      </c>
      <c r="V72" s="46">
        <v>0.425497</v>
      </c>
      <c r="W72" s="46">
        <v>0.996391</v>
      </c>
      <c r="X72" s="46">
        <v>0.451374</v>
      </c>
      <c r="Y72" s="46">
        <v>0.995123</v>
      </c>
      <c r="Z72" s="46">
        <v>0.312603</v>
      </c>
      <c r="AA72" s="46">
        <v>0.216775</v>
      </c>
      <c r="AB72" s="46">
        <v>0.165298</v>
      </c>
      <c r="AC72" s="46">
        <v>0.36</v>
      </c>
      <c r="AD72" s="46">
        <v>0.242152</v>
      </c>
      <c r="AE72" s="46">
        <v>0.289544</v>
      </c>
      <c r="AF72" s="46">
        <v>0.491988</v>
      </c>
      <c r="AG72" s="46">
        <v>0.75</v>
      </c>
      <c r="AH72" s="46">
        <v>0.034711</v>
      </c>
      <c r="AI72" s="46">
        <v>0.066351</v>
      </c>
      <c r="AJ72" s="46">
        <v>0.186305</v>
      </c>
      <c r="AK72" s="46">
        <v>0.996831</v>
      </c>
      <c r="AL72" s="46">
        <v>0.999629</v>
      </c>
      <c r="AM72" s="46">
        <v>0.998228</v>
      </c>
      <c r="AN72" s="46">
        <v>0.333271</v>
      </c>
      <c r="AO72" s="49"/>
      <c r="AP72" s="49"/>
      <c r="AQ72" s="49"/>
    </row>
    <row r="73">
      <c r="A73" s="13"/>
      <c r="B73" s="13"/>
      <c r="C73" s="46">
        <v>2.0</v>
      </c>
      <c r="D73" s="47">
        <v>1.0</v>
      </c>
      <c r="E73" s="47">
        <v>1.0</v>
      </c>
      <c r="F73" s="65">
        <v>1.0</v>
      </c>
      <c r="G73" s="62">
        <v>0.001122808</v>
      </c>
      <c r="H73" s="62">
        <v>0.999063388</v>
      </c>
      <c r="I73" s="62">
        <v>3.07E-8</v>
      </c>
      <c r="J73" s="62">
        <v>0.544835432</v>
      </c>
      <c r="K73" s="62">
        <v>1.0</v>
      </c>
      <c r="L73" s="62">
        <v>0.5</v>
      </c>
      <c r="M73" s="65">
        <v>0.045058295</v>
      </c>
      <c r="N73" s="48">
        <f t="shared" si="1"/>
        <v>0.5632146211</v>
      </c>
      <c r="O73" s="48">
        <f t="shared" si="2"/>
        <v>20.50757242</v>
      </c>
      <c r="P73" s="46">
        <v>4273.123954</v>
      </c>
      <c r="Q73" s="46">
        <v>0.156165</v>
      </c>
      <c r="R73" s="46">
        <v>0.996739</v>
      </c>
      <c r="S73" s="46">
        <v>0.471345</v>
      </c>
      <c r="T73" s="46">
        <v>0.827782</v>
      </c>
      <c r="U73" s="46">
        <v>0.996313</v>
      </c>
      <c r="V73" s="46">
        <v>0.471345</v>
      </c>
      <c r="W73" s="46">
        <v>0.996739</v>
      </c>
      <c r="X73" s="46">
        <v>0.520166</v>
      </c>
      <c r="Y73" s="46">
        <v>0.995568</v>
      </c>
      <c r="Z73" s="46">
        <v>0.388848</v>
      </c>
      <c r="AA73" s="46">
        <v>0.320843</v>
      </c>
      <c r="AB73" s="46">
        <v>0.242864</v>
      </c>
      <c r="AC73" s="46">
        <v>0.6</v>
      </c>
      <c r="AD73" s="46">
        <v>0.349776</v>
      </c>
      <c r="AE73" s="46">
        <v>0.441926</v>
      </c>
      <c r="AF73" s="46">
        <v>0.591352</v>
      </c>
      <c r="AG73" s="46">
        <v>0.886364</v>
      </c>
      <c r="AH73" s="46">
        <v>0.064463</v>
      </c>
      <c r="AI73" s="46">
        <v>0.120185</v>
      </c>
      <c r="AJ73" s="46">
        <v>0.253893</v>
      </c>
      <c r="AK73" s="46">
        <v>0.996982</v>
      </c>
      <c r="AL73" s="46">
        <v>0.999797</v>
      </c>
      <c r="AM73" s="46">
        <v>0.998388</v>
      </c>
      <c r="AN73" s="46">
        <v>0.3916</v>
      </c>
      <c r="AO73" s="49"/>
      <c r="AP73" s="49"/>
      <c r="AQ73" s="49"/>
    </row>
    <row r="74">
      <c r="A74" s="13"/>
      <c r="B74" s="13"/>
      <c r="C74" s="46">
        <v>3.0</v>
      </c>
      <c r="D74" s="47">
        <v>1.0</v>
      </c>
      <c r="E74" s="47">
        <v>1.0</v>
      </c>
      <c r="F74" s="65">
        <v>1.0</v>
      </c>
      <c r="G74" s="62">
        <v>0.002568261</v>
      </c>
      <c r="H74" s="62">
        <v>0.99970164</v>
      </c>
      <c r="I74" s="62">
        <v>4.55E-9</v>
      </c>
      <c r="J74" s="62">
        <v>0.549092918</v>
      </c>
      <c r="K74" s="62">
        <v>1.0</v>
      </c>
      <c r="L74" s="62">
        <v>0.5</v>
      </c>
      <c r="M74" s="65">
        <v>0.032811205</v>
      </c>
      <c r="N74" s="48">
        <f t="shared" si="1"/>
        <v>0.7401208669</v>
      </c>
      <c r="O74" s="48">
        <f t="shared" si="2"/>
        <v>21.28092305</v>
      </c>
      <c r="P74" s="46">
        <v>4273.123954</v>
      </c>
      <c r="Q74" s="46">
        <v>0.156109</v>
      </c>
      <c r="R74" s="46">
        <v>0.997643</v>
      </c>
      <c r="S74" s="46">
        <v>0.662863</v>
      </c>
      <c r="T74" s="46">
        <v>0.889929</v>
      </c>
      <c r="U74" s="46">
        <v>0.997284</v>
      </c>
      <c r="V74" s="46">
        <v>0.662863</v>
      </c>
      <c r="W74" s="46">
        <v>0.997643</v>
      </c>
      <c r="X74" s="46">
        <v>0.733717</v>
      </c>
      <c r="Y74" s="46">
        <v>0.997145</v>
      </c>
      <c r="Z74" s="46">
        <v>0.662771</v>
      </c>
      <c r="AA74" s="46">
        <v>0.589873</v>
      </c>
      <c r="AB74" s="46">
        <v>0.552229</v>
      </c>
      <c r="AC74" s="46">
        <v>0.876404</v>
      </c>
      <c r="AD74" s="46">
        <v>0.699552</v>
      </c>
      <c r="AE74" s="46">
        <v>0.778055</v>
      </c>
      <c r="AF74" s="46">
        <v>0.836352</v>
      </c>
      <c r="AG74" s="46">
        <v>0.795455</v>
      </c>
      <c r="AH74" s="46">
        <v>0.289256</v>
      </c>
      <c r="AI74" s="46">
        <v>0.424242</v>
      </c>
      <c r="AJ74" s="46">
        <v>0.537773</v>
      </c>
      <c r="AK74" s="46">
        <v>0.997927</v>
      </c>
      <c r="AL74" s="46">
        <v>0.99978</v>
      </c>
      <c r="AM74" s="46">
        <v>0.998853</v>
      </c>
      <c r="AN74" s="46">
        <v>0.647294</v>
      </c>
      <c r="AO74" s="49"/>
      <c r="AP74" s="49"/>
      <c r="AQ74" s="49"/>
    </row>
    <row r="75">
      <c r="A75" s="16"/>
      <c r="B75" s="16"/>
      <c r="C75" s="46">
        <v>4.0</v>
      </c>
      <c r="D75" s="47">
        <v>1.0</v>
      </c>
      <c r="E75" s="47">
        <v>1.0</v>
      </c>
      <c r="F75" s="65">
        <v>1.0</v>
      </c>
      <c r="G75" s="62">
        <v>0.008672721</v>
      </c>
      <c r="H75" s="62">
        <v>0.999799908</v>
      </c>
      <c r="I75" s="62">
        <v>3.83E-6</v>
      </c>
      <c r="J75" s="62">
        <v>0.56334062</v>
      </c>
      <c r="K75" s="62">
        <v>1.0</v>
      </c>
      <c r="L75" s="62">
        <v>0.5</v>
      </c>
      <c r="M75" s="65">
        <v>0.101260853</v>
      </c>
      <c r="N75" s="48">
        <f t="shared" si="1"/>
        <v>0.8208292326</v>
      </c>
      <c r="O75" s="48">
        <f t="shared" si="2"/>
        <v>35.54089184</v>
      </c>
      <c r="P75" s="46">
        <v>4273.123954</v>
      </c>
      <c r="Q75" s="46">
        <v>0.156375</v>
      </c>
      <c r="R75" s="46">
        <v>0.996653</v>
      </c>
      <c r="S75" s="46">
        <v>0.892701</v>
      </c>
      <c r="T75" s="46">
        <v>0.663189</v>
      </c>
      <c r="U75" s="46">
        <v>0.997762</v>
      </c>
      <c r="V75" s="46">
        <v>0.892701</v>
      </c>
      <c r="W75" s="46">
        <v>0.996653</v>
      </c>
      <c r="X75" s="46">
        <v>0.747107</v>
      </c>
      <c r="Y75" s="46">
        <v>0.997071</v>
      </c>
      <c r="Z75" s="46">
        <v>0.920089</v>
      </c>
      <c r="AA75" s="46">
        <v>0.659562</v>
      </c>
      <c r="AB75" s="46">
        <v>0.640548</v>
      </c>
      <c r="AC75" s="46">
        <v>0.47381</v>
      </c>
      <c r="AD75" s="46">
        <v>0.892377</v>
      </c>
      <c r="AE75" s="46">
        <v>0.618974</v>
      </c>
      <c r="AF75" s="46">
        <v>0.944207</v>
      </c>
      <c r="AG75" s="46">
        <v>0.516234</v>
      </c>
      <c r="AH75" s="46">
        <v>0.78843</v>
      </c>
      <c r="AI75" s="46">
        <v>0.623937</v>
      </c>
      <c r="AJ75" s="46">
        <v>0.887079</v>
      </c>
      <c r="AK75" s="46">
        <v>0.999524</v>
      </c>
      <c r="AL75" s="46">
        <v>0.997297</v>
      </c>
      <c r="AM75" s="46">
        <v>0.998409</v>
      </c>
      <c r="AN75" s="46">
        <v>0.92995</v>
      </c>
      <c r="AO75" s="49"/>
      <c r="AP75" s="49"/>
      <c r="AQ75" s="49"/>
    </row>
    <row r="76">
      <c r="A76" s="52" t="s">
        <v>100</v>
      </c>
      <c r="B76" s="53" t="s">
        <v>22</v>
      </c>
      <c r="C76" s="54">
        <v>1.0</v>
      </c>
      <c r="D76" s="55">
        <v>1.0</v>
      </c>
      <c r="E76" s="55">
        <v>1.0</v>
      </c>
      <c r="F76" s="56">
        <v>1.0</v>
      </c>
      <c r="G76" s="56">
        <v>0.0</v>
      </c>
      <c r="H76" s="56">
        <v>0.998217</v>
      </c>
      <c r="I76" s="56">
        <v>0.011551</v>
      </c>
      <c r="J76" s="56">
        <v>0.540852</v>
      </c>
      <c r="K76" s="56">
        <v>1.0</v>
      </c>
      <c r="L76" s="56">
        <v>0.5</v>
      </c>
      <c r="M76" s="56">
        <v>0.382219</v>
      </c>
      <c r="N76" s="57">
        <f t="shared" si="1"/>
        <v>0.40806609</v>
      </c>
      <c r="O76" s="57">
        <f t="shared" si="2"/>
        <v>39.7523871</v>
      </c>
      <c r="P76" s="54">
        <v>136.733824</v>
      </c>
      <c r="Q76" s="54">
        <v>0.666639</v>
      </c>
      <c r="R76" s="54">
        <v>0.996438</v>
      </c>
      <c r="S76" s="54">
        <v>0.333333</v>
      </c>
      <c r="T76" s="54">
        <v>0.332146</v>
      </c>
      <c r="U76" s="54">
        <v>0.992889</v>
      </c>
      <c r="V76" s="54">
        <v>0.333333</v>
      </c>
      <c r="W76" s="54">
        <v>0.996438</v>
      </c>
      <c r="X76" s="54">
        <v>0.332739</v>
      </c>
      <c r="Y76" s="54">
        <v>0.99466</v>
      </c>
      <c r="Z76" s="54">
        <v>0.0</v>
      </c>
      <c r="AA76" s="54">
        <v>0.0</v>
      </c>
      <c r="AB76" s="54">
        <v>0.0</v>
      </c>
      <c r="AC76" s="54">
        <v>0.0</v>
      </c>
      <c r="AD76" s="54">
        <v>0.0</v>
      </c>
      <c r="AE76" s="54">
        <v>0.0</v>
      </c>
      <c r="AF76" s="54">
        <v>0.0</v>
      </c>
      <c r="AG76" s="54">
        <v>0.0</v>
      </c>
      <c r="AH76" s="54">
        <v>0.0</v>
      </c>
      <c r="AI76" s="54">
        <v>0.0</v>
      </c>
      <c r="AJ76" s="54">
        <v>0.0</v>
      </c>
      <c r="AK76" s="54">
        <v>0.996438</v>
      </c>
      <c r="AL76" s="54">
        <v>1.0</v>
      </c>
      <c r="AM76" s="54">
        <v>0.998216</v>
      </c>
      <c r="AN76" s="54">
        <v>0.0</v>
      </c>
      <c r="AO76" s="58"/>
      <c r="AP76" s="58"/>
      <c r="AQ76" s="58"/>
    </row>
    <row r="77">
      <c r="A77" s="13"/>
      <c r="B77" s="13"/>
      <c r="C77" s="54">
        <v>2.0</v>
      </c>
      <c r="D77" s="55">
        <v>1.0</v>
      </c>
      <c r="E77" s="55">
        <v>1.0</v>
      </c>
      <c r="F77" s="56">
        <v>1.0</v>
      </c>
      <c r="G77" s="56">
        <v>4.58E-4</v>
      </c>
      <c r="H77" s="56">
        <v>0.998825</v>
      </c>
      <c r="I77" s="56">
        <v>0.017716</v>
      </c>
      <c r="J77" s="56">
        <v>0.54264</v>
      </c>
      <c r="K77" s="56">
        <v>1.0</v>
      </c>
      <c r="L77" s="56">
        <v>0.5</v>
      </c>
      <c r="M77" s="56">
        <v>0.410729</v>
      </c>
      <c r="N77" s="57">
        <f t="shared" si="1"/>
        <v>0.4843259277</v>
      </c>
      <c r="O77" s="57">
        <f t="shared" si="2"/>
        <v>45.34242868</v>
      </c>
      <c r="P77" s="54">
        <v>136.733824</v>
      </c>
      <c r="Q77" s="54">
        <v>0.733275</v>
      </c>
      <c r="R77" s="54">
        <v>0.996666</v>
      </c>
      <c r="S77" s="54">
        <v>0.375425</v>
      </c>
      <c r="T77" s="54">
        <v>0.916389</v>
      </c>
      <c r="U77" s="54">
        <v>0.99624</v>
      </c>
      <c r="V77" s="54">
        <v>0.375425</v>
      </c>
      <c r="W77" s="54">
        <v>0.996666</v>
      </c>
      <c r="X77" s="54">
        <v>0.410581</v>
      </c>
      <c r="Y77" s="54">
        <v>0.995259</v>
      </c>
      <c r="Z77" s="54">
        <v>0.253266</v>
      </c>
      <c r="AA77" s="54">
        <v>0.255241</v>
      </c>
      <c r="AB77" s="54">
        <v>0.137527</v>
      </c>
      <c r="AC77" s="54">
        <v>0.9</v>
      </c>
      <c r="AD77" s="54">
        <v>0.040359</v>
      </c>
      <c r="AE77" s="54">
        <v>0.077253</v>
      </c>
      <c r="AF77" s="54">
        <v>0.200894</v>
      </c>
      <c r="AG77" s="54">
        <v>0.852459</v>
      </c>
      <c r="AH77" s="54">
        <v>0.08595</v>
      </c>
      <c r="AI77" s="54">
        <v>0.156156</v>
      </c>
      <c r="AJ77" s="54">
        <v>0.293167</v>
      </c>
      <c r="AK77" s="54">
        <v>0.996708</v>
      </c>
      <c r="AL77" s="54">
        <v>0.999965</v>
      </c>
      <c r="AM77" s="54">
        <v>0.998334</v>
      </c>
      <c r="AN77" s="54">
        <v>0.275834</v>
      </c>
      <c r="AO77" s="58"/>
      <c r="AP77" s="58"/>
      <c r="AQ77" s="58"/>
    </row>
    <row r="78">
      <c r="A78" s="13"/>
      <c r="B78" s="13"/>
      <c r="C78" s="54">
        <v>3.0</v>
      </c>
      <c r="D78" s="55">
        <v>1.0</v>
      </c>
      <c r="E78" s="55">
        <v>1.0</v>
      </c>
      <c r="F78" s="56">
        <v>1.0</v>
      </c>
      <c r="G78" s="56">
        <v>0.005227</v>
      </c>
      <c r="H78" s="56">
        <v>0.999838</v>
      </c>
      <c r="I78" s="56">
        <v>0.015721</v>
      </c>
      <c r="J78" s="56">
        <v>0.555853</v>
      </c>
      <c r="K78" s="56">
        <v>1.0</v>
      </c>
      <c r="L78" s="56">
        <v>0.5</v>
      </c>
      <c r="M78" s="56">
        <v>0.404317</v>
      </c>
      <c r="N78" s="57">
        <f t="shared" si="1"/>
        <v>0.7328018988</v>
      </c>
      <c r="O78" s="57">
        <f t="shared" si="2"/>
        <v>57.76712483</v>
      </c>
      <c r="P78" s="54">
        <v>136.733824</v>
      </c>
      <c r="Q78" s="54">
        <v>0.868608</v>
      </c>
      <c r="R78" s="54">
        <v>0.996855</v>
      </c>
      <c r="S78" s="54">
        <v>0.705115</v>
      </c>
      <c r="T78" s="54">
        <v>0.699779</v>
      </c>
      <c r="U78" s="54">
        <v>0.997205</v>
      </c>
      <c r="V78" s="54">
        <v>0.705115</v>
      </c>
      <c r="W78" s="54">
        <v>0.996855</v>
      </c>
      <c r="X78" s="54">
        <v>0.678627</v>
      </c>
      <c r="Y78" s="54">
        <v>0.996915</v>
      </c>
      <c r="Z78" s="54">
        <v>0.746607</v>
      </c>
      <c r="AA78" s="54">
        <v>0.552639</v>
      </c>
      <c r="AB78" s="54">
        <v>0.552547</v>
      </c>
      <c r="AC78" s="54">
        <v>0.329327</v>
      </c>
      <c r="AD78" s="54">
        <v>0.61435</v>
      </c>
      <c r="AE78" s="54">
        <v>0.428795</v>
      </c>
      <c r="AF78" s="54">
        <v>0.783334</v>
      </c>
      <c r="AG78" s="54">
        <v>0.771574</v>
      </c>
      <c r="AH78" s="54">
        <v>0.502479</v>
      </c>
      <c r="AI78" s="54">
        <v>0.608609</v>
      </c>
      <c r="AJ78" s="54">
        <v>0.70872</v>
      </c>
      <c r="AK78" s="54">
        <v>0.998437</v>
      </c>
      <c r="AL78" s="54">
        <v>0.998515</v>
      </c>
      <c r="AM78" s="54">
        <v>0.998476</v>
      </c>
      <c r="AN78" s="54">
        <v>0.749644</v>
      </c>
      <c r="AO78" s="58"/>
      <c r="AP78" s="58"/>
      <c r="AQ78" s="58"/>
    </row>
    <row r="79">
      <c r="A79" s="13"/>
      <c r="B79" s="16"/>
      <c r="C79" s="54">
        <v>4.0</v>
      </c>
      <c r="D79" s="55">
        <v>1.0</v>
      </c>
      <c r="E79" s="55">
        <v>1.0</v>
      </c>
      <c r="F79" s="56">
        <v>1.0</v>
      </c>
      <c r="G79" s="56">
        <v>0.008937</v>
      </c>
      <c r="H79" s="56">
        <v>0.99977</v>
      </c>
      <c r="I79" s="56">
        <v>0.002709</v>
      </c>
      <c r="J79" s="56">
        <v>0.563913</v>
      </c>
      <c r="K79" s="56">
        <v>1.0</v>
      </c>
      <c r="L79" s="56">
        <v>0.5</v>
      </c>
      <c r="M79" s="56">
        <v>0.302332</v>
      </c>
      <c r="N79" s="57">
        <f t="shared" si="1"/>
        <v>0.8459632384</v>
      </c>
      <c r="O79" s="57">
        <f t="shared" si="2"/>
        <v>56.05373312</v>
      </c>
      <c r="P79" s="54">
        <v>136.733824</v>
      </c>
      <c r="Q79" s="54">
        <v>0.949324</v>
      </c>
      <c r="R79" s="54">
        <v>0.996954</v>
      </c>
      <c r="S79" s="54">
        <v>0.933169</v>
      </c>
      <c r="T79" s="54">
        <v>0.676528</v>
      </c>
      <c r="U79" s="54">
        <v>0.998094</v>
      </c>
      <c r="V79" s="54">
        <v>0.933169</v>
      </c>
      <c r="W79" s="54">
        <v>0.996954</v>
      </c>
      <c r="X79" s="54">
        <v>0.768407</v>
      </c>
      <c r="Y79" s="54">
        <v>0.997361</v>
      </c>
      <c r="Z79" s="54">
        <v>0.953396</v>
      </c>
      <c r="AA79" s="54">
        <v>0.701687</v>
      </c>
      <c r="AB79" s="54">
        <v>0.678938</v>
      </c>
      <c r="AC79" s="54">
        <v>0.473804</v>
      </c>
      <c r="AD79" s="54">
        <v>0.932735</v>
      </c>
      <c r="AE79" s="54">
        <v>0.628399</v>
      </c>
      <c r="AF79" s="54">
        <v>0.965302</v>
      </c>
      <c r="AG79" s="54">
        <v>0.556025</v>
      </c>
      <c r="AH79" s="54">
        <v>0.869421</v>
      </c>
      <c r="AI79" s="54">
        <v>0.678272</v>
      </c>
      <c r="AJ79" s="54">
        <v>0.931583</v>
      </c>
      <c r="AK79" s="54">
        <v>0.999753</v>
      </c>
      <c r="AL79" s="54">
        <v>0.997349</v>
      </c>
      <c r="AM79" s="54">
        <v>0.99855</v>
      </c>
      <c r="AN79" s="54">
        <v>0.963686</v>
      </c>
      <c r="AO79" s="58"/>
      <c r="AP79" s="58"/>
      <c r="AQ79" s="58"/>
    </row>
    <row r="80">
      <c r="A80" s="13"/>
      <c r="B80" s="59" t="s">
        <v>23</v>
      </c>
      <c r="C80" s="54">
        <v>1.0</v>
      </c>
      <c r="D80" s="55">
        <v>1.0</v>
      </c>
      <c r="E80" s="55">
        <v>1.0</v>
      </c>
      <c r="F80" s="56">
        <v>1.0</v>
      </c>
      <c r="G80" s="56">
        <v>8.90503E-4</v>
      </c>
      <c r="H80" s="56">
        <v>0.99902724</v>
      </c>
      <c r="I80" s="56">
        <v>0.491067575</v>
      </c>
      <c r="J80" s="56">
        <v>0.54386849</v>
      </c>
      <c r="K80" s="56">
        <v>1.0</v>
      </c>
      <c r="L80" s="56">
        <v>0.5</v>
      </c>
      <c r="M80" s="56">
        <v>0.714820637</v>
      </c>
      <c r="N80" s="57">
        <f t="shared" si="1"/>
        <v>0.4426688148</v>
      </c>
      <c r="O80" s="57">
        <f t="shared" si="2"/>
        <v>53.61992344</v>
      </c>
      <c r="P80" s="56">
        <v>675.0706417</v>
      </c>
      <c r="Q80" s="56">
        <v>0.693882465</v>
      </c>
      <c r="R80" s="56">
        <v>0.996222892</v>
      </c>
      <c r="S80" s="56">
        <v>0.34864808</v>
      </c>
      <c r="T80" s="56">
        <v>0.399864232</v>
      </c>
      <c r="U80" s="56">
        <v>0.993671988</v>
      </c>
      <c r="V80" s="56">
        <v>0.34864808</v>
      </c>
      <c r="W80" s="56">
        <v>0.996222892</v>
      </c>
      <c r="X80" s="56">
        <v>0.35784887</v>
      </c>
      <c r="Y80" s="56">
        <v>0.994817137</v>
      </c>
      <c r="Z80" s="56">
        <v>0.0</v>
      </c>
      <c r="AA80" s="56">
        <v>0.129130899</v>
      </c>
      <c r="AB80" s="56">
        <v>0.09029616</v>
      </c>
      <c r="AC80" s="56">
        <v>0.0</v>
      </c>
      <c r="AD80" s="56">
        <v>0.0</v>
      </c>
      <c r="AE80" s="56">
        <v>0.0</v>
      </c>
      <c r="AF80" s="56">
        <v>0.0</v>
      </c>
      <c r="AG80" s="56">
        <v>0.202898551</v>
      </c>
      <c r="AH80" s="56">
        <v>0.046280992</v>
      </c>
      <c r="AI80" s="56">
        <v>0.075370121</v>
      </c>
      <c r="AJ80" s="56">
        <v>0.215079134</v>
      </c>
      <c r="AK80" s="56">
        <v>0.996694144</v>
      </c>
      <c r="AL80" s="56">
        <v>0.999663249</v>
      </c>
      <c r="AM80" s="56">
        <v>0.998176488</v>
      </c>
      <c r="AN80" s="56">
        <v>0.269145622</v>
      </c>
      <c r="AO80" s="58"/>
      <c r="AP80" s="58"/>
      <c r="AQ80" s="58"/>
    </row>
    <row r="81">
      <c r="A81" s="13"/>
      <c r="B81" s="13"/>
      <c r="C81" s="54">
        <v>2.0</v>
      </c>
      <c r="D81" s="55">
        <v>1.0</v>
      </c>
      <c r="E81" s="55">
        <v>1.0</v>
      </c>
      <c r="F81" s="56">
        <v>1.0</v>
      </c>
      <c r="G81" s="56">
        <v>0.001426095</v>
      </c>
      <c r="H81" s="56">
        <v>0.999328346</v>
      </c>
      <c r="I81" s="56">
        <v>0.675560045</v>
      </c>
      <c r="J81" s="56">
        <v>0.545504683</v>
      </c>
      <c r="K81" s="56">
        <v>1.0</v>
      </c>
      <c r="L81" s="56">
        <v>0.5</v>
      </c>
      <c r="M81" s="56">
        <v>0.754264107</v>
      </c>
      <c r="N81" s="57">
        <f t="shared" si="1"/>
        <v>0.4947650175</v>
      </c>
      <c r="O81" s="57">
        <f t="shared" si="2"/>
        <v>58.56643214</v>
      </c>
      <c r="P81" s="56">
        <v>675.0706417</v>
      </c>
      <c r="Q81" s="56">
        <v>0.6778512</v>
      </c>
      <c r="R81" s="56">
        <v>0.996442292</v>
      </c>
      <c r="S81" s="56">
        <v>0.382649112</v>
      </c>
      <c r="T81" s="56">
        <v>0.6630296</v>
      </c>
      <c r="U81" s="56">
        <v>0.994998092</v>
      </c>
      <c r="V81" s="56">
        <v>0.382649112</v>
      </c>
      <c r="W81" s="56">
        <v>0.996442292</v>
      </c>
      <c r="X81" s="56">
        <v>0.411176435</v>
      </c>
      <c r="Y81" s="56">
        <v>0.995311996</v>
      </c>
      <c r="Z81" s="56">
        <v>0.298704301</v>
      </c>
      <c r="AA81" s="56">
        <v>0.258401566</v>
      </c>
      <c r="AB81" s="56">
        <v>0.210619751</v>
      </c>
      <c r="AC81" s="56">
        <v>0.666666667</v>
      </c>
      <c r="AD81" s="56">
        <v>0.03587444</v>
      </c>
      <c r="AE81" s="56">
        <v>0.068085106</v>
      </c>
      <c r="AF81" s="56">
        <v>0.189403858</v>
      </c>
      <c r="AG81" s="56">
        <v>0.325358852</v>
      </c>
      <c r="AH81" s="56">
        <v>0.112396694</v>
      </c>
      <c r="AI81" s="56">
        <v>0.167076167</v>
      </c>
      <c r="AJ81" s="56">
        <v>0.335154202</v>
      </c>
      <c r="AK81" s="56">
        <v>0.997063282</v>
      </c>
      <c r="AL81" s="56">
        <v>0.999676201</v>
      </c>
      <c r="AM81" s="56">
        <v>0.998368032</v>
      </c>
      <c r="AN81" s="56">
        <v>0.419846886</v>
      </c>
      <c r="AO81" s="58"/>
      <c r="AP81" s="58"/>
      <c r="AQ81" s="58"/>
    </row>
    <row r="82">
      <c r="A82" s="13"/>
      <c r="B82" s="13"/>
      <c r="C82" s="54">
        <v>3.0</v>
      </c>
      <c r="D82" s="55">
        <v>1.0</v>
      </c>
      <c r="E82" s="55">
        <v>1.0</v>
      </c>
      <c r="F82" s="56">
        <v>1.0</v>
      </c>
      <c r="G82" s="56">
        <v>0.006627146</v>
      </c>
      <c r="H82" s="56">
        <v>0.999932901</v>
      </c>
      <c r="I82" s="56">
        <v>0.748936001</v>
      </c>
      <c r="J82" s="56">
        <v>0.559012155</v>
      </c>
      <c r="K82" s="56">
        <v>1.0</v>
      </c>
      <c r="L82" s="56">
        <v>0.5</v>
      </c>
      <c r="M82" s="56">
        <v>0.770550554</v>
      </c>
      <c r="N82" s="57">
        <f t="shared" si="1"/>
        <v>0.7648169062</v>
      </c>
      <c r="O82" s="57">
        <f t="shared" si="2"/>
        <v>76.71052278</v>
      </c>
      <c r="P82" s="56">
        <v>675.0706417</v>
      </c>
      <c r="Q82" s="56">
        <v>0.721923113</v>
      </c>
      <c r="R82" s="56">
        <v>0.996949921</v>
      </c>
      <c r="S82" s="56">
        <v>0.753026453</v>
      </c>
      <c r="T82" s="56">
        <v>0.656811574</v>
      </c>
      <c r="U82" s="56">
        <v>0.997458173</v>
      </c>
      <c r="V82" s="56">
        <v>0.753026453</v>
      </c>
      <c r="W82" s="56">
        <v>0.996949921</v>
      </c>
      <c r="X82" s="56">
        <v>0.693905394</v>
      </c>
      <c r="Y82" s="56">
        <v>0.99717103</v>
      </c>
      <c r="Z82" s="56">
        <v>0.814181163</v>
      </c>
      <c r="AA82" s="56">
        <v>0.620219957</v>
      </c>
      <c r="AB82" s="56">
        <v>0.61661065</v>
      </c>
      <c r="AC82" s="56">
        <v>0.349081365</v>
      </c>
      <c r="AD82" s="56">
        <v>0.596412556</v>
      </c>
      <c r="AE82" s="56">
        <v>0.440397351</v>
      </c>
      <c r="AF82" s="56">
        <v>0.771865042</v>
      </c>
      <c r="AG82" s="56">
        <v>0.622291022</v>
      </c>
      <c r="AH82" s="56">
        <v>0.66446281</v>
      </c>
      <c r="AI82" s="56">
        <v>0.642685851</v>
      </c>
      <c r="AJ82" s="56">
        <v>0.814716834</v>
      </c>
      <c r="AK82" s="56">
        <v>0.999062335</v>
      </c>
      <c r="AL82" s="56">
        <v>0.998203994</v>
      </c>
      <c r="AM82" s="56">
        <v>0.99863298</v>
      </c>
      <c r="AN82" s="56">
        <v>0.858252522</v>
      </c>
      <c r="AO82" s="58"/>
      <c r="AP82" s="58"/>
      <c r="AQ82" s="58"/>
    </row>
    <row r="83">
      <c r="A83" s="13"/>
      <c r="B83" s="16"/>
      <c r="C83" s="54">
        <v>4.0</v>
      </c>
      <c r="D83" s="55">
        <v>1.0</v>
      </c>
      <c r="E83" s="55">
        <v>1.0</v>
      </c>
      <c r="F83" s="56">
        <v>1.0</v>
      </c>
      <c r="G83" s="56">
        <v>0.007775765</v>
      </c>
      <c r="H83" s="56">
        <v>0.999889527</v>
      </c>
      <c r="I83" s="56">
        <v>0.0</v>
      </c>
      <c r="J83" s="56">
        <v>0.561333067</v>
      </c>
      <c r="K83" s="56">
        <v>1.0</v>
      </c>
      <c r="L83" s="56">
        <v>0.5</v>
      </c>
      <c r="M83" s="56">
        <v>0.017432397</v>
      </c>
      <c r="N83" s="57">
        <f t="shared" si="1"/>
        <v>0.8478427626</v>
      </c>
      <c r="O83" s="57">
        <f t="shared" si="2"/>
        <v>17.92800784</v>
      </c>
      <c r="P83" s="56">
        <v>675.0706417</v>
      </c>
      <c r="Q83" s="56">
        <v>0.97342968</v>
      </c>
      <c r="R83" s="56">
        <v>0.997440343</v>
      </c>
      <c r="S83" s="56">
        <v>0.895699917</v>
      </c>
      <c r="T83" s="56">
        <v>0.713538113</v>
      </c>
      <c r="U83" s="56">
        <v>0.998130042</v>
      </c>
      <c r="V83" s="56">
        <v>0.895699917</v>
      </c>
      <c r="W83" s="56">
        <v>0.997440343</v>
      </c>
      <c r="X83" s="56">
        <v>0.786766236</v>
      </c>
      <c r="Y83" s="56">
        <v>0.997697613</v>
      </c>
      <c r="Z83" s="56">
        <v>0.928033555</v>
      </c>
      <c r="AA83" s="56">
        <v>0.718890002</v>
      </c>
      <c r="AB83" s="56">
        <v>0.706337467</v>
      </c>
      <c r="AC83" s="56">
        <v>0.559766764</v>
      </c>
      <c r="AD83" s="56">
        <v>0.860986547</v>
      </c>
      <c r="AE83" s="56">
        <v>0.67844523</v>
      </c>
      <c r="AF83" s="56">
        <v>0.927591892</v>
      </c>
      <c r="AG83" s="56">
        <v>0.581206497</v>
      </c>
      <c r="AH83" s="56">
        <v>0.828099174</v>
      </c>
      <c r="AI83" s="56">
        <v>0.683026585</v>
      </c>
      <c r="AJ83" s="56">
        <v>0.90929081</v>
      </c>
      <c r="AK83" s="56">
        <v>0.999641078</v>
      </c>
      <c r="AL83" s="56">
        <v>0.998014031</v>
      </c>
      <c r="AM83" s="56">
        <v>0.998826892</v>
      </c>
      <c r="AN83" s="56">
        <v>0.947613614</v>
      </c>
      <c r="AO83" s="58"/>
      <c r="AP83" s="58"/>
      <c r="AQ83" s="58"/>
    </row>
    <row r="84">
      <c r="A84" s="13"/>
      <c r="B84" s="59" t="s">
        <v>24</v>
      </c>
      <c r="C84" s="54">
        <v>1.0</v>
      </c>
      <c r="D84" s="55">
        <v>1.0</v>
      </c>
      <c r="E84" s="55">
        <v>1.0</v>
      </c>
      <c r="F84" s="56">
        <v>1.0</v>
      </c>
      <c r="G84" s="56">
        <v>0.021514026</v>
      </c>
      <c r="H84" s="56">
        <v>0.997404128</v>
      </c>
      <c r="I84" s="56">
        <v>0.001184829</v>
      </c>
      <c r="J84" s="56">
        <v>0.585572857</v>
      </c>
      <c r="K84" s="56">
        <v>1.0</v>
      </c>
      <c r="L84" s="56">
        <v>0.5</v>
      </c>
      <c r="M84" s="56">
        <v>0.264959597</v>
      </c>
      <c r="N84" s="57">
        <f t="shared" si="1"/>
        <v>0.5508469064</v>
      </c>
      <c r="O84" s="57">
        <f t="shared" si="2"/>
        <v>41.10459852</v>
      </c>
      <c r="P84" s="56">
        <v>4447.849978</v>
      </c>
      <c r="Q84" s="56">
        <v>0.020197147</v>
      </c>
      <c r="R84" s="56">
        <v>0.984943193</v>
      </c>
      <c r="S84" s="56">
        <v>0.584186855</v>
      </c>
      <c r="T84" s="56">
        <v>0.41783395</v>
      </c>
      <c r="U84" s="56">
        <v>0.994852651</v>
      </c>
      <c r="V84" s="56">
        <v>0.584186855</v>
      </c>
      <c r="W84" s="56">
        <v>0.984943193</v>
      </c>
      <c r="X84" s="56">
        <v>0.456804909</v>
      </c>
      <c r="Y84" s="56">
        <v>0.98962546</v>
      </c>
      <c r="Z84" s="56">
        <v>0.628250007</v>
      </c>
      <c r="AA84" s="56">
        <v>0.194792177</v>
      </c>
      <c r="AB84" s="56">
        <v>0.155071151</v>
      </c>
      <c r="AC84" s="56">
        <v>0.194244604</v>
      </c>
      <c r="AD84" s="56">
        <v>0.484304933</v>
      </c>
      <c r="AE84" s="56">
        <v>0.277278562</v>
      </c>
      <c r="AF84" s="56">
        <v>0.695248624</v>
      </c>
      <c r="AG84" s="56">
        <v>0.061195104</v>
      </c>
      <c r="AH84" s="56">
        <v>0.280991736</v>
      </c>
      <c r="AI84" s="56">
        <v>0.100502513</v>
      </c>
      <c r="AJ84" s="56">
        <v>0.527096699</v>
      </c>
      <c r="AK84" s="56">
        <v>0.998062142</v>
      </c>
      <c r="AL84" s="56">
        <v>0.987263896</v>
      </c>
      <c r="AM84" s="56">
        <v>0.992633653</v>
      </c>
      <c r="AN84" s="56">
        <v>0.676654651</v>
      </c>
      <c r="AO84" s="66"/>
      <c r="AP84" s="66"/>
      <c r="AQ84" s="66"/>
    </row>
    <row r="85">
      <c r="A85" s="13"/>
      <c r="B85" s="13"/>
      <c r="C85" s="54">
        <v>2.0</v>
      </c>
      <c r="D85" s="55">
        <v>1.0</v>
      </c>
      <c r="E85" s="55">
        <v>1.0</v>
      </c>
      <c r="F85" s="56">
        <v>1.0</v>
      </c>
      <c r="G85" s="56">
        <v>0.019100635</v>
      </c>
      <c r="H85" s="56">
        <v>0.997991193</v>
      </c>
      <c r="I85" s="56">
        <v>8.93843E-4</v>
      </c>
      <c r="J85" s="56">
        <v>0.582232634</v>
      </c>
      <c r="K85" s="56">
        <v>1.0</v>
      </c>
      <c r="L85" s="56">
        <v>0.5</v>
      </c>
      <c r="M85" s="56">
        <v>0.252585889</v>
      </c>
      <c r="N85" s="57">
        <f t="shared" si="1"/>
        <v>0.5578705426</v>
      </c>
      <c r="O85" s="57">
        <f t="shared" si="2"/>
        <v>40.63344942</v>
      </c>
      <c r="P85" s="56">
        <v>4447.849978</v>
      </c>
      <c r="Q85" s="56">
        <v>0.020317101</v>
      </c>
      <c r="R85" s="56">
        <v>0.986672575</v>
      </c>
      <c r="S85" s="56">
        <v>0.591204431</v>
      </c>
      <c r="T85" s="56">
        <v>0.416156254</v>
      </c>
      <c r="U85" s="56">
        <v>0.994954621</v>
      </c>
      <c r="V85" s="56">
        <v>0.591204431</v>
      </c>
      <c r="W85" s="56">
        <v>0.986672575</v>
      </c>
      <c r="X85" s="56">
        <v>0.457197024</v>
      </c>
      <c r="Y85" s="56">
        <v>0.990552812</v>
      </c>
      <c r="Z85" s="56">
        <v>0.639874451</v>
      </c>
      <c r="AA85" s="56">
        <v>0.216332795</v>
      </c>
      <c r="AB85" s="56">
        <v>0.17842031</v>
      </c>
      <c r="AC85" s="56">
        <v>0.173566879</v>
      </c>
      <c r="AD85" s="56">
        <v>0.488789238</v>
      </c>
      <c r="AE85" s="56">
        <v>0.256169213</v>
      </c>
      <c r="AF85" s="56">
        <v>0.698352966</v>
      </c>
      <c r="AG85" s="56">
        <v>0.076758148</v>
      </c>
      <c r="AH85" s="56">
        <v>0.295867769</v>
      </c>
      <c r="AI85" s="56">
        <v>0.121893088</v>
      </c>
      <c r="AJ85" s="56">
        <v>0.541405823</v>
      </c>
      <c r="AK85" s="56">
        <v>0.998143734</v>
      </c>
      <c r="AL85" s="56">
        <v>0.988956287</v>
      </c>
      <c r="AM85" s="56">
        <v>0.993528771</v>
      </c>
      <c r="AN85" s="56">
        <v>0.69292528</v>
      </c>
      <c r="AO85" s="66"/>
      <c r="AP85" s="66"/>
      <c r="AQ85" s="66"/>
    </row>
    <row r="86">
      <c r="A86" s="13"/>
      <c r="B86" s="13"/>
      <c r="C86" s="54">
        <v>3.0</v>
      </c>
      <c r="D86" s="55">
        <v>1.0</v>
      </c>
      <c r="E86" s="55">
        <v>1.0</v>
      </c>
      <c r="F86" s="56">
        <v>1.0</v>
      </c>
      <c r="G86" s="56">
        <v>0.024469463</v>
      </c>
      <c r="H86" s="56">
        <v>0.996710876</v>
      </c>
      <c r="I86" s="56">
        <v>0.001295269</v>
      </c>
      <c r="J86" s="56">
        <v>0.590284418</v>
      </c>
      <c r="K86" s="56">
        <v>1.0</v>
      </c>
      <c r="L86" s="56">
        <v>0.5</v>
      </c>
      <c r="M86" s="56">
        <v>0.269252713</v>
      </c>
      <c r="N86" s="57">
        <f t="shared" si="1"/>
        <v>0.6076693057</v>
      </c>
      <c r="O86" s="57">
        <f t="shared" si="2"/>
        <v>43.87977734</v>
      </c>
      <c r="P86" s="56">
        <v>4447.849978</v>
      </c>
      <c r="Q86" s="56">
        <v>0.020633567</v>
      </c>
      <c r="R86" s="56">
        <v>0.984543112</v>
      </c>
      <c r="S86" s="56">
        <v>0.707900718</v>
      </c>
      <c r="T86" s="56">
        <v>0.436831229</v>
      </c>
      <c r="U86" s="56">
        <v>0.995780797</v>
      </c>
      <c r="V86" s="56">
        <v>0.707900718</v>
      </c>
      <c r="W86" s="56">
        <v>0.984543112</v>
      </c>
      <c r="X86" s="56">
        <v>0.491713727</v>
      </c>
      <c r="Y86" s="56">
        <v>0.989649542</v>
      </c>
      <c r="Z86" s="56">
        <v>0.774346262</v>
      </c>
      <c r="AA86" s="56">
        <v>0.285914296</v>
      </c>
      <c r="AB86" s="56">
        <v>0.218519494</v>
      </c>
      <c r="AC86" s="56">
        <v>0.209302326</v>
      </c>
      <c r="AD86" s="56">
        <v>0.605381166</v>
      </c>
      <c r="AE86" s="56">
        <v>0.311059908</v>
      </c>
      <c r="AF86" s="56">
        <v>0.777207623</v>
      </c>
      <c r="AG86" s="56">
        <v>0.10231967</v>
      </c>
      <c r="AH86" s="56">
        <v>0.532231405</v>
      </c>
      <c r="AI86" s="56">
        <v>0.171641791</v>
      </c>
      <c r="AJ86" s="56">
        <v>0.725083665</v>
      </c>
      <c r="AK86" s="56">
        <v>0.998871692</v>
      </c>
      <c r="AL86" s="56">
        <v>0.986089585</v>
      </c>
      <c r="AM86" s="56">
        <v>0.992439483</v>
      </c>
      <c r="AN86" s="56">
        <v>0.823911273</v>
      </c>
      <c r="AO86" s="66"/>
      <c r="AP86" s="66"/>
      <c r="AQ86" s="66"/>
    </row>
    <row r="87">
      <c r="A87" s="13"/>
      <c r="B87" s="16"/>
      <c r="C87" s="54">
        <v>4.0</v>
      </c>
      <c r="D87" s="55">
        <v>1.0</v>
      </c>
      <c r="E87" s="55">
        <v>1.0</v>
      </c>
      <c r="F87" s="56">
        <v>1.0</v>
      </c>
      <c r="G87" s="56">
        <v>0.011628157</v>
      </c>
      <c r="H87" s="56">
        <v>0.999419894</v>
      </c>
      <c r="I87" s="56">
        <v>8.29E-6</v>
      </c>
      <c r="J87" s="56">
        <v>0.569308929</v>
      </c>
      <c r="K87" s="56">
        <v>1.0</v>
      </c>
      <c r="L87" s="56">
        <v>0.5</v>
      </c>
      <c r="M87" s="56">
        <v>0.115366446</v>
      </c>
      <c r="N87" s="57">
        <f t="shared" si="1"/>
        <v>0.7972407165</v>
      </c>
      <c r="O87" s="57">
        <f t="shared" si="2"/>
        <v>36.79471878</v>
      </c>
      <c r="P87" s="56">
        <v>4447.849978</v>
      </c>
      <c r="Q87" s="56">
        <v>0.020312731</v>
      </c>
      <c r="R87" s="56">
        <v>0.995160312</v>
      </c>
      <c r="S87" s="56">
        <v>0.918184818</v>
      </c>
      <c r="T87" s="56">
        <v>0.594917338</v>
      </c>
      <c r="U87" s="56">
        <v>0.997668823</v>
      </c>
      <c r="V87" s="56">
        <v>0.918184818</v>
      </c>
      <c r="W87" s="56">
        <v>0.995160312</v>
      </c>
      <c r="X87" s="56">
        <v>0.693997079</v>
      </c>
      <c r="Y87" s="56">
        <v>0.996098554</v>
      </c>
      <c r="Z87" s="56">
        <v>0.947160081</v>
      </c>
      <c r="AA87" s="56">
        <v>0.614625316</v>
      </c>
      <c r="AB87" s="56">
        <v>0.570573867</v>
      </c>
      <c r="AC87" s="56">
        <v>0.36802974</v>
      </c>
      <c r="AD87" s="56">
        <v>0.887892377</v>
      </c>
      <c r="AE87" s="56">
        <v>0.520367937</v>
      </c>
      <c r="AF87" s="56">
        <v>0.94159038</v>
      </c>
      <c r="AG87" s="56">
        <v>0.41693038</v>
      </c>
      <c r="AH87" s="56">
        <v>0.87107438</v>
      </c>
      <c r="AI87" s="56">
        <v>0.563937935</v>
      </c>
      <c r="AJ87" s="56">
        <v>0.931829063</v>
      </c>
      <c r="AK87" s="56">
        <v>0.999791893</v>
      </c>
      <c r="AL87" s="56">
        <v>0.995587696</v>
      </c>
      <c r="AM87" s="56">
        <v>0.997685366</v>
      </c>
      <c r="AN87" s="56">
        <v>0.968438159</v>
      </c>
      <c r="AO87" s="66"/>
      <c r="AP87" s="66"/>
      <c r="AQ87" s="66"/>
    </row>
    <row r="88">
      <c r="A88" s="13"/>
      <c r="B88" s="59" t="s">
        <v>25</v>
      </c>
      <c r="C88" s="54">
        <v>1.0</v>
      </c>
      <c r="D88" s="55">
        <v>1.0</v>
      </c>
      <c r="E88" s="55">
        <v>1.0</v>
      </c>
      <c r="F88" s="56">
        <v>1.0</v>
      </c>
      <c r="G88" s="56">
        <v>0.002523091</v>
      </c>
      <c r="H88" s="56">
        <v>0.999557006</v>
      </c>
      <c r="I88" s="56">
        <v>1.02E-6</v>
      </c>
      <c r="J88" s="56">
        <v>0.548950077</v>
      </c>
      <c r="K88" s="56">
        <v>1.0</v>
      </c>
      <c r="L88" s="56">
        <v>0.5</v>
      </c>
      <c r="M88" s="56">
        <v>0.08093689</v>
      </c>
      <c r="N88" s="57">
        <f t="shared" si="1"/>
        <v>0.5532184909</v>
      </c>
      <c r="O88" s="57">
        <f t="shared" si="2"/>
        <v>25.64464064</v>
      </c>
      <c r="P88" s="56">
        <v>4147.351845</v>
      </c>
      <c r="Q88" s="56">
        <v>0.079716292</v>
      </c>
      <c r="R88" s="56">
        <v>0.996016399</v>
      </c>
      <c r="S88" s="56">
        <v>0.483037762</v>
      </c>
      <c r="T88" s="56">
        <v>0.568681178</v>
      </c>
      <c r="U88" s="56">
        <v>0.994847564</v>
      </c>
      <c r="V88" s="56">
        <v>0.483037762</v>
      </c>
      <c r="W88" s="56">
        <v>0.996016399</v>
      </c>
      <c r="X88" s="56">
        <v>0.498300699</v>
      </c>
      <c r="Y88" s="56">
        <v>0.995216375</v>
      </c>
      <c r="Z88" s="56">
        <v>0.430720428</v>
      </c>
      <c r="AA88" s="56">
        <v>0.256227635</v>
      </c>
      <c r="AB88" s="56">
        <v>0.239098465</v>
      </c>
      <c r="AC88" s="56">
        <v>0.334745763</v>
      </c>
      <c r="AD88" s="56">
        <v>0.35426009</v>
      </c>
      <c r="AE88" s="56">
        <v>0.34422658</v>
      </c>
      <c r="AF88" s="56">
        <v>0.594996295</v>
      </c>
      <c r="AG88" s="56">
        <v>0.374193548</v>
      </c>
      <c r="AH88" s="56">
        <v>0.095867769</v>
      </c>
      <c r="AI88" s="56">
        <v>0.152631579</v>
      </c>
      <c r="AJ88" s="56">
        <v>0.30956043</v>
      </c>
      <c r="AK88" s="56">
        <v>0.997104222</v>
      </c>
      <c r="AL88" s="56">
        <v>0.998985429</v>
      </c>
      <c r="AM88" s="56">
        <v>0.998043939</v>
      </c>
      <c r="AN88" s="56">
        <v>0.433837119</v>
      </c>
      <c r="AO88" s="58"/>
      <c r="AP88" s="58"/>
      <c r="AQ88" s="58"/>
    </row>
    <row r="89">
      <c r="A89" s="13"/>
      <c r="B89" s="13"/>
      <c r="C89" s="54">
        <v>2.0</v>
      </c>
      <c r="D89" s="55">
        <v>1.0</v>
      </c>
      <c r="E89" s="55">
        <v>1.0</v>
      </c>
      <c r="F89" s="56">
        <v>1.0</v>
      </c>
      <c r="G89" s="56">
        <v>0.002677961</v>
      </c>
      <c r="H89" s="56">
        <v>0.999402375</v>
      </c>
      <c r="I89" s="56">
        <v>4.01E-7</v>
      </c>
      <c r="J89" s="56">
        <v>0.549256965</v>
      </c>
      <c r="K89" s="56">
        <v>1.0</v>
      </c>
      <c r="L89" s="56">
        <v>0.5</v>
      </c>
      <c r="M89" s="56">
        <v>0.069216749</v>
      </c>
      <c r="N89" s="57">
        <f t="shared" si="1"/>
        <v>0.579404718</v>
      </c>
      <c r="O89" s="57">
        <f t="shared" si="2"/>
        <v>24.7670166</v>
      </c>
      <c r="P89" s="56">
        <v>4147.351845</v>
      </c>
      <c r="Q89" s="56">
        <v>0.079690976</v>
      </c>
      <c r="R89" s="56">
        <v>0.996132552</v>
      </c>
      <c r="S89" s="56">
        <v>0.526861231</v>
      </c>
      <c r="T89" s="56">
        <v>0.599359359</v>
      </c>
      <c r="U89" s="56">
        <v>0.995151389</v>
      </c>
      <c r="V89" s="56">
        <v>0.526861231</v>
      </c>
      <c r="W89" s="56">
        <v>0.996132552</v>
      </c>
      <c r="X89" s="56">
        <v>0.519079501</v>
      </c>
      <c r="Y89" s="56">
        <v>0.99531429</v>
      </c>
      <c r="Z89" s="56">
        <v>0.454687124</v>
      </c>
      <c r="AA89" s="56">
        <v>0.292291617</v>
      </c>
      <c r="AB89" s="56">
        <v>0.275549899</v>
      </c>
      <c r="AC89" s="56">
        <v>0.368421053</v>
      </c>
      <c r="AD89" s="56">
        <v>0.502242153</v>
      </c>
      <c r="AE89" s="56">
        <v>0.425047438</v>
      </c>
      <c r="AF89" s="56">
        <v>0.708397428</v>
      </c>
      <c r="AG89" s="56">
        <v>0.432432432</v>
      </c>
      <c r="AH89" s="56">
        <v>0.079338843</v>
      </c>
      <c r="AI89" s="56">
        <v>0.134078212</v>
      </c>
      <c r="AJ89" s="56">
        <v>0.281633244</v>
      </c>
      <c r="AK89" s="56">
        <v>0.997224593</v>
      </c>
      <c r="AL89" s="56">
        <v>0.999002698</v>
      </c>
      <c r="AM89" s="56">
        <v>0.998112854</v>
      </c>
      <c r="AN89" s="56">
        <v>0.471169396</v>
      </c>
      <c r="AO89" s="58"/>
      <c r="AP89" s="58"/>
      <c r="AQ89" s="58"/>
    </row>
    <row r="90">
      <c r="A90" s="13"/>
      <c r="B90" s="13"/>
      <c r="C90" s="54">
        <v>3.0</v>
      </c>
      <c r="D90" s="55">
        <v>1.0</v>
      </c>
      <c r="E90" s="55">
        <v>1.0</v>
      </c>
      <c r="F90" s="56">
        <v>1.0</v>
      </c>
      <c r="G90" s="56">
        <v>0.006298047</v>
      </c>
      <c r="H90" s="56">
        <v>0.999498714</v>
      </c>
      <c r="I90" s="56">
        <v>2.13E-6</v>
      </c>
      <c r="J90" s="56">
        <v>0.558167577</v>
      </c>
      <c r="K90" s="56">
        <v>1.0</v>
      </c>
      <c r="L90" s="56">
        <v>0.5</v>
      </c>
      <c r="M90" s="56">
        <v>0.091697232</v>
      </c>
      <c r="N90" s="57">
        <f t="shared" si="1"/>
        <v>0.6556640254</v>
      </c>
      <c r="O90" s="57">
        <f t="shared" si="2"/>
        <v>29.85047896</v>
      </c>
      <c r="P90" s="56">
        <v>4147.351845</v>
      </c>
      <c r="Q90" s="56">
        <v>0.079689326</v>
      </c>
      <c r="R90" s="56">
        <v>0.995211935</v>
      </c>
      <c r="S90" s="56">
        <v>0.677867397</v>
      </c>
      <c r="T90" s="56">
        <v>0.575652948</v>
      </c>
      <c r="U90" s="56">
        <v>0.995913184</v>
      </c>
      <c r="V90" s="56">
        <v>0.677867397</v>
      </c>
      <c r="W90" s="56">
        <v>0.995211935</v>
      </c>
      <c r="X90" s="56">
        <v>0.571227118</v>
      </c>
      <c r="Y90" s="56">
        <v>0.995344601</v>
      </c>
      <c r="Z90" s="56">
        <v>0.661753471</v>
      </c>
      <c r="AA90" s="56">
        <v>0.382408666</v>
      </c>
      <c r="AB90" s="56">
        <v>0.381005485</v>
      </c>
      <c r="AC90" s="56">
        <v>0.268882175</v>
      </c>
      <c r="AD90" s="56">
        <v>0.798206278</v>
      </c>
      <c r="AE90" s="56">
        <v>0.402259887</v>
      </c>
      <c r="AF90" s="56">
        <v>0.892492411</v>
      </c>
      <c r="AG90" s="56">
        <v>0.460063898</v>
      </c>
      <c r="AH90" s="56">
        <v>0.238016529</v>
      </c>
      <c r="AI90" s="56">
        <v>0.31372549</v>
      </c>
      <c r="AJ90" s="56">
        <v>0.487691534</v>
      </c>
      <c r="AK90" s="56">
        <v>0.99801277</v>
      </c>
      <c r="AL90" s="56">
        <v>0.997379385</v>
      </c>
      <c r="AM90" s="56">
        <v>0.997695977</v>
      </c>
      <c r="AN90" s="56">
        <v>0.665792555</v>
      </c>
      <c r="AO90" s="58"/>
      <c r="AP90" s="58"/>
      <c r="AQ90" s="58"/>
    </row>
    <row r="91">
      <c r="A91" s="13"/>
      <c r="B91" s="16"/>
      <c r="C91" s="54">
        <v>4.0</v>
      </c>
      <c r="D91" s="55">
        <v>1.0</v>
      </c>
      <c r="E91" s="55">
        <v>1.0</v>
      </c>
      <c r="F91" s="56">
        <v>1.0</v>
      </c>
      <c r="G91" s="56">
        <v>0.009711641</v>
      </c>
      <c r="H91" s="56">
        <v>0.999682477</v>
      </c>
      <c r="I91" s="56">
        <v>6.61E-6</v>
      </c>
      <c r="J91" s="56">
        <v>0.565500404</v>
      </c>
      <c r="K91" s="56">
        <v>1.0</v>
      </c>
      <c r="L91" s="56">
        <v>0.5</v>
      </c>
      <c r="M91" s="56">
        <v>0.11098137</v>
      </c>
      <c r="N91" s="57">
        <f t="shared" si="1"/>
        <v>0.8121018406</v>
      </c>
      <c r="O91" s="57">
        <f t="shared" si="2"/>
        <v>36.6324807</v>
      </c>
      <c r="P91" s="56">
        <v>4147.351845</v>
      </c>
      <c r="Q91" s="56">
        <v>0.079673672</v>
      </c>
      <c r="R91" s="56">
        <v>0.996179873</v>
      </c>
      <c r="S91" s="56">
        <v>0.900618264</v>
      </c>
      <c r="T91" s="56">
        <v>0.633949502</v>
      </c>
      <c r="U91" s="56">
        <v>0.997748881</v>
      </c>
      <c r="V91" s="56">
        <v>0.900618264</v>
      </c>
      <c r="W91" s="56">
        <v>0.996179873</v>
      </c>
      <c r="X91" s="56">
        <v>0.725200192</v>
      </c>
      <c r="Y91" s="56">
        <v>0.996765046</v>
      </c>
      <c r="Z91" s="56">
        <v>0.930589536</v>
      </c>
      <c r="AA91" s="56">
        <v>0.646213528</v>
      </c>
      <c r="AB91" s="56">
        <v>0.618143913</v>
      </c>
      <c r="AC91" s="56">
        <v>0.413276231</v>
      </c>
      <c r="AD91" s="56">
        <v>0.865470852</v>
      </c>
      <c r="AE91" s="56">
        <v>0.55942029</v>
      </c>
      <c r="AF91" s="56">
        <v>0.929757879</v>
      </c>
      <c r="AG91" s="56">
        <v>0.488931665</v>
      </c>
      <c r="AH91" s="56">
        <v>0.839669422</v>
      </c>
      <c r="AI91" s="56">
        <v>0.618004866</v>
      </c>
      <c r="AJ91" s="56">
        <v>0.915284837</v>
      </c>
      <c r="AK91" s="56">
        <v>0.99964061</v>
      </c>
      <c r="AL91" s="56">
        <v>0.996714517</v>
      </c>
      <c r="AM91" s="56">
        <v>0.998175419</v>
      </c>
      <c r="AN91" s="56">
        <v>0.946996469</v>
      </c>
      <c r="AO91" s="58"/>
      <c r="AP91" s="58"/>
      <c r="AQ91" s="58"/>
    </row>
    <row r="92">
      <c r="A92" s="13"/>
      <c r="B92" s="59" t="s">
        <v>26</v>
      </c>
      <c r="C92" s="54">
        <v>1.0</v>
      </c>
      <c r="D92" s="55">
        <v>1.0</v>
      </c>
      <c r="E92" s="55">
        <v>1.0</v>
      </c>
      <c r="F92" s="56">
        <v>1.0</v>
      </c>
      <c r="G92" s="56">
        <v>0.001258</v>
      </c>
      <c r="H92" s="56">
        <v>0.999345</v>
      </c>
      <c r="I92" s="56">
        <v>2.607302E-6</v>
      </c>
      <c r="J92" s="56">
        <v>0.545259</v>
      </c>
      <c r="K92" s="56">
        <v>1.0</v>
      </c>
      <c r="L92" s="56">
        <v>0.5</v>
      </c>
      <c r="M92" s="56">
        <v>0.09446</v>
      </c>
      <c r="N92" s="57">
        <f t="shared" si="1"/>
        <v>0.5259516405</v>
      </c>
      <c r="O92" s="57">
        <f t="shared" si="2"/>
        <v>26.46468109</v>
      </c>
      <c r="P92" s="54">
        <v>4123.97676</v>
      </c>
      <c r="Q92" s="54">
        <v>0.054981</v>
      </c>
      <c r="R92" s="54">
        <v>0.996434</v>
      </c>
      <c r="S92" s="54">
        <v>0.427614</v>
      </c>
      <c r="T92" s="54">
        <v>0.731081</v>
      </c>
      <c r="U92" s="54">
        <v>0.995056</v>
      </c>
      <c r="V92" s="54">
        <v>0.427614</v>
      </c>
      <c r="W92" s="54">
        <v>0.996434</v>
      </c>
      <c r="X92" s="54">
        <v>0.485427</v>
      </c>
      <c r="Y92" s="54">
        <v>0.99533</v>
      </c>
      <c r="Z92" s="54">
        <v>0.355116</v>
      </c>
      <c r="AA92" s="54">
        <v>0.240439</v>
      </c>
      <c r="AB92" s="54">
        <v>0.188754</v>
      </c>
      <c r="AC92" s="54">
        <v>0.830189</v>
      </c>
      <c r="AD92" s="54">
        <v>0.197309</v>
      </c>
      <c r="AE92" s="54">
        <v>0.318841</v>
      </c>
      <c r="AF92" s="54">
        <v>0.444187</v>
      </c>
      <c r="AG92" s="54">
        <v>0.366197</v>
      </c>
      <c r="AH92" s="54">
        <v>0.08595</v>
      </c>
      <c r="AI92" s="54">
        <v>0.139224</v>
      </c>
      <c r="AJ92" s="54">
        <v>0.293116</v>
      </c>
      <c r="AK92" s="54">
        <v>0.996857</v>
      </c>
      <c r="AL92" s="54">
        <v>0.999581</v>
      </c>
      <c r="AM92" s="54">
        <v>0.998217</v>
      </c>
      <c r="AN92" s="54">
        <v>0.343959</v>
      </c>
      <c r="AO92" s="60"/>
      <c r="AP92" s="60"/>
      <c r="AQ92" s="60"/>
    </row>
    <row r="93">
      <c r="A93" s="13"/>
      <c r="B93" s="13"/>
      <c r="C93" s="54">
        <v>2.0</v>
      </c>
      <c r="D93" s="55">
        <v>1.0</v>
      </c>
      <c r="E93" s="55">
        <v>1.0</v>
      </c>
      <c r="F93" s="56">
        <v>1.0</v>
      </c>
      <c r="G93" s="56">
        <v>0.001091</v>
      </c>
      <c r="H93" s="56">
        <v>0.999175</v>
      </c>
      <c r="I93" s="56">
        <v>3.674809E-7</v>
      </c>
      <c r="J93" s="56">
        <v>0.544797</v>
      </c>
      <c r="K93" s="56">
        <v>1.0</v>
      </c>
      <c r="L93" s="56">
        <v>0.5</v>
      </c>
      <c r="M93" s="56">
        <v>0.068131</v>
      </c>
      <c r="N93" s="57">
        <f t="shared" si="1"/>
        <v>0.5976143283</v>
      </c>
      <c r="O93" s="57">
        <f t="shared" si="2"/>
        <v>25.07208816</v>
      </c>
      <c r="P93" s="54">
        <v>4123.97676</v>
      </c>
      <c r="Q93" s="54">
        <v>0.054854</v>
      </c>
      <c r="R93" s="54">
        <v>0.996984</v>
      </c>
      <c r="S93" s="54">
        <v>0.494759</v>
      </c>
      <c r="T93" s="54">
        <v>0.895221</v>
      </c>
      <c r="U93" s="54">
        <v>0.996459</v>
      </c>
      <c r="V93" s="54">
        <v>0.494759</v>
      </c>
      <c r="W93" s="54">
        <v>0.996984</v>
      </c>
      <c r="X93" s="54">
        <v>0.570215</v>
      </c>
      <c r="Y93" s="54">
        <v>0.995909</v>
      </c>
      <c r="Z93" s="54">
        <v>0.434688</v>
      </c>
      <c r="AA93" s="54">
        <v>0.395137</v>
      </c>
      <c r="AB93" s="54">
        <v>0.296268</v>
      </c>
      <c r="AC93" s="54">
        <v>0.896907</v>
      </c>
      <c r="AD93" s="54">
        <v>0.390135</v>
      </c>
      <c r="AE93" s="54">
        <v>0.54375</v>
      </c>
      <c r="AF93" s="54">
        <v>0.624594</v>
      </c>
      <c r="AG93" s="54">
        <v>0.791667</v>
      </c>
      <c r="AH93" s="54">
        <v>0.094215</v>
      </c>
      <c r="AI93" s="54">
        <v>0.16839</v>
      </c>
      <c r="AJ93" s="54">
        <v>0.306934</v>
      </c>
      <c r="AK93" s="54">
        <v>0.99709</v>
      </c>
      <c r="AL93" s="54">
        <v>0.999927</v>
      </c>
      <c r="AM93" s="54">
        <v>0.998506</v>
      </c>
      <c r="AN93" s="54">
        <v>0.428441</v>
      </c>
      <c r="AO93" s="60"/>
      <c r="AP93" s="60"/>
      <c r="AQ93" s="60"/>
    </row>
    <row r="94">
      <c r="A94" s="13"/>
      <c r="B94" s="13"/>
      <c r="C94" s="54">
        <v>3.0</v>
      </c>
      <c r="D94" s="55">
        <v>1.0</v>
      </c>
      <c r="E94" s="55">
        <v>1.0</v>
      </c>
      <c r="F94" s="56">
        <v>1.0</v>
      </c>
      <c r="G94" s="56">
        <v>0.004975</v>
      </c>
      <c r="H94" s="56">
        <v>0.999903</v>
      </c>
      <c r="I94" s="56">
        <v>8.989033E-6</v>
      </c>
      <c r="J94" s="56">
        <v>0.55524</v>
      </c>
      <c r="K94" s="56">
        <v>1.0</v>
      </c>
      <c r="L94" s="56">
        <v>0.5</v>
      </c>
      <c r="M94" s="56">
        <v>0.116463</v>
      </c>
      <c r="N94" s="57">
        <f t="shared" si="1"/>
        <v>0.7268386465</v>
      </c>
      <c r="O94" s="57">
        <f t="shared" si="2"/>
        <v>34.94121446</v>
      </c>
      <c r="P94" s="54">
        <v>4123.97676</v>
      </c>
      <c r="Q94" s="54">
        <v>0.054779</v>
      </c>
      <c r="R94" s="54">
        <v>0.9967</v>
      </c>
      <c r="S94" s="54">
        <v>0.711551</v>
      </c>
      <c r="T94" s="54">
        <v>0.678499</v>
      </c>
      <c r="U94" s="54">
        <v>0.996644</v>
      </c>
      <c r="V94" s="54">
        <v>0.711551</v>
      </c>
      <c r="W94" s="54">
        <v>0.9967</v>
      </c>
      <c r="X94" s="54">
        <v>0.679746</v>
      </c>
      <c r="Y94" s="54">
        <v>0.996603</v>
      </c>
      <c r="Z94" s="54">
        <v>0.729427</v>
      </c>
      <c r="AA94" s="54">
        <v>0.519434</v>
      </c>
      <c r="AB94" s="54">
        <v>0.519069</v>
      </c>
      <c r="AC94" s="54">
        <v>0.472934</v>
      </c>
      <c r="AD94" s="54">
        <v>0.744395</v>
      </c>
      <c r="AE94" s="54">
        <v>0.578397</v>
      </c>
      <c r="AF94" s="54">
        <v>0.862439</v>
      </c>
      <c r="AG94" s="54">
        <v>0.564286</v>
      </c>
      <c r="AH94" s="54">
        <v>0.391736</v>
      </c>
      <c r="AI94" s="54">
        <v>0.462439</v>
      </c>
      <c r="AJ94" s="54">
        <v>0.625641</v>
      </c>
      <c r="AK94" s="54">
        <v>0.998278</v>
      </c>
      <c r="AL94" s="54">
        <v>0.998523</v>
      </c>
      <c r="AM94" s="54">
        <v>0.998401</v>
      </c>
      <c r="AN94" s="54">
        <v>0.719271</v>
      </c>
      <c r="AO94" s="60"/>
      <c r="AP94" s="60"/>
      <c r="AQ94" s="60"/>
    </row>
    <row r="95">
      <c r="A95" s="13"/>
      <c r="B95" s="16"/>
      <c r="C95" s="54">
        <v>4.0</v>
      </c>
      <c r="D95" s="55">
        <v>1.0</v>
      </c>
      <c r="E95" s="55">
        <v>1.0</v>
      </c>
      <c r="F95" s="56">
        <v>1.0</v>
      </c>
      <c r="G95" s="56">
        <v>0.009912</v>
      </c>
      <c r="H95" s="56">
        <v>0.999658</v>
      </c>
      <c r="I95" s="56">
        <v>1.408499E-5</v>
      </c>
      <c r="J95" s="56">
        <v>0.5659</v>
      </c>
      <c r="K95" s="56">
        <v>1.0</v>
      </c>
      <c r="L95" s="56">
        <v>0.5</v>
      </c>
      <c r="M95" s="56">
        <v>0.125908</v>
      </c>
      <c r="N95" s="57">
        <f t="shared" si="1"/>
        <v>0.8194379611</v>
      </c>
      <c r="O95" s="57">
        <f t="shared" si="2"/>
        <v>38.73744545</v>
      </c>
      <c r="P95" s="54">
        <v>4123.97676</v>
      </c>
      <c r="Q95" s="54">
        <v>0.055088</v>
      </c>
      <c r="R95" s="54">
        <v>0.996163</v>
      </c>
      <c r="S95" s="54">
        <v>0.918998</v>
      </c>
      <c r="T95" s="54">
        <v>0.637848</v>
      </c>
      <c r="U95" s="54">
        <v>0.99779</v>
      </c>
      <c r="V95" s="54">
        <v>0.918998</v>
      </c>
      <c r="W95" s="54">
        <v>0.996163</v>
      </c>
      <c r="X95" s="54">
        <v>0.732991</v>
      </c>
      <c r="Y95" s="54">
        <v>0.99676</v>
      </c>
      <c r="Z95" s="54">
        <v>0.942086</v>
      </c>
      <c r="AA95" s="54">
        <v>0.651402</v>
      </c>
      <c r="AB95" s="54">
        <v>0.621281</v>
      </c>
      <c r="AC95" s="54">
        <v>0.427966</v>
      </c>
      <c r="AD95" s="54">
        <v>0.90583</v>
      </c>
      <c r="AE95" s="54">
        <v>0.581295</v>
      </c>
      <c r="AF95" s="54">
        <v>0.951197</v>
      </c>
      <c r="AG95" s="54">
        <v>0.485902</v>
      </c>
      <c r="AH95" s="54">
        <v>0.854545</v>
      </c>
      <c r="AI95" s="54">
        <v>0.619533</v>
      </c>
      <c r="AJ95" s="54">
        <v>0.923325</v>
      </c>
      <c r="AK95" s="54">
        <v>0.999675</v>
      </c>
      <c r="AL95" s="54">
        <v>0.99662</v>
      </c>
      <c r="AM95" s="54">
        <v>0.998145</v>
      </c>
      <c r="AN95" s="54">
        <v>0.952022</v>
      </c>
      <c r="AO95" s="60"/>
      <c r="AP95" s="60"/>
      <c r="AQ95" s="60"/>
    </row>
    <row r="96">
      <c r="A96" s="13"/>
      <c r="B96" s="59" t="s">
        <v>27</v>
      </c>
      <c r="C96" s="54">
        <v>1.0</v>
      </c>
      <c r="D96" s="55">
        <v>1.0</v>
      </c>
      <c r="E96" s="55">
        <v>1.0</v>
      </c>
      <c r="F96" s="67">
        <v>1.0</v>
      </c>
      <c r="G96" s="56">
        <v>0.003187741</v>
      </c>
      <c r="H96" s="56">
        <v>0.999753195</v>
      </c>
      <c r="I96" s="56">
        <v>3.8E-6</v>
      </c>
      <c r="J96" s="56">
        <v>0.550758279</v>
      </c>
      <c r="K96" s="56">
        <v>1.0</v>
      </c>
      <c r="L96" s="56">
        <v>0.5</v>
      </c>
      <c r="M96" s="67">
        <v>0.100742031</v>
      </c>
      <c r="N96" s="57">
        <f t="shared" si="1"/>
        <v>0.530751997</v>
      </c>
      <c r="O96" s="57">
        <f t="shared" si="2"/>
        <v>27.30355914</v>
      </c>
      <c r="P96" s="54">
        <v>4483.554262</v>
      </c>
      <c r="Q96" s="54">
        <v>0.156118</v>
      </c>
      <c r="R96" s="54">
        <v>0.995504</v>
      </c>
      <c r="S96" s="54">
        <v>0.4592</v>
      </c>
      <c r="T96" s="54">
        <v>0.507958</v>
      </c>
      <c r="U96" s="54">
        <v>0.994501</v>
      </c>
      <c r="V96" s="54">
        <v>0.4592</v>
      </c>
      <c r="W96" s="54">
        <v>0.995504</v>
      </c>
      <c r="X96" s="54">
        <v>0.470986</v>
      </c>
      <c r="Y96" s="54">
        <v>0.994905</v>
      </c>
      <c r="Z96" s="54">
        <v>0.419864</v>
      </c>
      <c r="AA96" s="54">
        <v>0.214974</v>
      </c>
      <c r="AB96" s="54">
        <v>0.207952</v>
      </c>
      <c r="AC96" s="54">
        <v>0.232932</v>
      </c>
      <c r="AD96" s="54">
        <v>0.26009</v>
      </c>
      <c r="AE96" s="54">
        <v>0.245763</v>
      </c>
      <c r="AF96" s="54">
        <v>0.50978</v>
      </c>
      <c r="AG96" s="54">
        <v>0.293878</v>
      </c>
      <c r="AH96" s="54">
        <v>0.119008</v>
      </c>
      <c r="AI96" s="54">
        <v>0.169412</v>
      </c>
      <c r="AJ96" s="54">
        <v>0.344847</v>
      </c>
      <c r="AK96" s="54">
        <v>0.997064</v>
      </c>
      <c r="AL96" s="54">
        <v>0.998502</v>
      </c>
      <c r="AM96" s="54">
        <v>0.997782</v>
      </c>
      <c r="AN96" s="54">
        <v>0.421035</v>
      </c>
      <c r="AO96" s="58"/>
      <c r="AP96" s="58"/>
      <c r="AQ96" s="58"/>
    </row>
    <row r="97">
      <c r="A97" s="13"/>
      <c r="B97" s="13"/>
      <c r="C97" s="54">
        <v>2.0</v>
      </c>
      <c r="D97" s="55">
        <v>1.0</v>
      </c>
      <c r="E97" s="55">
        <v>1.0</v>
      </c>
      <c r="F97" s="67">
        <v>1.0</v>
      </c>
      <c r="G97" s="56">
        <v>0.002555355</v>
      </c>
      <c r="H97" s="56">
        <v>0.999738477</v>
      </c>
      <c r="I97" s="56">
        <v>2.5E-6</v>
      </c>
      <c r="J97" s="56">
        <v>0.548791347</v>
      </c>
      <c r="K97" s="56">
        <v>1.0</v>
      </c>
      <c r="L97" s="56">
        <v>0.5</v>
      </c>
      <c r="M97" s="67">
        <v>0.093876558</v>
      </c>
      <c r="N97" s="57">
        <f t="shared" si="1"/>
        <v>0.5922271295</v>
      </c>
      <c r="O97" s="57">
        <f t="shared" si="2"/>
        <v>28.34757037</v>
      </c>
      <c r="P97" s="54">
        <v>4483.554262</v>
      </c>
      <c r="Q97" s="54">
        <v>0.156081</v>
      </c>
      <c r="R97" s="54">
        <v>0.996395</v>
      </c>
      <c r="S97" s="54">
        <v>0.495779</v>
      </c>
      <c r="T97" s="54">
        <v>0.75965</v>
      </c>
      <c r="U97" s="54">
        <v>0.995581</v>
      </c>
      <c r="V97" s="54">
        <v>0.495779</v>
      </c>
      <c r="W97" s="54">
        <v>0.996395</v>
      </c>
      <c r="X97" s="54">
        <v>0.565441</v>
      </c>
      <c r="Y97" s="54">
        <v>0.995766</v>
      </c>
      <c r="Z97" s="54">
        <v>0.490712</v>
      </c>
      <c r="AA97" s="54">
        <v>0.335745</v>
      </c>
      <c r="AB97" s="54">
        <v>0.314057</v>
      </c>
      <c r="AC97" s="54">
        <v>0.915493</v>
      </c>
      <c r="AD97" s="54">
        <v>0.29148</v>
      </c>
      <c r="AE97" s="54">
        <v>0.442177</v>
      </c>
      <c r="AF97" s="54">
        <v>0.539882</v>
      </c>
      <c r="AG97" s="54">
        <v>0.366154</v>
      </c>
      <c r="AH97" s="54">
        <v>0.196694</v>
      </c>
      <c r="AI97" s="54">
        <v>0.255914</v>
      </c>
      <c r="AJ97" s="54">
        <v>0.443305</v>
      </c>
      <c r="AK97" s="54">
        <v>0.997302</v>
      </c>
      <c r="AL97" s="54">
        <v>0.999162</v>
      </c>
      <c r="AM97" s="54">
        <v>0.998232</v>
      </c>
      <c r="AN97" s="54">
        <v>0.493718</v>
      </c>
      <c r="AO97" s="58"/>
      <c r="AP97" s="58"/>
      <c r="AQ97" s="58"/>
    </row>
    <row r="98">
      <c r="A98" s="13"/>
      <c r="B98" s="13"/>
      <c r="C98" s="54">
        <v>3.0</v>
      </c>
      <c r="D98" s="55">
        <v>1.0</v>
      </c>
      <c r="E98" s="55">
        <v>1.0</v>
      </c>
      <c r="F98" s="67">
        <v>1.0</v>
      </c>
      <c r="G98" s="56">
        <v>0.01267353</v>
      </c>
      <c r="H98" s="56">
        <v>0.99905282</v>
      </c>
      <c r="I98" s="56">
        <v>3.38882E-4</v>
      </c>
      <c r="J98" s="56">
        <v>0.569551441</v>
      </c>
      <c r="K98" s="56">
        <v>1.0</v>
      </c>
      <c r="L98" s="56">
        <v>0.5</v>
      </c>
      <c r="M98" s="67">
        <v>0.214136197</v>
      </c>
      <c r="N98" s="57">
        <f t="shared" si="1"/>
        <v>0.6487291237</v>
      </c>
      <c r="O98" s="57">
        <f t="shared" si="2"/>
        <v>41.64032125</v>
      </c>
      <c r="P98" s="54">
        <v>4483.554262</v>
      </c>
      <c r="Q98" s="54">
        <v>0.156125</v>
      </c>
      <c r="R98" s="54">
        <v>0.991719</v>
      </c>
      <c r="S98" s="54">
        <v>0.668118</v>
      </c>
      <c r="T98" s="54">
        <v>0.602809</v>
      </c>
      <c r="U98" s="54">
        <v>0.995864</v>
      </c>
      <c r="V98" s="54">
        <v>0.668118</v>
      </c>
      <c r="W98" s="54">
        <v>0.991719</v>
      </c>
      <c r="X98" s="54">
        <v>0.608271</v>
      </c>
      <c r="Y98" s="54">
        <v>0.993581</v>
      </c>
      <c r="Z98" s="54">
        <v>0.718558</v>
      </c>
      <c r="AA98" s="54">
        <v>0.334949</v>
      </c>
      <c r="AB98" s="54">
        <v>0.305866</v>
      </c>
      <c r="AC98" s="54">
        <v>0.648649</v>
      </c>
      <c r="AD98" s="54">
        <v>0.538117</v>
      </c>
      <c r="AE98" s="54">
        <v>0.588235</v>
      </c>
      <c r="AF98" s="54">
        <v>0.733462</v>
      </c>
      <c r="AG98" s="54">
        <v>0.1614</v>
      </c>
      <c r="AH98" s="54">
        <v>0.472727</v>
      </c>
      <c r="AI98" s="54">
        <v>0.240639</v>
      </c>
      <c r="AJ98" s="54">
        <v>0.685345</v>
      </c>
      <c r="AK98" s="54">
        <v>0.998377</v>
      </c>
      <c r="AL98" s="54">
        <v>0.993511</v>
      </c>
      <c r="AM98" s="54">
        <v>0.995938</v>
      </c>
      <c r="AN98" s="54">
        <v>0.738073</v>
      </c>
      <c r="AO98" s="58"/>
      <c r="AP98" s="58"/>
      <c r="AQ98" s="58"/>
    </row>
    <row r="99">
      <c r="A99" s="16"/>
      <c r="B99" s="16"/>
      <c r="C99" s="54">
        <v>4.0</v>
      </c>
      <c r="D99" s="55">
        <v>1.0</v>
      </c>
      <c r="E99" s="55">
        <v>1.0</v>
      </c>
      <c r="F99" s="67">
        <v>1.0</v>
      </c>
      <c r="G99" s="56">
        <v>0.009014726</v>
      </c>
      <c r="H99" s="56">
        <v>0.999769033</v>
      </c>
      <c r="I99" s="56">
        <v>5.1E-6</v>
      </c>
      <c r="J99" s="56">
        <v>0.563975977</v>
      </c>
      <c r="K99" s="56">
        <v>1.0</v>
      </c>
      <c r="L99" s="56">
        <v>0.5</v>
      </c>
      <c r="M99" s="67">
        <v>0.106241262</v>
      </c>
      <c r="N99" s="57">
        <f t="shared" si="1"/>
        <v>0.8120338633</v>
      </c>
      <c r="O99" s="57">
        <f t="shared" si="2"/>
        <v>35.99662408</v>
      </c>
      <c r="P99" s="54">
        <v>4483.554262</v>
      </c>
      <c r="Q99" s="54">
        <v>0.155919</v>
      </c>
      <c r="R99" s="54">
        <v>0.996447</v>
      </c>
      <c r="S99" s="54">
        <v>0.881151</v>
      </c>
      <c r="T99" s="54">
        <v>0.651442</v>
      </c>
      <c r="U99" s="54">
        <v>0.997714</v>
      </c>
      <c r="V99" s="54">
        <v>0.881151</v>
      </c>
      <c r="W99" s="54">
        <v>0.996447</v>
      </c>
      <c r="X99" s="54">
        <v>0.735422</v>
      </c>
      <c r="Y99" s="54">
        <v>0.996927</v>
      </c>
      <c r="Z99" s="54">
        <v>0.915667</v>
      </c>
      <c r="AA99" s="54">
        <v>0.649174</v>
      </c>
      <c r="AB99" s="54">
        <v>0.627433</v>
      </c>
      <c r="AC99" s="54">
        <v>0.465347</v>
      </c>
      <c r="AD99" s="54">
        <v>0.843049</v>
      </c>
      <c r="AE99" s="54">
        <v>0.599681</v>
      </c>
      <c r="AF99" s="54">
        <v>0.91775</v>
      </c>
      <c r="AG99" s="54">
        <v>0.489426</v>
      </c>
      <c r="AH99" s="54">
        <v>0.803306</v>
      </c>
      <c r="AI99" s="54">
        <v>0.60826</v>
      </c>
      <c r="AJ99" s="54">
        <v>0.895293</v>
      </c>
      <c r="AK99" s="54">
        <v>0.999554</v>
      </c>
      <c r="AL99" s="54">
        <v>0.997099</v>
      </c>
      <c r="AM99" s="54">
        <v>0.998325</v>
      </c>
      <c r="AN99" s="54">
        <v>0.934379</v>
      </c>
      <c r="AO99" s="58"/>
      <c r="AP99" s="58"/>
      <c r="AQ99" s="58"/>
    </row>
    <row r="100">
      <c r="A100" s="44" t="s">
        <v>101</v>
      </c>
      <c r="B100" s="61" t="s">
        <v>22</v>
      </c>
      <c r="C100" s="46">
        <v>1.0</v>
      </c>
      <c r="D100" s="47">
        <v>1.0</v>
      </c>
      <c r="E100" s="47">
        <v>1.0</v>
      </c>
      <c r="F100" s="48">
        <v>1.0</v>
      </c>
      <c r="G100" s="65">
        <v>5.29E-4</v>
      </c>
      <c r="H100" s="65">
        <v>0.998834</v>
      </c>
      <c r="I100" s="65">
        <v>0.018705</v>
      </c>
      <c r="J100" s="65">
        <v>0.542794</v>
      </c>
      <c r="K100" s="65">
        <v>1.0</v>
      </c>
      <c r="L100" s="65">
        <v>0.5</v>
      </c>
      <c r="M100" s="48">
        <v>0.414484</v>
      </c>
      <c r="N100" s="48">
        <f t="shared" si="1"/>
        <v>0.4525910285</v>
      </c>
      <c r="O100" s="48">
        <f t="shared" si="2"/>
        <v>43.69448981</v>
      </c>
      <c r="P100" s="46">
        <v>130.00422</v>
      </c>
      <c r="Q100" s="46">
        <v>0.82106</v>
      </c>
      <c r="R100" s="46">
        <v>0.996507</v>
      </c>
      <c r="S100" s="46">
        <v>0.350786</v>
      </c>
      <c r="T100" s="46">
        <v>0.784918</v>
      </c>
      <c r="U100" s="46">
        <v>0.99507</v>
      </c>
      <c r="V100" s="46">
        <v>0.350786</v>
      </c>
      <c r="W100" s="46">
        <v>0.996507</v>
      </c>
      <c r="X100" s="46">
        <v>0.363936</v>
      </c>
      <c r="Y100" s="46">
        <v>0.995004</v>
      </c>
      <c r="Z100" s="46">
        <v>0.161355</v>
      </c>
      <c r="AA100" s="46">
        <v>0.187384</v>
      </c>
      <c r="AB100" s="46">
        <v>0.107198</v>
      </c>
      <c r="AC100" s="46">
        <v>1.0</v>
      </c>
      <c r="AD100" s="46">
        <v>0.004484</v>
      </c>
      <c r="AE100" s="46">
        <v>0.008929</v>
      </c>
      <c r="AF100" s="46">
        <v>0.066965</v>
      </c>
      <c r="AG100" s="46">
        <v>0.358025</v>
      </c>
      <c r="AH100" s="46">
        <v>0.047934</v>
      </c>
      <c r="AI100" s="46">
        <v>0.084548</v>
      </c>
      <c r="AJ100" s="46">
        <v>0.218914</v>
      </c>
      <c r="AK100" s="46">
        <v>0.996729</v>
      </c>
      <c r="AL100" s="46">
        <v>0.99994</v>
      </c>
      <c r="AM100" s="46">
        <v>0.998332</v>
      </c>
      <c r="AN100" s="46">
        <v>0.286567</v>
      </c>
      <c r="AO100" s="49"/>
      <c r="AP100" s="49"/>
      <c r="AQ100" s="49"/>
    </row>
    <row r="101">
      <c r="A101" s="13"/>
      <c r="B101" s="13"/>
      <c r="C101" s="46">
        <v>2.0</v>
      </c>
      <c r="D101" s="47">
        <v>1.0</v>
      </c>
      <c r="E101" s="47">
        <v>1.0</v>
      </c>
      <c r="F101" s="48">
        <v>1.0</v>
      </c>
      <c r="G101" s="65">
        <v>0.001865</v>
      </c>
      <c r="H101" s="65">
        <v>0.999381</v>
      </c>
      <c r="I101" s="65">
        <v>0.026555</v>
      </c>
      <c r="J101" s="65">
        <v>0.546559</v>
      </c>
      <c r="K101" s="65">
        <v>1.0</v>
      </c>
      <c r="L101" s="65">
        <v>0.5</v>
      </c>
      <c r="M101" s="48">
        <v>0.43996</v>
      </c>
      <c r="N101" s="48">
        <f t="shared" si="1"/>
        <v>0.5654433775</v>
      </c>
      <c r="O101" s="48">
        <f t="shared" si="2"/>
        <v>51.14447802</v>
      </c>
      <c r="P101" s="46">
        <v>130.00422</v>
      </c>
      <c r="Q101" s="46">
        <v>0.941749</v>
      </c>
      <c r="R101" s="46">
        <v>0.996967</v>
      </c>
      <c r="S101" s="46">
        <v>0.439103</v>
      </c>
      <c r="T101" s="46">
        <v>0.880253</v>
      </c>
      <c r="U101" s="46">
        <v>0.996484</v>
      </c>
      <c r="V101" s="46">
        <v>0.439103</v>
      </c>
      <c r="W101" s="46">
        <v>0.996967</v>
      </c>
      <c r="X101" s="46">
        <v>0.479377</v>
      </c>
      <c r="Y101" s="46">
        <v>0.996105</v>
      </c>
      <c r="Z101" s="46">
        <v>0.321825</v>
      </c>
      <c r="AA101" s="46">
        <v>0.420161</v>
      </c>
      <c r="AB101" s="46">
        <v>0.36784</v>
      </c>
      <c r="AC101" s="46">
        <v>1.0</v>
      </c>
      <c r="AD101" s="46">
        <v>0.013453</v>
      </c>
      <c r="AE101" s="46">
        <v>0.026549</v>
      </c>
      <c r="AF101" s="46">
        <v>0.115987</v>
      </c>
      <c r="AG101" s="46">
        <v>0.643357</v>
      </c>
      <c r="AH101" s="46">
        <v>0.304132</v>
      </c>
      <c r="AI101" s="46">
        <v>0.413019</v>
      </c>
      <c r="AJ101" s="46">
        <v>0.551361</v>
      </c>
      <c r="AK101" s="46">
        <v>0.997403</v>
      </c>
      <c r="AL101" s="46">
        <v>0.999724</v>
      </c>
      <c r="AM101" s="46">
        <v>0.998562</v>
      </c>
      <c r="AN101" s="46">
        <v>0.521214</v>
      </c>
      <c r="AO101" s="49"/>
      <c r="AP101" s="49"/>
      <c r="AQ101" s="49"/>
    </row>
    <row r="102">
      <c r="A102" s="13"/>
      <c r="B102" s="13"/>
      <c r="C102" s="46">
        <v>3.0</v>
      </c>
      <c r="D102" s="47">
        <v>1.0</v>
      </c>
      <c r="E102" s="47">
        <v>1.0</v>
      </c>
      <c r="F102" s="48">
        <v>1.0</v>
      </c>
      <c r="G102" s="65">
        <v>0.006143</v>
      </c>
      <c r="H102" s="65">
        <v>0.999949</v>
      </c>
      <c r="I102" s="65">
        <v>0.026303</v>
      </c>
      <c r="J102" s="65">
        <v>0.557327</v>
      </c>
      <c r="K102" s="65">
        <v>1.0</v>
      </c>
      <c r="L102" s="65">
        <v>0.5</v>
      </c>
      <c r="M102" s="48">
        <v>0.440735</v>
      </c>
      <c r="N102" s="48">
        <f t="shared" si="1"/>
        <v>0.755139267</v>
      </c>
      <c r="O102" s="48">
        <f t="shared" si="2"/>
        <v>60.88176699</v>
      </c>
      <c r="P102" s="46">
        <v>130.00422</v>
      </c>
      <c r="Q102" s="46">
        <v>1.014072</v>
      </c>
      <c r="R102" s="46">
        <v>0.997126</v>
      </c>
      <c r="S102" s="46">
        <v>0.70709</v>
      </c>
      <c r="T102" s="46">
        <v>0.701728</v>
      </c>
      <c r="U102" s="46">
        <v>0.997375</v>
      </c>
      <c r="V102" s="46">
        <v>0.70709</v>
      </c>
      <c r="W102" s="46">
        <v>0.997126</v>
      </c>
      <c r="X102" s="46">
        <v>0.6972</v>
      </c>
      <c r="Y102" s="46">
        <v>0.997212</v>
      </c>
      <c r="Z102" s="46">
        <v>0.770802</v>
      </c>
      <c r="AA102" s="46">
        <v>0.625079</v>
      </c>
      <c r="AB102" s="46">
        <v>0.623535</v>
      </c>
      <c r="AC102" s="46">
        <v>0.563636</v>
      </c>
      <c r="AD102" s="46">
        <v>0.41704</v>
      </c>
      <c r="AE102" s="46">
        <v>0.479381</v>
      </c>
      <c r="AF102" s="46">
        <v>0.645687</v>
      </c>
      <c r="AG102" s="46">
        <v>0.542567</v>
      </c>
      <c r="AH102" s="46">
        <v>0.705785</v>
      </c>
      <c r="AI102" s="46">
        <v>0.613506</v>
      </c>
      <c r="AJ102" s="46">
        <v>0.839458</v>
      </c>
      <c r="AK102" s="46">
        <v>0.998981</v>
      </c>
      <c r="AL102" s="46">
        <v>0.998446</v>
      </c>
      <c r="AM102" s="46">
        <v>0.998713</v>
      </c>
      <c r="AN102" s="46">
        <v>0.844905</v>
      </c>
      <c r="AO102" s="49"/>
      <c r="AP102" s="49"/>
      <c r="AQ102" s="49"/>
    </row>
    <row r="103">
      <c r="A103" s="13"/>
      <c r="B103" s="16"/>
      <c r="C103" s="46">
        <v>4.0</v>
      </c>
      <c r="D103" s="47">
        <v>1.0</v>
      </c>
      <c r="E103" s="47">
        <v>1.0</v>
      </c>
      <c r="F103" s="48">
        <v>1.0</v>
      </c>
      <c r="G103" s="65">
        <v>0.006511</v>
      </c>
      <c r="H103" s="65">
        <v>0.999967</v>
      </c>
      <c r="I103" s="65">
        <v>0.001689</v>
      </c>
      <c r="J103" s="65">
        <v>0.558614</v>
      </c>
      <c r="K103" s="65">
        <v>1.0</v>
      </c>
      <c r="L103" s="65">
        <v>0.5</v>
      </c>
      <c r="M103" s="48">
        <v>0.279007</v>
      </c>
      <c r="N103" s="48">
        <f t="shared" si="1"/>
        <v>0.8388896144</v>
      </c>
      <c r="O103" s="48">
        <f t="shared" si="2"/>
        <v>54.00934749</v>
      </c>
      <c r="P103" s="46">
        <v>130.00422</v>
      </c>
      <c r="Q103" s="46">
        <v>1.065019</v>
      </c>
      <c r="R103" s="46">
        <v>0.997759</v>
      </c>
      <c r="S103" s="46">
        <v>0.851283</v>
      </c>
      <c r="T103" s="46">
        <v>0.741754</v>
      </c>
      <c r="U103" s="46">
        <v>0.998059</v>
      </c>
      <c r="V103" s="46">
        <v>0.851283</v>
      </c>
      <c r="W103" s="46">
        <v>0.997759</v>
      </c>
      <c r="X103" s="46">
        <v>0.789102</v>
      </c>
      <c r="Y103" s="46">
        <v>0.997881</v>
      </c>
      <c r="Z103" s="46">
        <v>0.891366</v>
      </c>
      <c r="AA103" s="46">
        <v>0.719021</v>
      </c>
      <c r="AB103" s="46">
        <v>0.715501</v>
      </c>
      <c r="AC103" s="46">
        <v>0.598706</v>
      </c>
      <c r="AD103" s="46">
        <v>0.829596</v>
      </c>
      <c r="AE103" s="46">
        <v>0.695489</v>
      </c>
      <c r="AF103" s="46">
        <v>0.910579</v>
      </c>
      <c r="AG103" s="46">
        <v>0.627143</v>
      </c>
      <c r="AH103" s="46">
        <v>0.72562</v>
      </c>
      <c r="AI103" s="46">
        <v>0.672797</v>
      </c>
      <c r="AJ103" s="46">
        <v>0.851354</v>
      </c>
      <c r="AK103" s="46">
        <v>0.999412</v>
      </c>
      <c r="AL103" s="46">
        <v>0.998631</v>
      </c>
      <c r="AM103" s="46">
        <v>0.999022</v>
      </c>
      <c r="AN103" s="46">
        <v>0.913567</v>
      </c>
      <c r="AO103" s="49"/>
      <c r="AP103" s="49"/>
      <c r="AQ103" s="49"/>
    </row>
    <row r="104">
      <c r="A104" s="13"/>
      <c r="B104" s="51" t="s">
        <v>23</v>
      </c>
      <c r="C104" s="46">
        <v>1.0</v>
      </c>
      <c r="D104" s="47">
        <v>1.0</v>
      </c>
      <c r="E104" s="47">
        <v>1.0</v>
      </c>
      <c r="F104" s="65">
        <v>1.0</v>
      </c>
      <c r="G104" s="65">
        <v>0.0</v>
      </c>
      <c r="H104" s="65">
        <v>0.998216703</v>
      </c>
      <c r="I104" s="65">
        <v>0.426308348</v>
      </c>
      <c r="J104" s="65">
        <v>0.540852083</v>
      </c>
      <c r="K104" s="65">
        <v>1.0</v>
      </c>
      <c r="L104" s="65">
        <v>0.5</v>
      </c>
      <c r="M104" s="65">
        <v>0.697428242</v>
      </c>
      <c r="N104" s="48">
        <f t="shared" si="1"/>
        <v>0.4080660711</v>
      </c>
      <c r="O104" s="48">
        <f t="shared" si="2"/>
        <v>50.56361361</v>
      </c>
      <c r="P104" s="62">
        <v>592.1887607</v>
      </c>
      <c r="Q104" s="62">
        <v>0.591780186</v>
      </c>
      <c r="R104" s="62">
        <v>0.99643799</v>
      </c>
      <c r="S104" s="62">
        <v>0.333333333</v>
      </c>
      <c r="T104" s="62">
        <v>0.332145997</v>
      </c>
      <c r="U104" s="62">
        <v>0.992888667</v>
      </c>
      <c r="V104" s="62">
        <v>0.333333333</v>
      </c>
      <c r="W104" s="62">
        <v>0.99643799</v>
      </c>
      <c r="X104" s="62">
        <v>0.332738606</v>
      </c>
      <c r="Y104" s="62">
        <v>0.994660162</v>
      </c>
      <c r="Z104" s="62">
        <v>0.0</v>
      </c>
      <c r="AA104" s="62">
        <v>0.0</v>
      </c>
      <c r="AB104" s="62">
        <v>0.0</v>
      </c>
      <c r="AC104" s="62">
        <v>0.0</v>
      </c>
      <c r="AD104" s="62">
        <v>0.0</v>
      </c>
      <c r="AE104" s="62">
        <v>0.0</v>
      </c>
      <c r="AF104" s="62">
        <v>0.0</v>
      </c>
      <c r="AG104" s="62">
        <v>0.0</v>
      </c>
      <c r="AH104" s="62">
        <v>0.0</v>
      </c>
      <c r="AI104" s="62">
        <v>0.0</v>
      </c>
      <c r="AJ104" s="62">
        <v>0.0</v>
      </c>
      <c r="AK104" s="62">
        <v>0.99643799</v>
      </c>
      <c r="AL104" s="62">
        <v>1.0</v>
      </c>
      <c r="AM104" s="62">
        <v>0.998215817</v>
      </c>
      <c r="AN104" s="62">
        <v>0.0</v>
      </c>
      <c r="AO104" s="49"/>
      <c r="AP104" s="49"/>
      <c r="AQ104" s="49"/>
    </row>
    <row r="105">
      <c r="A105" s="13"/>
      <c r="B105" s="13"/>
      <c r="C105" s="46">
        <v>2.0</v>
      </c>
      <c r="D105" s="47">
        <v>1.0</v>
      </c>
      <c r="E105" s="47">
        <v>1.0</v>
      </c>
      <c r="F105" s="65">
        <v>1.0</v>
      </c>
      <c r="G105" s="65">
        <v>1.22605E-4</v>
      </c>
      <c r="H105" s="65">
        <v>0.998455051</v>
      </c>
      <c r="I105" s="65">
        <v>0.58546319</v>
      </c>
      <c r="J105" s="65">
        <v>0.541424379</v>
      </c>
      <c r="K105" s="65">
        <v>1.0</v>
      </c>
      <c r="L105" s="65">
        <v>0.5</v>
      </c>
      <c r="M105" s="65">
        <v>0.735454801</v>
      </c>
      <c r="N105" s="48">
        <f t="shared" si="1"/>
        <v>0.4375557862</v>
      </c>
      <c r="O105" s="48">
        <f t="shared" si="2"/>
        <v>53.85703664</v>
      </c>
      <c r="P105" s="62">
        <v>592.1887607</v>
      </c>
      <c r="Q105" s="62">
        <v>0.614495754</v>
      </c>
      <c r="R105" s="62">
        <v>0.996493915</v>
      </c>
      <c r="S105" s="62">
        <v>0.347652022</v>
      </c>
      <c r="T105" s="62">
        <v>0.835959592</v>
      </c>
      <c r="U105" s="62">
        <v>0.995461208</v>
      </c>
      <c r="V105" s="62">
        <v>0.347652022</v>
      </c>
      <c r="W105" s="62">
        <v>0.996493915</v>
      </c>
      <c r="X105" s="62">
        <v>0.36052857</v>
      </c>
      <c r="Y105" s="62">
        <v>0.994813885</v>
      </c>
      <c r="Z105" s="62">
        <v>0.141111084</v>
      </c>
      <c r="AA105" s="62">
        <v>0.127335671</v>
      </c>
      <c r="AB105" s="62">
        <v>0.03766226</v>
      </c>
      <c r="AC105" s="62">
        <v>0.875</v>
      </c>
      <c r="AD105" s="62">
        <v>0.031390135</v>
      </c>
      <c r="AE105" s="62">
        <v>0.060606061</v>
      </c>
      <c r="AF105" s="62">
        <v>0.177172231</v>
      </c>
      <c r="AG105" s="62">
        <v>0.636363636</v>
      </c>
      <c r="AH105" s="62">
        <v>0.011570248</v>
      </c>
      <c r="AI105" s="62">
        <v>0.022727273</v>
      </c>
      <c r="AJ105" s="62">
        <v>0.107564159</v>
      </c>
      <c r="AK105" s="62">
        <v>0.99651514</v>
      </c>
      <c r="AL105" s="62">
        <v>0.999995683</v>
      </c>
      <c r="AM105" s="62">
        <v>0.998252377</v>
      </c>
      <c r="AN105" s="62">
        <v>0.147441638</v>
      </c>
      <c r="AO105" s="49"/>
      <c r="AP105" s="49"/>
      <c r="AQ105" s="49"/>
    </row>
    <row r="106">
      <c r="A106" s="13"/>
      <c r="B106" s="13"/>
      <c r="C106" s="46">
        <v>3.0</v>
      </c>
      <c r="D106" s="47">
        <v>1.0</v>
      </c>
      <c r="E106" s="47">
        <v>1.0</v>
      </c>
      <c r="F106" s="65">
        <v>1.0</v>
      </c>
      <c r="G106" s="65">
        <v>0.002264974</v>
      </c>
      <c r="H106" s="65">
        <v>0.999686451</v>
      </c>
      <c r="I106" s="65">
        <v>0.773207962</v>
      </c>
      <c r="J106" s="65">
        <v>0.548189774</v>
      </c>
      <c r="K106" s="65">
        <v>1.0</v>
      </c>
      <c r="L106" s="65">
        <v>0.5</v>
      </c>
      <c r="M106" s="65">
        <v>0.77210585</v>
      </c>
      <c r="N106" s="48">
        <f t="shared" si="1"/>
        <v>0.6663184441</v>
      </c>
      <c r="O106" s="48">
        <f t="shared" si="2"/>
        <v>70.67728175</v>
      </c>
      <c r="P106" s="62">
        <v>592.1887607</v>
      </c>
      <c r="Q106" s="62">
        <v>0.686675787</v>
      </c>
      <c r="R106" s="62">
        <v>0.997281171</v>
      </c>
      <c r="S106" s="62">
        <v>0.557659074</v>
      </c>
      <c r="T106" s="62">
        <v>0.831186581</v>
      </c>
      <c r="U106" s="62">
        <v>0.996746887</v>
      </c>
      <c r="V106" s="62">
        <v>0.557659074</v>
      </c>
      <c r="W106" s="62">
        <v>0.997281171</v>
      </c>
      <c r="X106" s="62">
        <v>0.641483488</v>
      </c>
      <c r="Y106" s="62">
        <v>0.996703685</v>
      </c>
      <c r="Z106" s="62">
        <v>0.580886702</v>
      </c>
      <c r="AA106" s="62">
        <v>0.506515657</v>
      </c>
      <c r="AB106" s="62">
        <v>0.463050869</v>
      </c>
      <c r="AC106" s="62">
        <v>0.767857143</v>
      </c>
      <c r="AD106" s="62">
        <v>0.385650224</v>
      </c>
      <c r="AE106" s="62">
        <v>0.513432836</v>
      </c>
      <c r="AF106" s="62">
        <v>0.620972663</v>
      </c>
      <c r="AG106" s="62">
        <v>0.728033473</v>
      </c>
      <c r="AH106" s="62">
        <v>0.287603306</v>
      </c>
      <c r="AI106" s="62">
        <v>0.412322275</v>
      </c>
      <c r="AJ106" s="62">
        <v>0.536211408</v>
      </c>
      <c r="AK106" s="62">
        <v>0.997669128</v>
      </c>
      <c r="AL106" s="62">
        <v>0.999723691</v>
      </c>
      <c r="AM106" s="62">
        <v>0.998695353</v>
      </c>
      <c r="AN106" s="62">
        <v>0.588661689</v>
      </c>
      <c r="AO106" s="49"/>
      <c r="AP106" s="49"/>
      <c r="AQ106" s="49"/>
    </row>
    <row r="107">
      <c r="A107" s="13"/>
      <c r="B107" s="16"/>
      <c r="C107" s="46">
        <v>4.0</v>
      </c>
      <c r="D107" s="47">
        <v>1.0</v>
      </c>
      <c r="E107" s="47">
        <v>1.0</v>
      </c>
      <c r="F107" s="65">
        <v>1.0</v>
      </c>
      <c r="G107" s="65">
        <v>0.004891311</v>
      </c>
      <c r="H107" s="65">
        <v>0.999981048</v>
      </c>
      <c r="I107" s="65">
        <v>8.53E-6</v>
      </c>
      <c r="J107" s="65">
        <v>0.554923448</v>
      </c>
      <c r="K107" s="65">
        <v>1.0</v>
      </c>
      <c r="L107" s="65">
        <v>0.5</v>
      </c>
      <c r="M107" s="65">
        <v>0.115448444</v>
      </c>
      <c r="N107" s="48">
        <f t="shared" si="1"/>
        <v>0.818650346</v>
      </c>
      <c r="O107" s="48">
        <f t="shared" si="2"/>
        <v>37.39506594</v>
      </c>
      <c r="P107" s="62">
        <v>592.1887607</v>
      </c>
      <c r="Q107" s="62">
        <v>0.937638521</v>
      </c>
      <c r="R107" s="62">
        <v>0.997956576</v>
      </c>
      <c r="S107" s="62">
        <v>0.788606777</v>
      </c>
      <c r="T107" s="62">
        <v>0.794158518</v>
      </c>
      <c r="U107" s="62">
        <v>0.997870502</v>
      </c>
      <c r="V107" s="62">
        <v>0.788606777</v>
      </c>
      <c r="W107" s="62">
        <v>0.997956576</v>
      </c>
      <c r="X107" s="62">
        <v>0.788264171</v>
      </c>
      <c r="Y107" s="62">
        <v>0.99789521</v>
      </c>
      <c r="Z107" s="62">
        <v>0.827670242</v>
      </c>
      <c r="AA107" s="62">
        <v>0.700393063</v>
      </c>
      <c r="AB107" s="62">
        <v>0.699699606</v>
      </c>
      <c r="AC107" s="62">
        <v>0.680933852</v>
      </c>
      <c r="AD107" s="62">
        <v>0.784753363</v>
      </c>
      <c r="AE107" s="62">
        <v>0.729166667</v>
      </c>
      <c r="AF107" s="62">
        <v>0.885706649</v>
      </c>
      <c r="AG107" s="62">
        <v>0.70259481</v>
      </c>
      <c r="AH107" s="62">
        <v>0.581818182</v>
      </c>
      <c r="AI107" s="62">
        <v>0.636528029</v>
      </c>
      <c r="AJ107" s="62">
        <v>0.76252493</v>
      </c>
      <c r="AK107" s="62">
        <v>0.998946891</v>
      </c>
      <c r="AL107" s="62">
        <v>0.999248786</v>
      </c>
      <c r="AM107" s="62">
        <v>0.999097816</v>
      </c>
      <c r="AN107" s="62">
        <v>0.839514245</v>
      </c>
      <c r="AO107" s="49"/>
      <c r="AP107" s="49"/>
      <c r="AQ107" s="49"/>
    </row>
    <row r="108">
      <c r="A108" s="13"/>
      <c r="B108" s="51" t="s">
        <v>24</v>
      </c>
      <c r="C108" s="46">
        <v>1.0</v>
      </c>
      <c r="D108" s="47">
        <v>1.0</v>
      </c>
      <c r="E108" s="47">
        <v>1.0</v>
      </c>
      <c r="F108" s="65">
        <v>1.0</v>
      </c>
      <c r="G108" s="65">
        <v>0.014338382</v>
      </c>
      <c r="H108" s="65">
        <v>0.998646227</v>
      </c>
      <c r="I108" s="65">
        <v>0.021318578</v>
      </c>
      <c r="J108" s="65">
        <v>0.572010742</v>
      </c>
      <c r="K108" s="65">
        <v>1.0</v>
      </c>
      <c r="L108" s="65">
        <v>0.5</v>
      </c>
      <c r="M108" s="65">
        <v>0.427324063</v>
      </c>
      <c r="N108" s="48">
        <f t="shared" si="1"/>
        <v>0.542154831</v>
      </c>
      <c r="O108" s="48">
        <f t="shared" si="2"/>
        <v>49.29205664</v>
      </c>
      <c r="P108" s="62">
        <v>4713.71399</v>
      </c>
      <c r="Q108" s="62">
        <v>0.020478587</v>
      </c>
      <c r="R108" s="62">
        <v>0.989619407</v>
      </c>
      <c r="S108" s="62">
        <v>0.517629694</v>
      </c>
      <c r="T108" s="62">
        <v>0.442112821</v>
      </c>
      <c r="U108" s="62">
        <v>0.994884274</v>
      </c>
      <c r="V108" s="62">
        <v>0.517629694</v>
      </c>
      <c r="W108" s="62">
        <v>0.989619407</v>
      </c>
      <c r="X108" s="62">
        <v>0.449868993</v>
      </c>
      <c r="Y108" s="62">
        <v>0.992020313</v>
      </c>
      <c r="Z108" s="62">
        <v>0.536272639</v>
      </c>
      <c r="AA108" s="62">
        <v>0.231221419</v>
      </c>
      <c r="AB108" s="62">
        <v>0.20534651</v>
      </c>
      <c r="AC108" s="62">
        <v>0.204081633</v>
      </c>
      <c r="AD108" s="62">
        <v>0.134529148</v>
      </c>
      <c r="AE108" s="62">
        <v>0.162162162</v>
      </c>
      <c r="AF108" s="62">
        <v>0.366689747</v>
      </c>
      <c r="AG108" s="62">
        <v>0.124337349</v>
      </c>
      <c r="AH108" s="62">
        <v>0.426446281</v>
      </c>
      <c r="AI108" s="62">
        <v>0.192537313</v>
      </c>
      <c r="AJ108" s="62">
        <v>0.65046461</v>
      </c>
      <c r="AK108" s="62">
        <v>0.997919481</v>
      </c>
      <c r="AL108" s="62">
        <v>0.991913654</v>
      </c>
      <c r="AM108" s="62">
        <v>0.994907504</v>
      </c>
      <c r="AN108" s="62">
        <v>0.646598182</v>
      </c>
      <c r="AO108" s="63"/>
      <c r="AP108" s="63"/>
      <c r="AQ108" s="63"/>
    </row>
    <row r="109">
      <c r="A109" s="13"/>
      <c r="B109" s="13"/>
      <c r="C109" s="46">
        <v>2.0</v>
      </c>
      <c r="D109" s="47">
        <v>1.0</v>
      </c>
      <c r="E109" s="47">
        <v>1.0</v>
      </c>
      <c r="F109" s="65">
        <v>1.0</v>
      </c>
      <c r="G109" s="65">
        <v>0.018900595</v>
      </c>
      <c r="H109" s="65">
        <v>0.997627784</v>
      </c>
      <c r="I109" s="65">
        <v>0.042935752</v>
      </c>
      <c r="J109" s="65">
        <v>0.579126502</v>
      </c>
      <c r="K109" s="65">
        <v>1.0</v>
      </c>
      <c r="L109" s="65">
        <v>0.5</v>
      </c>
      <c r="M109" s="65">
        <v>0.481121956</v>
      </c>
      <c r="N109" s="48">
        <f t="shared" si="1"/>
        <v>0.5574361401</v>
      </c>
      <c r="O109" s="48">
        <f t="shared" si="2"/>
        <v>52.55561755</v>
      </c>
      <c r="P109" s="62">
        <v>4713.71399</v>
      </c>
      <c r="Q109" s="62">
        <v>0.020163506</v>
      </c>
      <c r="R109" s="62">
        <v>0.987365188</v>
      </c>
      <c r="S109" s="62">
        <v>0.555115652</v>
      </c>
      <c r="T109" s="62">
        <v>0.445346115</v>
      </c>
      <c r="U109" s="62">
        <v>0.995398086</v>
      </c>
      <c r="V109" s="62">
        <v>0.555115652</v>
      </c>
      <c r="W109" s="62">
        <v>0.987365188</v>
      </c>
      <c r="X109" s="62">
        <v>0.454833691</v>
      </c>
      <c r="Y109" s="62">
        <v>0.991016462</v>
      </c>
      <c r="Z109" s="62">
        <v>0.59713555</v>
      </c>
      <c r="AA109" s="62">
        <v>0.259485925</v>
      </c>
      <c r="AB109" s="62">
        <v>0.214537868</v>
      </c>
      <c r="AC109" s="62">
        <v>0.224358974</v>
      </c>
      <c r="AD109" s="62">
        <v>0.156950673</v>
      </c>
      <c r="AE109" s="62">
        <v>0.18469657</v>
      </c>
      <c r="AF109" s="62">
        <v>0.396066782</v>
      </c>
      <c r="AG109" s="62">
        <v>0.113234764</v>
      </c>
      <c r="AH109" s="62">
        <v>0.519008265</v>
      </c>
      <c r="AI109" s="62">
        <v>0.185908822</v>
      </c>
      <c r="AJ109" s="62">
        <v>0.716591667</v>
      </c>
      <c r="AK109" s="62">
        <v>0.998444607</v>
      </c>
      <c r="AL109" s="62">
        <v>0.989388019</v>
      </c>
      <c r="AM109" s="62">
        <v>0.993895682</v>
      </c>
      <c r="AN109" s="62">
        <v>0.750202676</v>
      </c>
      <c r="AO109" s="63"/>
      <c r="AP109" s="63"/>
      <c r="AQ109" s="63"/>
    </row>
    <row r="110">
      <c r="A110" s="13"/>
      <c r="B110" s="13"/>
      <c r="C110" s="46">
        <v>3.0</v>
      </c>
      <c r="D110" s="47">
        <v>1.0</v>
      </c>
      <c r="E110" s="47">
        <v>1.0</v>
      </c>
      <c r="F110" s="65">
        <v>1.0</v>
      </c>
      <c r="G110" s="65">
        <v>0.019055465</v>
      </c>
      <c r="H110" s="65">
        <v>0.997819958</v>
      </c>
      <c r="I110" s="65">
        <v>0.039256766</v>
      </c>
      <c r="J110" s="65">
        <v>0.580510256</v>
      </c>
      <c r="K110" s="65">
        <v>1.0</v>
      </c>
      <c r="L110" s="65">
        <v>0.5</v>
      </c>
      <c r="M110" s="65">
        <v>0.474195871</v>
      </c>
      <c r="N110" s="48">
        <f t="shared" si="1"/>
        <v>0.624130502</v>
      </c>
      <c r="O110" s="48">
        <f t="shared" si="2"/>
        <v>55.91757794</v>
      </c>
      <c r="P110" s="62">
        <v>4713.71399</v>
      </c>
      <c r="Q110" s="62">
        <v>0.0202558</v>
      </c>
      <c r="R110" s="62">
        <v>0.988195463</v>
      </c>
      <c r="S110" s="62">
        <v>0.67930274</v>
      </c>
      <c r="T110" s="62">
        <v>0.484690392</v>
      </c>
      <c r="U110" s="62">
        <v>0.995980661</v>
      </c>
      <c r="V110" s="62">
        <v>0.67930274</v>
      </c>
      <c r="W110" s="62">
        <v>0.988195463</v>
      </c>
      <c r="X110" s="62">
        <v>0.529308152</v>
      </c>
      <c r="Y110" s="62">
        <v>0.991671473</v>
      </c>
      <c r="Z110" s="62">
        <v>0.75104587</v>
      </c>
      <c r="AA110" s="62">
        <v>0.328294372</v>
      </c>
      <c r="AB110" s="62">
        <v>0.270853063</v>
      </c>
      <c r="AC110" s="62">
        <v>0.314935065</v>
      </c>
      <c r="AD110" s="62">
        <v>0.434977579</v>
      </c>
      <c r="AE110" s="62">
        <v>0.365348399</v>
      </c>
      <c r="AF110" s="62">
        <v>0.659228614</v>
      </c>
      <c r="AG110" s="62">
        <v>0.14026465</v>
      </c>
      <c r="AH110" s="62">
        <v>0.613223141</v>
      </c>
      <c r="AI110" s="62">
        <v>0.228307692</v>
      </c>
      <c r="AJ110" s="62">
        <v>0.77923588</v>
      </c>
      <c r="AK110" s="62">
        <v>0.99887146</v>
      </c>
      <c r="AL110" s="62">
        <v>0.989707501</v>
      </c>
      <c r="AM110" s="62">
        <v>0.994268365</v>
      </c>
      <c r="AN110" s="62">
        <v>0.824696964</v>
      </c>
      <c r="AO110" s="63"/>
      <c r="AP110" s="63"/>
      <c r="AQ110" s="63"/>
    </row>
    <row r="111">
      <c r="A111" s="13"/>
      <c r="B111" s="16"/>
      <c r="C111" s="46">
        <v>4.0</v>
      </c>
      <c r="D111" s="47">
        <v>1.0</v>
      </c>
      <c r="E111" s="47">
        <v>1.0</v>
      </c>
      <c r="F111" s="65">
        <v>1.0</v>
      </c>
      <c r="G111" s="65">
        <v>0.0078532</v>
      </c>
      <c r="H111" s="65">
        <v>0.99987046</v>
      </c>
      <c r="I111" s="65">
        <v>7.68E-5</v>
      </c>
      <c r="J111" s="65">
        <v>0.561638889</v>
      </c>
      <c r="K111" s="65">
        <v>1.0</v>
      </c>
      <c r="L111" s="65">
        <v>0.5</v>
      </c>
      <c r="M111" s="65">
        <v>0.166828493</v>
      </c>
      <c r="N111" s="48">
        <f t="shared" si="1"/>
        <v>0.7806823586</v>
      </c>
      <c r="O111" s="48">
        <f t="shared" si="2"/>
        <v>42.11072418</v>
      </c>
      <c r="P111" s="62">
        <v>4713.71399</v>
      </c>
      <c r="Q111" s="62">
        <v>0.020559439</v>
      </c>
      <c r="R111" s="62">
        <v>0.996463801</v>
      </c>
      <c r="S111" s="62">
        <v>0.816766498</v>
      </c>
      <c r="T111" s="62">
        <v>0.642633846</v>
      </c>
      <c r="U111" s="62">
        <v>0.997356039</v>
      </c>
      <c r="V111" s="62">
        <v>0.816766498</v>
      </c>
      <c r="W111" s="62">
        <v>0.996463801</v>
      </c>
      <c r="X111" s="62">
        <v>0.708577535</v>
      </c>
      <c r="Y111" s="62">
        <v>0.996827933</v>
      </c>
      <c r="Z111" s="62">
        <v>0.8609932</v>
      </c>
      <c r="AA111" s="62">
        <v>0.607867565</v>
      </c>
      <c r="AB111" s="62">
        <v>0.596694702</v>
      </c>
      <c r="AC111" s="62">
        <v>0.44278607</v>
      </c>
      <c r="AD111" s="62">
        <v>0.798206278</v>
      </c>
      <c r="AE111" s="62">
        <v>0.5696</v>
      </c>
      <c r="AF111" s="62">
        <v>0.892992922</v>
      </c>
      <c r="AG111" s="62">
        <v>0.485889571</v>
      </c>
      <c r="AH111" s="62">
        <v>0.654545455</v>
      </c>
      <c r="AI111" s="62">
        <v>0.557746479</v>
      </c>
      <c r="AJ111" s="62">
        <v>0.808308449</v>
      </c>
      <c r="AK111" s="62">
        <v>0.999225899</v>
      </c>
      <c r="AL111" s="62">
        <v>0.99754776</v>
      </c>
      <c r="AM111" s="62">
        <v>0.998386125</v>
      </c>
      <c r="AN111" s="62">
        <v>0.884247884</v>
      </c>
      <c r="AO111" s="63"/>
      <c r="AP111" s="63"/>
      <c r="AQ111" s="63"/>
    </row>
    <row r="112">
      <c r="A112" s="13"/>
      <c r="B112" s="51" t="s">
        <v>25</v>
      </c>
      <c r="C112" s="46">
        <v>1.0</v>
      </c>
      <c r="D112" s="47">
        <v>1.0</v>
      </c>
      <c r="E112" s="47">
        <v>1.0</v>
      </c>
      <c r="F112" s="65">
        <v>1.0</v>
      </c>
      <c r="G112" s="65">
        <v>0.001787458</v>
      </c>
      <c r="H112" s="65">
        <v>0.999537155</v>
      </c>
      <c r="I112" s="65">
        <v>6.46368E-4</v>
      </c>
      <c r="J112" s="65">
        <v>0.546875081</v>
      </c>
      <c r="K112" s="65">
        <v>1.0</v>
      </c>
      <c r="L112" s="65">
        <v>0.5</v>
      </c>
      <c r="M112" s="65">
        <v>0.236876977</v>
      </c>
      <c r="N112" s="48">
        <f t="shared" si="1"/>
        <v>0.5102329554</v>
      </c>
      <c r="O112" s="48">
        <f t="shared" si="2"/>
        <v>37.53792345</v>
      </c>
      <c r="P112" s="62">
        <v>3980.875714</v>
      </c>
      <c r="Q112" s="62">
        <v>0.079620133</v>
      </c>
      <c r="R112" s="62">
        <v>0.996158363</v>
      </c>
      <c r="S112" s="62">
        <v>0.413830257</v>
      </c>
      <c r="T112" s="62">
        <v>0.562038771</v>
      </c>
      <c r="U112" s="62">
        <v>0.994735487</v>
      </c>
      <c r="V112" s="62">
        <v>0.413830257</v>
      </c>
      <c r="W112" s="62">
        <v>0.996158363</v>
      </c>
      <c r="X112" s="62">
        <v>0.450907669</v>
      </c>
      <c r="Y112" s="62">
        <v>0.995197502</v>
      </c>
      <c r="Z112" s="62">
        <v>0.353243921</v>
      </c>
      <c r="AA112" s="62">
        <v>0.220144827</v>
      </c>
      <c r="AB112" s="62">
        <v>0.190728556</v>
      </c>
      <c r="AC112" s="62">
        <v>0.252427185</v>
      </c>
      <c r="AD112" s="62">
        <v>0.116591928</v>
      </c>
      <c r="AE112" s="62">
        <v>0.159509203</v>
      </c>
      <c r="AF112" s="62">
        <v>0.34139899</v>
      </c>
      <c r="AG112" s="62">
        <v>0.436781609</v>
      </c>
      <c r="AH112" s="62">
        <v>0.125619835</v>
      </c>
      <c r="AI112" s="62">
        <v>0.195121951</v>
      </c>
      <c r="AJ112" s="62">
        <v>0.35435397</v>
      </c>
      <c r="AK112" s="62">
        <v>0.996907518</v>
      </c>
      <c r="AL112" s="62">
        <v>0.999279007</v>
      </c>
      <c r="AM112" s="62">
        <v>0.998091854</v>
      </c>
      <c r="AN112" s="62">
        <v>0.364354851</v>
      </c>
      <c r="AO112" s="49"/>
      <c r="AP112" s="49"/>
      <c r="AQ112" s="49"/>
    </row>
    <row r="113">
      <c r="A113" s="13"/>
      <c r="B113" s="13"/>
      <c r="C113" s="46">
        <v>2.0</v>
      </c>
      <c r="D113" s="47">
        <v>1.0</v>
      </c>
      <c r="E113" s="47">
        <v>1.0</v>
      </c>
      <c r="F113" s="65">
        <v>1.0</v>
      </c>
      <c r="G113" s="65">
        <v>0.002077839</v>
      </c>
      <c r="H113" s="65">
        <v>0.999623665</v>
      </c>
      <c r="I113" s="65">
        <v>3.93049E-4</v>
      </c>
      <c r="J113" s="65">
        <v>0.547703691</v>
      </c>
      <c r="K113" s="65">
        <v>1.0</v>
      </c>
      <c r="L113" s="65">
        <v>0.5</v>
      </c>
      <c r="M113" s="65">
        <v>0.218088678</v>
      </c>
      <c r="N113" s="48">
        <f t="shared" si="1"/>
        <v>0.5623118295</v>
      </c>
      <c r="O113" s="48">
        <f t="shared" si="2"/>
        <v>38.49812515</v>
      </c>
      <c r="P113" s="62">
        <v>3980.875714</v>
      </c>
      <c r="Q113" s="62">
        <v>0.079637966</v>
      </c>
      <c r="R113" s="62">
        <v>0.996429386</v>
      </c>
      <c r="S113" s="62">
        <v>0.464358966</v>
      </c>
      <c r="T113" s="62">
        <v>0.643931004</v>
      </c>
      <c r="U113" s="62">
        <v>0.995362988</v>
      </c>
      <c r="V113" s="62">
        <v>0.464358966</v>
      </c>
      <c r="W113" s="62">
        <v>0.996429386</v>
      </c>
      <c r="X113" s="62">
        <v>0.515256297</v>
      </c>
      <c r="Y113" s="62">
        <v>0.995636948</v>
      </c>
      <c r="Z113" s="62">
        <v>0.443406296</v>
      </c>
      <c r="AA113" s="62">
        <v>0.30874252</v>
      </c>
      <c r="AB113" s="62">
        <v>0.277137083</v>
      </c>
      <c r="AC113" s="62">
        <v>0.4</v>
      </c>
      <c r="AD113" s="62">
        <v>0.215246637</v>
      </c>
      <c r="AE113" s="62">
        <v>0.279883382</v>
      </c>
      <c r="AF113" s="62">
        <v>0.463874878</v>
      </c>
      <c r="AG113" s="62">
        <v>0.534653465</v>
      </c>
      <c r="AH113" s="62">
        <v>0.178512397</v>
      </c>
      <c r="AI113" s="62">
        <v>0.267657993</v>
      </c>
      <c r="AJ113" s="62">
        <v>0.422421615</v>
      </c>
      <c r="AK113" s="62">
        <v>0.997139546</v>
      </c>
      <c r="AL113" s="62">
        <v>0.999317863</v>
      </c>
      <c r="AM113" s="62">
        <v>0.998227516</v>
      </c>
      <c r="AN113" s="62">
        <v>0.444896082</v>
      </c>
      <c r="AO113" s="49"/>
      <c r="AP113" s="49"/>
      <c r="AQ113" s="49"/>
    </row>
    <row r="114">
      <c r="A114" s="13"/>
      <c r="B114" s="13"/>
      <c r="C114" s="46">
        <v>3.0</v>
      </c>
      <c r="D114" s="47">
        <v>1.0</v>
      </c>
      <c r="E114" s="47">
        <v>1.0</v>
      </c>
      <c r="F114" s="65">
        <v>1.0</v>
      </c>
      <c r="G114" s="65">
        <v>0.007401496</v>
      </c>
      <c r="H114" s="65">
        <v>0.999914693</v>
      </c>
      <c r="I114" s="65">
        <v>0.006784583</v>
      </c>
      <c r="J114" s="65">
        <v>0.560585339</v>
      </c>
      <c r="K114" s="65">
        <v>1.0</v>
      </c>
      <c r="L114" s="65">
        <v>0.5</v>
      </c>
      <c r="M114" s="65">
        <v>0.351978637</v>
      </c>
      <c r="N114" s="48">
        <f t="shared" si="1"/>
        <v>0.6645671636</v>
      </c>
      <c r="O114" s="48">
        <f t="shared" si="2"/>
        <v>51.53827155</v>
      </c>
      <c r="P114" s="62">
        <v>3980.875714</v>
      </c>
      <c r="Q114" s="62">
        <v>0.0795796</v>
      </c>
      <c r="R114" s="62">
        <v>0.994695702</v>
      </c>
      <c r="S114" s="62">
        <v>0.676248178</v>
      </c>
      <c r="T114" s="62">
        <v>0.564850071</v>
      </c>
      <c r="U114" s="62">
        <v>0.99561721</v>
      </c>
      <c r="V114" s="62">
        <v>0.676248178</v>
      </c>
      <c r="W114" s="62">
        <v>0.994695702</v>
      </c>
      <c r="X114" s="62">
        <v>0.609237805</v>
      </c>
      <c r="Y114" s="62">
        <v>0.995114783</v>
      </c>
      <c r="Z114" s="62">
        <v>0.688392441</v>
      </c>
      <c r="AA114" s="62">
        <v>0.37863994</v>
      </c>
      <c r="AB114" s="62">
        <v>0.373636107</v>
      </c>
      <c r="AC114" s="62">
        <v>0.454285714</v>
      </c>
      <c r="AD114" s="62">
        <v>0.713004484</v>
      </c>
      <c r="AE114" s="62">
        <v>0.554973822</v>
      </c>
      <c r="AF114" s="62">
        <v>0.844048616</v>
      </c>
      <c r="AG114" s="62">
        <v>0.242158093</v>
      </c>
      <c r="AH114" s="62">
        <v>0.319008265</v>
      </c>
      <c r="AI114" s="62">
        <v>0.27532097</v>
      </c>
      <c r="AJ114" s="62">
        <v>0.56407198</v>
      </c>
      <c r="AK114" s="62">
        <v>0.998106405</v>
      </c>
      <c r="AL114" s="62">
        <v>0.996731786</v>
      </c>
      <c r="AM114" s="62">
        <v>0.997418622</v>
      </c>
      <c r="AN114" s="62">
        <v>0.685182543</v>
      </c>
      <c r="AO114" s="49"/>
      <c r="AP114" s="49"/>
      <c r="AQ114" s="49"/>
    </row>
    <row r="115">
      <c r="A115" s="13"/>
      <c r="B115" s="16"/>
      <c r="C115" s="46">
        <v>4.0</v>
      </c>
      <c r="D115" s="47">
        <v>1.0</v>
      </c>
      <c r="E115" s="47">
        <v>1.0</v>
      </c>
      <c r="F115" s="65">
        <v>1.0</v>
      </c>
      <c r="G115" s="65">
        <v>0.006904622</v>
      </c>
      <c r="H115" s="65">
        <v>0.999939145</v>
      </c>
      <c r="I115" s="65">
        <v>1.58262E-4</v>
      </c>
      <c r="J115" s="65">
        <v>0.559553066</v>
      </c>
      <c r="K115" s="65">
        <v>1.0</v>
      </c>
      <c r="L115" s="65">
        <v>0.5</v>
      </c>
      <c r="M115" s="65">
        <v>0.188087732</v>
      </c>
      <c r="N115" s="48">
        <f t="shared" si="1"/>
        <v>0.8011646009</v>
      </c>
      <c r="O115" s="48">
        <f t="shared" si="2"/>
        <v>44.87218722</v>
      </c>
      <c r="P115" s="62">
        <v>3980.875714</v>
      </c>
      <c r="Q115" s="62">
        <v>0.079537629</v>
      </c>
      <c r="R115" s="62">
        <v>0.997113395</v>
      </c>
      <c r="S115" s="62">
        <v>0.819181903</v>
      </c>
      <c r="T115" s="62">
        <v>0.686604185</v>
      </c>
      <c r="U115" s="62">
        <v>0.997607428</v>
      </c>
      <c r="V115" s="62">
        <v>0.819181903</v>
      </c>
      <c r="W115" s="62">
        <v>0.997113395</v>
      </c>
      <c r="X115" s="62">
        <v>0.740331201</v>
      </c>
      <c r="Y115" s="62">
        <v>0.997316566</v>
      </c>
      <c r="Z115" s="62">
        <v>0.863062993</v>
      </c>
      <c r="AA115" s="62">
        <v>0.651144846</v>
      </c>
      <c r="AB115" s="62">
        <v>0.645718016</v>
      </c>
      <c r="AC115" s="62">
        <v>0.504249292</v>
      </c>
      <c r="AD115" s="62">
        <v>0.798206278</v>
      </c>
      <c r="AE115" s="62">
        <v>0.618055556</v>
      </c>
      <c r="AF115" s="62">
        <v>0.893087218</v>
      </c>
      <c r="AG115" s="62">
        <v>0.556328234</v>
      </c>
      <c r="AH115" s="62">
        <v>0.661157025</v>
      </c>
      <c r="AI115" s="62">
        <v>0.604229607</v>
      </c>
      <c r="AJ115" s="62">
        <v>0.812556052</v>
      </c>
      <c r="AK115" s="62">
        <v>0.999235028</v>
      </c>
      <c r="AL115" s="62">
        <v>0.998182407</v>
      </c>
      <c r="AM115" s="62">
        <v>0.99870844</v>
      </c>
      <c r="AN115" s="62">
        <v>0.885890983</v>
      </c>
      <c r="AO115" s="49"/>
      <c r="AP115" s="49"/>
      <c r="AQ115" s="49"/>
    </row>
    <row r="116">
      <c r="A116" s="13"/>
      <c r="B116" s="51" t="s">
        <v>26</v>
      </c>
      <c r="C116" s="46">
        <v>1.0</v>
      </c>
      <c r="D116" s="47">
        <v>1.0</v>
      </c>
      <c r="E116" s="47">
        <v>1.0</v>
      </c>
      <c r="F116" s="48">
        <v>1.0</v>
      </c>
      <c r="G116" s="65">
        <v>0.002097</v>
      </c>
      <c r="H116" s="65">
        <v>0.999617</v>
      </c>
      <c r="I116" s="65">
        <v>1.09E-4</v>
      </c>
      <c r="J116" s="65">
        <v>0.547772</v>
      </c>
      <c r="K116" s="65">
        <v>1.0</v>
      </c>
      <c r="L116" s="65">
        <v>0.5</v>
      </c>
      <c r="M116" s="48">
        <v>0.176045</v>
      </c>
      <c r="N116" s="48">
        <f t="shared" si="1"/>
        <v>0.5750246524</v>
      </c>
      <c r="O116" s="48">
        <f t="shared" si="2"/>
        <v>35.81470319</v>
      </c>
      <c r="P116" s="46">
        <v>3999.322652</v>
      </c>
      <c r="Q116" s="46">
        <v>0.054801</v>
      </c>
      <c r="R116" s="46">
        <v>0.996515</v>
      </c>
      <c r="S116" s="46">
        <v>0.477983</v>
      </c>
      <c r="T116" s="46">
        <v>0.665612</v>
      </c>
      <c r="U116" s="46">
        <v>0.995538</v>
      </c>
      <c r="V116" s="46">
        <v>0.477983</v>
      </c>
      <c r="W116" s="46">
        <v>0.996515</v>
      </c>
      <c r="X116" s="46">
        <v>0.530835</v>
      </c>
      <c r="Y116" s="46">
        <v>0.995744</v>
      </c>
      <c r="Z116" s="46">
        <v>0.462445</v>
      </c>
      <c r="AA116" s="46">
        <v>0.329526</v>
      </c>
      <c r="AB116" s="46">
        <v>0.296394</v>
      </c>
      <c r="AC116" s="46">
        <v>0.427481</v>
      </c>
      <c r="AD116" s="46">
        <v>0.251121</v>
      </c>
      <c r="AE116" s="46">
        <v>0.316384</v>
      </c>
      <c r="AF116" s="46">
        <v>0.501039</v>
      </c>
      <c r="AG116" s="46">
        <v>0.572165</v>
      </c>
      <c r="AH116" s="46">
        <v>0.183471</v>
      </c>
      <c r="AI116" s="46">
        <v>0.277847</v>
      </c>
      <c r="AJ116" s="46">
        <v>0.428259</v>
      </c>
      <c r="AK116" s="46">
        <v>0.997191</v>
      </c>
      <c r="AL116" s="46">
        <v>0.999357</v>
      </c>
      <c r="AM116" s="46">
        <v>0.998273</v>
      </c>
      <c r="AN116" s="46">
        <v>0.460894</v>
      </c>
      <c r="AO116" s="64"/>
      <c r="AP116" s="64"/>
      <c r="AQ116" s="64"/>
    </row>
    <row r="117">
      <c r="A117" s="13"/>
      <c r="B117" s="13"/>
      <c r="C117" s="46">
        <v>2.0</v>
      </c>
      <c r="D117" s="47">
        <v>1.0</v>
      </c>
      <c r="E117" s="47">
        <v>1.0</v>
      </c>
      <c r="F117" s="48">
        <v>1.0</v>
      </c>
      <c r="G117" s="65">
        <v>0.002626</v>
      </c>
      <c r="H117" s="65">
        <v>0.999772</v>
      </c>
      <c r="I117" s="65">
        <v>2.6E-5</v>
      </c>
      <c r="J117" s="65">
        <v>0.549117</v>
      </c>
      <c r="K117" s="65">
        <v>1.0</v>
      </c>
      <c r="L117" s="65">
        <v>0.5</v>
      </c>
      <c r="M117" s="48">
        <v>0.138846</v>
      </c>
      <c r="N117" s="48">
        <f t="shared" si="1"/>
        <v>0.6624324938</v>
      </c>
      <c r="O117" s="48">
        <f t="shared" si="2"/>
        <v>35.45670104</v>
      </c>
      <c r="P117" s="46">
        <v>3999.322652</v>
      </c>
      <c r="Q117" s="46">
        <v>0.054676</v>
      </c>
      <c r="R117" s="46">
        <v>0.997126</v>
      </c>
      <c r="S117" s="46">
        <v>0.558778</v>
      </c>
      <c r="T117" s="46">
        <v>0.792509</v>
      </c>
      <c r="U117" s="46">
        <v>0.996517</v>
      </c>
      <c r="V117" s="46">
        <v>0.558778</v>
      </c>
      <c r="W117" s="46">
        <v>0.997126</v>
      </c>
      <c r="X117" s="46">
        <v>0.635591</v>
      </c>
      <c r="Y117" s="46">
        <v>0.996617</v>
      </c>
      <c r="Z117" s="46">
        <v>0.586885</v>
      </c>
      <c r="AA117" s="46">
        <v>0.487394</v>
      </c>
      <c r="AB117" s="46">
        <v>0.458087</v>
      </c>
      <c r="AC117" s="46">
        <v>0.752294</v>
      </c>
      <c r="AD117" s="46">
        <v>0.367713</v>
      </c>
      <c r="AE117" s="46">
        <v>0.493976</v>
      </c>
      <c r="AF117" s="46">
        <v>0.606358</v>
      </c>
      <c r="AG117" s="46">
        <v>0.627517</v>
      </c>
      <c r="AH117" s="46">
        <v>0.309091</v>
      </c>
      <c r="AI117" s="46">
        <v>0.414175</v>
      </c>
      <c r="AJ117" s="46">
        <v>0.555826</v>
      </c>
      <c r="AK117" s="46">
        <v>0.997716</v>
      </c>
      <c r="AL117" s="46">
        <v>0.999529</v>
      </c>
      <c r="AM117" s="46">
        <v>0.998622</v>
      </c>
      <c r="AN117" s="46">
        <v>0.599778</v>
      </c>
      <c r="AO117" s="64"/>
      <c r="AP117" s="64"/>
      <c r="AQ117" s="64"/>
    </row>
    <row r="118">
      <c r="A118" s="13"/>
      <c r="B118" s="13"/>
      <c r="C118" s="46">
        <v>3.0</v>
      </c>
      <c r="D118" s="47">
        <v>1.0</v>
      </c>
      <c r="E118" s="47">
        <v>1.0</v>
      </c>
      <c r="F118" s="48">
        <v>1.0</v>
      </c>
      <c r="G118" s="65">
        <v>0.005466</v>
      </c>
      <c r="H118" s="65">
        <v>0.999984</v>
      </c>
      <c r="I118" s="65">
        <v>0.001074</v>
      </c>
      <c r="J118" s="65">
        <v>0.556288</v>
      </c>
      <c r="K118" s="65">
        <v>1.0</v>
      </c>
      <c r="L118" s="65">
        <v>0.5</v>
      </c>
      <c r="M118" s="48">
        <v>0.258552</v>
      </c>
      <c r="N118" s="48">
        <f t="shared" si="1"/>
        <v>0.7392573919</v>
      </c>
      <c r="O118" s="48">
        <f t="shared" si="2"/>
        <v>48.56200017</v>
      </c>
      <c r="P118" s="46">
        <v>3999.322652</v>
      </c>
      <c r="Q118" s="46">
        <v>0.054783</v>
      </c>
      <c r="R118" s="46">
        <v>0.996782</v>
      </c>
      <c r="S118" s="46">
        <v>0.715078</v>
      </c>
      <c r="T118" s="46">
        <v>0.678301</v>
      </c>
      <c r="U118" s="46">
        <v>0.996828</v>
      </c>
      <c r="V118" s="46">
        <v>0.715078</v>
      </c>
      <c r="W118" s="46">
        <v>0.996782</v>
      </c>
      <c r="X118" s="46">
        <v>0.693191</v>
      </c>
      <c r="Y118" s="46">
        <v>0.996794</v>
      </c>
      <c r="Z118" s="46">
        <v>0.756904</v>
      </c>
      <c r="AA118" s="46">
        <v>0.552474</v>
      </c>
      <c r="AB118" s="46">
        <v>0.55243</v>
      </c>
      <c r="AC118" s="46">
        <v>0.508651</v>
      </c>
      <c r="AD118" s="46">
        <v>0.659193</v>
      </c>
      <c r="AE118" s="46">
        <v>0.574219</v>
      </c>
      <c r="AF118" s="46">
        <v>0.811659</v>
      </c>
      <c r="AG118" s="46">
        <v>0.527728</v>
      </c>
      <c r="AH118" s="46">
        <v>0.487603</v>
      </c>
      <c r="AI118" s="46">
        <v>0.506873</v>
      </c>
      <c r="AJ118" s="46">
        <v>0.697888</v>
      </c>
      <c r="AK118" s="46">
        <v>0.998523</v>
      </c>
      <c r="AL118" s="46">
        <v>0.998437</v>
      </c>
      <c r="AM118" s="46">
        <v>0.99848</v>
      </c>
      <c r="AN118" s="46">
        <v>0.765532</v>
      </c>
      <c r="AO118" s="64"/>
      <c r="AP118" s="64"/>
      <c r="AQ118" s="64"/>
    </row>
    <row r="119">
      <c r="A119" s="13"/>
      <c r="B119" s="16"/>
      <c r="C119" s="46">
        <v>4.0</v>
      </c>
      <c r="D119" s="47">
        <v>1.0</v>
      </c>
      <c r="E119" s="47">
        <v>1.0</v>
      </c>
      <c r="F119" s="48">
        <v>1.0</v>
      </c>
      <c r="G119" s="65">
        <v>0.007382</v>
      </c>
      <c r="H119" s="65">
        <v>0.999909</v>
      </c>
      <c r="I119" s="65">
        <v>1.39E-4</v>
      </c>
      <c r="J119" s="65">
        <v>0.560602</v>
      </c>
      <c r="K119" s="65">
        <v>1.0</v>
      </c>
      <c r="L119" s="65">
        <v>0.5</v>
      </c>
      <c r="M119" s="48">
        <v>0.1841</v>
      </c>
      <c r="N119" s="48">
        <f t="shared" si="1"/>
        <v>0.8035549692</v>
      </c>
      <c r="O119" s="48">
        <f t="shared" si="2"/>
        <v>44.56879272</v>
      </c>
      <c r="P119" s="46">
        <v>3999.322652</v>
      </c>
      <c r="Q119" s="46">
        <v>0.054808</v>
      </c>
      <c r="R119" s="46">
        <v>0.997002</v>
      </c>
      <c r="S119" s="46">
        <v>0.832023</v>
      </c>
      <c r="T119" s="46">
        <v>0.674496</v>
      </c>
      <c r="U119" s="46">
        <v>0.997662</v>
      </c>
      <c r="V119" s="46">
        <v>0.832023</v>
      </c>
      <c r="W119" s="46">
        <v>0.997002</v>
      </c>
      <c r="X119" s="46">
        <v>0.73656</v>
      </c>
      <c r="Y119" s="46">
        <v>0.997269</v>
      </c>
      <c r="Z119" s="46">
        <v>0.87668</v>
      </c>
      <c r="AA119" s="46">
        <v>0.653899</v>
      </c>
      <c r="AB119" s="46">
        <v>0.645394</v>
      </c>
      <c r="AC119" s="46">
        <v>0.481283</v>
      </c>
      <c r="AD119" s="46">
        <v>0.807175</v>
      </c>
      <c r="AE119" s="46">
        <v>0.603015</v>
      </c>
      <c r="AF119" s="46">
        <v>0.898054</v>
      </c>
      <c r="AG119" s="46">
        <v>0.542857</v>
      </c>
      <c r="AH119" s="46">
        <v>0.690909</v>
      </c>
      <c r="AI119" s="46">
        <v>0.608</v>
      </c>
      <c r="AJ119" s="46">
        <v>0.830578</v>
      </c>
      <c r="AK119" s="46">
        <v>0.999347</v>
      </c>
      <c r="AL119" s="46">
        <v>0.997984</v>
      </c>
      <c r="AM119" s="46">
        <v>0.998665</v>
      </c>
      <c r="AN119" s="46">
        <v>0.903319</v>
      </c>
      <c r="AO119" s="64"/>
      <c r="AP119" s="64"/>
      <c r="AQ119" s="64"/>
    </row>
    <row r="120">
      <c r="A120" s="13"/>
      <c r="B120" s="51" t="s">
        <v>27</v>
      </c>
      <c r="C120" s="46">
        <v>1.0</v>
      </c>
      <c r="D120" s="47">
        <v>1.0</v>
      </c>
      <c r="E120" s="47">
        <v>1.0</v>
      </c>
      <c r="F120" s="65">
        <v>1.0</v>
      </c>
      <c r="G120" s="65">
        <v>0.001264772</v>
      </c>
      <c r="H120" s="65">
        <v>0.999262929</v>
      </c>
      <c r="I120" s="65">
        <v>7.47E-6</v>
      </c>
      <c r="J120" s="65">
        <v>0.54504555</v>
      </c>
      <c r="K120" s="65">
        <v>1.0</v>
      </c>
      <c r="L120" s="65">
        <v>0.5</v>
      </c>
      <c r="M120" s="65">
        <v>0.112556948</v>
      </c>
      <c r="N120" s="48">
        <f t="shared" si="1"/>
        <v>0.5157019493</v>
      </c>
      <c r="O120" s="48">
        <f t="shared" si="2"/>
        <v>28.05357332</v>
      </c>
      <c r="P120" s="46">
        <v>4554.384929</v>
      </c>
      <c r="Q120" s="46">
        <v>0.156318</v>
      </c>
      <c r="R120" s="46">
        <v>0.99658</v>
      </c>
      <c r="S120" s="46">
        <v>0.403816</v>
      </c>
      <c r="T120" s="46">
        <v>0.846651</v>
      </c>
      <c r="U120" s="46">
        <v>0.995765</v>
      </c>
      <c r="V120" s="46">
        <v>0.403816</v>
      </c>
      <c r="W120" s="46">
        <v>0.99658</v>
      </c>
      <c r="X120" s="46">
        <v>0.446504</v>
      </c>
      <c r="Y120" s="46">
        <v>0.995492</v>
      </c>
      <c r="Z120" s="46">
        <v>0.31962</v>
      </c>
      <c r="AA120" s="46">
        <v>0.283265</v>
      </c>
      <c r="AB120" s="46">
        <v>0.222728</v>
      </c>
      <c r="AC120" s="46">
        <v>1.0</v>
      </c>
      <c r="AD120" s="46">
        <v>0.044843</v>
      </c>
      <c r="AE120" s="46">
        <v>0.085837</v>
      </c>
      <c r="AF120" s="46">
        <v>0.211762</v>
      </c>
      <c r="AG120" s="46">
        <v>0.543011</v>
      </c>
      <c r="AH120" s="46">
        <v>0.166942</v>
      </c>
      <c r="AI120" s="46">
        <v>0.255373</v>
      </c>
      <c r="AJ120" s="46">
        <v>0.408511</v>
      </c>
      <c r="AK120" s="46">
        <v>0.996943</v>
      </c>
      <c r="AL120" s="46">
        <v>0.999663</v>
      </c>
      <c r="AM120" s="46">
        <v>0.998301</v>
      </c>
      <c r="AN120" s="46">
        <v>0.377444</v>
      </c>
      <c r="AO120" s="49"/>
      <c r="AP120" s="49"/>
      <c r="AQ120" s="49"/>
    </row>
    <row r="121">
      <c r="A121" s="13"/>
      <c r="B121" s="13"/>
      <c r="C121" s="46">
        <v>2.0</v>
      </c>
      <c r="D121" s="47">
        <v>1.0</v>
      </c>
      <c r="E121" s="47">
        <v>1.0</v>
      </c>
      <c r="F121" s="65">
        <v>1.0</v>
      </c>
      <c r="G121" s="65">
        <v>0.0033168</v>
      </c>
      <c r="H121" s="65">
        <v>0.999879162</v>
      </c>
      <c r="I121" s="65">
        <v>3.01E-5</v>
      </c>
      <c r="J121" s="65">
        <v>0.550987318</v>
      </c>
      <c r="K121" s="65">
        <v>1.0</v>
      </c>
      <c r="L121" s="65">
        <v>0.5</v>
      </c>
      <c r="M121" s="65">
        <v>0.142246581</v>
      </c>
      <c r="N121" s="48">
        <f t="shared" si="1"/>
        <v>0.6534022519</v>
      </c>
      <c r="O121" s="48">
        <f t="shared" si="2"/>
        <v>35.50791003</v>
      </c>
      <c r="P121" s="46">
        <v>4554.384929</v>
      </c>
      <c r="Q121" s="46">
        <v>0.156443</v>
      </c>
      <c r="R121" s="46">
        <v>0.996799</v>
      </c>
      <c r="S121" s="46">
        <v>0.565024</v>
      </c>
      <c r="T121" s="46">
        <v>0.690478</v>
      </c>
      <c r="U121" s="46">
        <v>0.996213</v>
      </c>
      <c r="V121" s="46">
        <v>0.565024</v>
      </c>
      <c r="W121" s="46">
        <v>0.996799</v>
      </c>
      <c r="X121" s="46">
        <v>0.613397</v>
      </c>
      <c r="Y121" s="46">
        <v>0.996411</v>
      </c>
      <c r="Z121" s="46">
        <v>0.597808</v>
      </c>
      <c r="AA121" s="46">
        <v>0.456833</v>
      </c>
      <c r="AB121" s="46">
        <v>0.44399</v>
      </c>
      <c r="AC121" s="46">
        <v>0.490798</v>
      </c>
      <c r="AD121" s="46">
        <v>0.358744</v>
      </c>
      <c r="AE121" s="46">
        <v>0.414508</v>
      </c>
      <c r="AF121" s="46">
        <v>0.598846</v>
      </c>
      <c r="AG121" s="46">
        <v>0.582857</v>
      </c>
      <c r="AH121" s="46">
        <v>0.33719</v>
      </c>
      <c r="AI121" s="46">
        <v>0.427225</v>
      </c>
      <c r="AJ121" s="46">
        <v>0.580498</v>
      </c>
      <c r="AK121" s="46">
        <v>0.99778</v>
      </c>
      <c r="AL121" s="46">
        <v>0.999137</v>
      </c>
      <c r="AM121" s="46">
        <v>0.998458</v>
      </c>
      <c r="AN121" s="46">
        <v>0.614567</v>
      </c>
      <c r="AO121" s="49"/>
      <c r="AP121" s="49"/>
      <c r="AQ121" s="49"/>
    </row>
    <row r="122">
      <c r="A122" s="13"/>
      <c r="B122" s="13"/>
      <c r="C122" s="46">
        <v>3.0</v>
      </c>
      <c r="D122" s="47">
        <v>1.0</v>
      </c>
      <c r="E122" s="47">
        <v>1.0</v>
      </c>
      <c r="F122" s="65">
        <v>1.0</v>
      </c>
      <c r="G122" s="65">
        <v>0.005026823</v>
      </c>
      <c r="H122" s="65">
        <v>0.999997352</v>
      </c>
      <c r="I122" s="65">
        <v>9.75E-5</v>
      </c>
      <c r="J122" s="65">
        <v>0.555083594</v>
      </c>
      <c r="K122" s="65">
        <v>1.0</v>
      </c>
      <c r="L122" s="65">
        <v>0.5</v>
      </c>
      <c r="M122" s="65">
        <v>0.173266738</v>
      </c>
      <c r="N122" s="48">
        <f t="shared" si="1"/>
        <v>0.7478646393</v>
      </c>
      <c r="O122" s="48">
        <f t="shared" si="2"/>
        <v>41.66581481</v>
      </c>
      <c r="P122" s="46">
        <v>4554.384929</v>
      </c>
      <c r="Q122" s="46">
        <v>0.156204</v>
      </c>
      <c r="R122" s="46">
        <v>0.997122</v>
      </c>
      <c r="S122" s="46">
        <v>0.700091</v>
      </c>
      <c r="T122" s="46">
        <v>0.727629</v>
      </c>
      <c r="U122" s="46">
        <v>0.997036</v>
      </c>
      <c r="V122" s="46">
        <v>0.700091</v>
      </c>
      <c r="W122" s="46">
        <v>0.997122</v>
      </c>
      <c r="X122" s="46">
        <v>0.713308</v>
      </c>
      <c r="Y122" s="46">
        <v>0.997077</v>
      </c>
      <c r="Z122" s="46">
        <v>0.75195</v>
      </c>
      <c r="AA122" s="46">
        <v>0.583055</v>
      </c>
      <c r="AB122" s="46">
        <v>0.582794</v>
      </c>
      <c r="AC122" s="46">
        <v>0.64532</v>
      </c>
      <c r="AD122" s="46">
        <v>0.587444</v>
      </c>
      <c r="AE122" s="46">
        <v>0.615023</v>
      </c>
      <c r="AF122" s="46">
        <v>0.76633</v>
      </c>
      <c r="AG122" s="46">
        <v>0.538995</v>
      </c>
      <c r="AH122" s="46">
        <v>0.51405</v>
      </c>
      <c r="AI122" s="46">
        <v>0.526227</v>
      </c>
      <c r="AJ122" s="46">
        <v>0.716561</v>
      </c>
      <c r="AK122" s="46">
        <v>0.998571</v>
      </c>
      <c r="AL122" s="46">
        <v>0.998778</v>
      </c>
      <c r="AM122" s="46">
        <v>0.998675</v>
      </c>
      <c r="AN122" s="46">
        <v>0.774279</v>
      </c>
      <c r="AO122" s="49"/>
      <c r="AP122" s="49"/>
      <c r="AQ122" s="49"/>
    </row>
    <row r="123">
      <c r="A123" s="16"/>
      <c r="B123" s="16"/>
      <c r="C123" s="46">
        <v>4.0</v>
      </c>
      <c r="D123" s="47">
        <v>1.0</v>
      </c>
      <c r="E123" s="47">
        <v>1.0</v>
      </c>
      <c r="F123" s="65">
        <v>1.0</v>
      </c>
      <c r="G123" s="65">
        <v>0.007007868</v>
      </c>
      <c r="H123" s="65">
        <v>0.999942635</v>
      </c>
      <c r="I123" s="65">
        <v>9.77E-5</v>
      </c>
      <c r="J123" s="65">
        <v>0.559700297</v>
      </c>
      <c r="K123" s="65">
        <v>1.0</v>
      </c>
      <c r="L123" s="65">
        <v>0.5</v>
      </c>
      <c r="M123" s="65">
        <v>0.173570995</v>
      </c>
      <c r="N123" s="48">
        <f t="shared" si="1"/>
        <v>0.8097821918</v>
      </c>
      <c r="O123" s="48">
        <f t="shared" si="2"/>
        <v>43.73325418</v>
      </c>
      <c r="P123" s="46">
        <v>4554.384929</v>
      </c>
      <c r="Q123" s="46">
        <v>0.156369</v>
      </c>
      <c r="R123" s="46">
        <v>0.997212</v>
      </c>
      <c r="S123" s="46">
        <v>0.826669</v>
      </c>
      <c r="T123" s="46">
        <v>0.698026</v>
      </c>
      <c r="U123" s="46">
        <v>0.997711</v>
      </c>
      <c r="V123" s="46">
        <v>0.826669</v>
      </c>
      <c r="W123" s="46">
        <v>0.997212</v>
      </c>
      <c r="X123" s="46">
        <v>0.752157</v>
      </c>
      <c r="Y123" s="46">
        <v>0.997419</v>
      </c>
      <c r="Z123" s="46">
        <v>0.872306</v>
      </c>
      <c r="AA123" s="46">
        <v>0.666249</v>
      </c>
      <c r="AB123" s="46">
        <v>0.660171</v>
      </c>
      <c r="AC123" s="46">
        <v>0.544892</v>
      </c>
      <c r="AD123" s="46">
        <v>0.789238</v>
      </c>
      <c r="AE123" s="46">
        <v>0.644689</v>
      </c>
      <c r="AF123" s="46">
        <v>0.888109</v>
      </c>
      <c r="AG123" s="46">
        <v>0.549869</v>
      </c>
      <c r="AH123" s="46">
        <v>0.692562</v>
      </c>
      <c r="AI123" s="46">
        <v>0.613021</v>
      </c>
      <c r="AJ123" s="46">
        <v>0.831587</v>
      </c>
      <c r="AK123" s="46">
        <v>0.999317</v>
      </c>
      <c r="AL123" s="46">
        <v>0.998208</v>
      </c>
      <c r="AM123" s="46">
        <v>0.998762</v>
      </c>
      <c r="AN123" s="46">
        <v>0.898737</v>
      </c>
      <c r="AO123" s="49"/>
      <c r="AP123" s="49"/>
      <c r="AQ123" s="49"/>
    </row>
    <row r="124">
      <c r="A124" s="52" t="s">
        <v>102</v>
      </c>
      <c r="B124" s="53" t="s">
        <v>22</v>
      </c>
      <c r="C124" s="54">
        <v>1.0</v>
      </c>
      <c r="D124" s="55">
        <v>1.0</v>
      </c>
      <c r="E124" s="55">
        <v>1.0</v>
      </c>
      <c r="F124" s="56">
        <v>1.0</v>
      </c>
      <c r="G124" s="56">
        <v>0.016016</v>
      </c>
      <c r="H124" s="56">
        <v>0.997985</v>
      </c>
      <c r="I124" s="56">
        <v>0.0</v>
      </c>
      <c r="J124" s="56">
        <v>0.997984</v>
      </c>
      <c r="K124" s="56">
        <v>1.0</v>
      </c>
      <c r="L124" s="56">
        <v>0.5</v>
      </c>
      <c r="M124" s="56">
        <v>0.019181</v>
      </c>
      <c r="N124" s="57">
        <f t="shared" si="1"/>
        <v>0.4415161238</v>
      </c>
      <c r="O124" s="57">
        <f t="shared" si="2"/>
        <v>12.59262989</v>
      </c>
      <c r="P124" s="54">
        <v>18.87348</v>
      </c>
      <c r="Q124" s="54">
        <v>0.932502</v>
      </c>
      <c r="R124" s="54">
        <v>0.986513</v>
      </c>
      <c r="S124" s="54">
        <v>0.375326</v>
      </c>
      <c r="T124" s="54">
        <v>0.399066</v>
      </c>
      <c r="U124" s="54">
        <v>0.99355</v>
      </c>
      <c r="V124" s="54">
        <v>0.375326</v>
      </c>
      <c r="W124" s="54">
        <v>0.986513</v>
      </c>
      <c r="X124" s="54">
        <v>0.365733</v>
      </c>
      <c r="Y124" s="54">
        <v>0.989921</v>
      </c>
      <c r="Z124" s="54">
        <v>0.281188</v>
      </c>
      <c r="AA124" s="54">
        <v>0.056104</v>
      </c>
      <c r="AB124" s="54">
        <v>0.048496</v>
      </c>
      <c r="AC124" s="54">
        <v>0.176471</v>
      </c>
      <c r="AD124" s="54">
        <v>0.040359</v>
      </c>
      <c r="AE124" s="54">
        <v>0.065693</v>
      </c>
      <c r="AF124" s="54">
        <v>0.200877</v>
      </c>
      <c r="AG124" s="54">
        <v>0.023858</v>
      </c>
      <c r="AH124" s="54">
        <v>0.095868</v>
      </c>
      <c r="AI124" s="54">
        <v>0.038208</v>
      </c>
      <c r="AJ124" s="54">
        <v>0.308037</v>
      </c>
      <c r="AK124" s="54">
        <v>0.996869</v>
      </c>
      <c r="AL124" s="54">
        <v>0.989751</v>
      </c>
      <c r="AM124" s="54">
        <v>0.993297</v>
      </c>
      <c r="AN124" s="54">
        <v>0.359302</v>
      </c>
      <c r="AO124" s="58"/>
      <c r="AP124" s="58"/>
      <c r="AQ124" s="58"/>
    </row>
    <row r="125">
      <c r="A125" s="13"/>
      <c r="B125" s="13"/>
      <c r="C125" s="54">
        <v>2.0</v>
      </c>
      <c r="D125" s="55">
        <v>1.0</v>
      </c>
      <c r="E125" s="55">
        <v>1.0</v>
      </c>
      <c r="F125" s="56">
        <v>1.0</v>
      </c>
      <c r="G125" s="56">
        <v>0.011351</v>
      </c>
      <c r="H125" s="56">
        <v>0.999462</v>
      </c>
      <c r="I125" s="56">
        <v>0.0</v>
      </c>
      <c r="J125" s="56">
        <v>0.999462</v>
      </c>
      <c r="K125" s="56">
        <v>1.0</v>
      </c>
      <c r="L125" s="56">
        <v>0.5</v>
      </c>
      <c r="M125" s="56">
        <v>0.01919</v>
      </c>
      <c r="N125" s="57">
        <f t="shared" si="1"/>
        <v>0.5232315048</v>
      </c>
      <c r="O125" s="57">
        <f t="shared" si="2"/>
        <v>13.94589276</v>
      </c>
      <c r="P125" s="54">
        <v>18.87348</v>
      </c>
      <c r="Q125" s="54">
        <v>1.022836</v>
      </c>
      <c r="R125" s="54">
        <v>0.990949</v>
      </c>
      <c r="S125" s="54">
        <v>0.48803</v>
      </c>
      <c r="T125" s="54">
        <v>0.408046</v>
      </c>
      <c r="U125" s="54">
        <v>0.994461</v>
      </c>
      <c r="V125" s="54">
        <v>0.48803</v>
      </c>
      <c r="W125" s="54">
        <v>0.990949</v>
      </c>
      <c r="X125" s="54">
        <v>0.433709</v>
      </c>
      <c r="Y125" s="54">
        <v>0.992613</v>
      </c>
      <c r="Z125" s="54">
        <v>0.508853</v>
      </c>
      <c r="AA125" s="54">
        <v>0.196799</v>
      </c>
      <c r="AB125" s="54">
        <v>0.183503</v>
      </c>
      <c r="AC125" s="54">
        <v>0.100233</v>
      </c>
      <c r="AD125" s="54">
        <v>0.192825</v>
      </c>
      <c r="AE125" s="54">
        <v>0.131902</v>
      </c>
      <c r="AF125" s="54">
        <v>0.438753</v>
      </c>
      <c r="AG125" s="54">
        <v>0.126316</v>
      </c>
      <c r="AH125" s="54">
        <v>0.277686</v>
      </c>
      <c r="AI125" s="54">
        <v>0.173643</v>
      </c>
      <c r="AJ125" s="54">
        <v>0.525637</v>
      </c>
      <c r="AK125" s="54">
        <v>0.99759</v>
      </c>
      <c r="AL125" s="54">
        <v>0.99358</v>
      </c>
      <c r="AM125" s="54">
        <v>0.995581</v>
      </c>
      <c r="AN125" s="54">
        <v>0.571309</v>
      </c>
      <c r="AO125" s="58"/>
      <c r="AP125" s="58"/>
      <c r="AQ125" s="58"/>
    </row>
    <row r="126">
      <c r="A126" s="13"/>
      <c r="B126" s="13"/>
      <c r="C126" s="54">
        <v>3.0</v>
      </c>
      <c r="D126" s="55">
        <v>1.0</v>
      </c>
      <c r="E126" s="55">
        <v>1.0</v>
      </c>
      <c r="F126" s="56">
        <v>1.0</v>
      </c>
      <c r="G126" s="56">
        <v>0.008653</v>
      </c>
      <c r="H126" s="56">
        <v>0.999661</v>
      </c>
      <c r="I126" s="56">
        <v>0.0</v>
      </c>
      <c r="J126" s="56">
        <v>0.999661</v>
      </c>
      <c r="K126" s="56">
        <v>1.0</v>
      </c>
      <c r="L126" s="56">
        <v>0.5</v>
      </c>
      <c r="M126" s="56">
        <v>0.019192</v>
      </c>
      <c r="N126" s="57">
        <f t="shared" si="1"/>
        <v>0.664822951</v>
      </c>
      <c r="O126" s="57">
        <f t="shared" si="2"/>
        <v>16.10169872</v>
      </c>
      <c r="P126" s="54">
        <v>18.87348</v>
      </c>
      <c r="Q126" s="54">
        <v>1.271257</v>
      </c>
      <c r="R126" s="54">
        <v>0.994364</v>
      </c>
      <c r="S126" s="54">
        <v>0.691894</v>
      </c>
      <c r="T126" s="54">
        <v>0.531101</v>
      </c>
      <c r="U126" s="54">
        <v>0.996008</v>
      </c>
      <c r="V126" s="54">
        <v>0.691894</v>
      </c>
      <c r="W126" s="54">
        <v>0.994364</v>
      </c>
      <c r="X126" s="54">
        <v>0.576372</v>
      </c>
      <c r="Y126" s="54">
        <v>0.995081</v>
      </c>
      <c r="Z126" s="54">
        <v>0.730505</v>
      </c>
      <c r="AA126" s="54">
        <v>0.405635</v>
      </c>
      <c r="AB126" s="54">
        <v>0.39402</v>
      </c>
      <c r="AC126" s="54">
        <v>0.227769</v>
      </c>
      <c r="AD126" s="54">
        <v>0.654709</v>
      </c>
      <c r="AE126" s="54">
        <v>0.337963</v>
      </c>
      <c r="AF126" s="54">
        <v>0.808278</v>
      </c>
      <c r="AG126" s="54">
        <v>0.367143</v>
      </c>
      <c r="AH126" s="54">
        <v>0.424793</v>
      </c>
      <c r="AI126" s="54">
        <v>0.39387</v>
      </c>
      <c r="AJ126" s="54">
        <v>0.651139</v>
      </c>
      <c r="AK126" s="54">
        <v>0.99839</v>
      </c>
      <c r="AL126" s="54">
        <v>0.996179</v>
      </c>
      <c r="AM126" s="54">
        <v>0.997284</v>
      </c>
      <c r="AN126" s="54">
        <v>0.740689</v>
      </c>
      <c r="AO126" s="58"/>
      <c r="AP126" s="58"/>
      <c r="AQ126" s="58"/>
    </row>
    <row r="127">
      <c r="A127" s="13"/>
      <c r="B127" s="16"/>
      <c r="C127" s="54">
        <v>4.0</v>
      </c>
      <c r="D127" s="55">
        <v>1.0</v>
      </c>
      <c r="E127" s="55">
        <v>1.0</v>
      </c>
      <c r="F127" s="56">
        <v>1.0</v>
      </c>
      <c r="G127" s="56">
        <v>0.005943</v>
      </c>
      <c r="H127" s="56">
        <v>0.999987</v>
      </c>
      <c r="I127" s="56">
        <v>2.0E-6</v>
      </c>
      <c r="J127" s="56">
        <v>0.999987</v>
      </c>
      <c r="K127" s="56">
        <v>1.0</v>
      </c>
      <c r="L127" s="56">
        <v>0.5</v>
      </c>
      <c r="M127" s="56">
        <v>0.096204</v>
      </c>
      <c r="N127" s="57">
        <f t="shared" si="1"/>
        <v>0.8161470056</v>
      </c>
      <c r="O127" s="57">
        <f t="shared" si="2"/>
        <v>34.70070408</v>
      </c>
      <c r="P127" s="54">
        <v>18.87348</v>
      </c>
      <c r="Q127" s="54">
        <v>1.328556</v>
      </c>
      <c r="R127" s="54">
        <v>0.997698</v>
      </c>
      <c r="S127" s="54">
        <v>0.804516</v>
      </c>
      <c r="T127" s="54">
        <v>0.740283</v>
      </c>
      <c r="U127" s="54">
        <v>0.997859</v>
      </c>
      <c r="V127" s="54">
        <v>0.804516</v>
      </c>
      <c r="W127" s="54">
        <v>0.997698</v>
      </c>
      <c r="X127" s="54">
        <v>0.769007</v>
      </c>
      <c r="Y127" s="54">
        <v>0.997768</v>
      </c>
      <c r="Z127" s="54">
        <v>0.852746</v>
      </c>
      <c r="AA127" s="54">
        <v>0.694186</v>
      </c>
      <c r="AB127" s="54">
        <v>0.693197</v>
      </c>
      <c r="AC127" s="54">
        <v>0.575439</v>
      </c>
      <c r="AD127" s="54">
        <v>0.735426</v>
      </c>
      <c r="AE127" s="54">
        <v>0.645669</v>
      </c>
      <c r="AF127" s="54">
        <v>0.857346</v>
      </c>
      <c r="AG127" s="54">
        <v>0.646226</v>
      </c>
      <c r="AH127" s="54">
        <v>0.679339</v>
      </c>
      <c r="AI127" s="54">
        <v>0.662369</v>
      </c>
      <c r="AJ127" s="54">
        <v>0.82382</v>
      </c>
      <c r="AK127" s="54">
        <v>0.999184</v>
      </c>
      <c r="AL127" s="54">
        <v>0.998783</v>
      </c>
      <c r="AM127" s="54">
        <v>0.998983</v>
      </c>
      <c r="AN127" s="54">
        <v>0.877952</v>
      </c>
      <c r="AO127" s="58"/>
      <c r="AP127" s="58"/>
      <c r="AQ127" s="58"/>
    </row>
    <row r="128">
      <c r="A128" s="13"/>
      <c r="B128" s="59" t="s">
        <v>23</v>
      </c>
      <c r="C128" s="54">
        <v>1.0</v>
      </c>
      <c r="D128" s="55">
        <v>1.0</v>
      </c>
      <c r="E128" s="55">
        <v>1.0</v>
      </c>
      <c r="F128" s="56">
        <v>1.0</v>
      </c>
      <c r="G128" s="56">
        <v>0.0</v>
      </c>
      <c r="H128" s="56">
        <v>0.998216703</v>
      </c>
      <c r="I128" s="56">
        <v>0.466756921</v>
      </c>
      <c r="J128" s="56">
        <v>0.998217237</v>
      </c>
      <c r="K128" s="56">
        <v>1.0</v>
      </c>
      <c r="L128" s="56">
        <v>0.5</v>
      </c>
      <c r="M128" s="56">
        <v>0.784184844</v>
      </c>
      <c r="N128" s="57">
        <f t="shared" si="1"/>
        <v>0.4080660711</v>
      </c>
      <c r="O128" s="57">
        <f t="shared" si="2"/>
        <v>52.99143371</v>
      </c>
      <c r="P128" s="56">
        <v>185.6855041</v>
      </c>
      <c r="Q128" s="56">
        <v>0.565158844</v>
      </c>
      <c r="R128" s="56">
        <v>0.99643799</v>
      </c>
      <c r="S128" s="56">
        <v>0.333333333</v>
      </c>
      <c r="T128" s="56">
        <v>0.332145997</v>
      </c>
      <c r="U128" s="56">
        <v>0.992888667</v>
      </c>
      <c r="V128" s="56">
        <v>0.333333333</v>
      </c>
      <c r="W128" s="56">
        <v>0.99643799</v>
      </c>
      <c r="X128" s="56">
        <v>0.332738606</v>
      </c>
      <c r="Y128" s="56">
        <v>0.994660162</v>
      </c>
      <c r="Z128" s="56">
        <v>0.0</v>
      </c>
      <c r="AA128" s="56">
        <v>0.0</v>
      </c>
      <c r="AB128" s="56">
        <v>0.0</v>
      </c>
      <c r="AC128" s="56">
        <v>0.0</v>
      </c>
      <c r="AD128" s="56">
        <v>0.0</v>
      </c>
      <c r="AE128" s="56">
        <v>0.0</v>
      </c>
      <c r="AF128" s="56">
        <v>0.0</v>
      </c>
      <c r="AG128" s="56">
        <v>0.0</v>
      </c>
      <c r="AH128" s="56">
        <v>0.0</v>
      </c>
      <c r="AI128" s="56">
        <v>0.0</v>
      </c>
      <c r="AJ128" s="56">
        <v>0.0</v>
      </c>
      <c r="AK128" s="56">
        <v>0.99643799</v>
      </c>
      <c r="AL128" s="56">
        <v>1.0</v>
      </c>
      <c r="AM128" s="56">
        <v>0.998215817</v>
      </c>
      <c r="AN128" s="56">
        <v>0.0</v>
      </c>
      <c r="AO128" s="58"/>
      <c r="AP128" s="58"/>
      <c r="AQ128" s="58"/>
    </row>
    <row r="129">
      <c r="A129" s="13"/>
      <c r="B129" s="13"/>
      <c r="C129" s="54">
        <v>2.0</v>
      </c>
      <c r="D129" s="55">
        <v>1.0</v>
      </c>
      <c r="E129" s="55">
        <v>1.0</v>
      </c>
      <c r="F129" s="56">
        <v>1.0</v>
      </c>
      <c r="G129" s="56">
        <v>3.87175E-4</v>
      </c>
      <c r="H129" s="56">
        <v>0.998769434</v>
      </c>
      <c r="I129" s="56">
        <v>0.534614865</v>
      </c>
      <c r="J129" s="56">
        <v>0.998769914</v>
      </c>
      <c r="K129" s="56">
        <v>1.0</v>
      </c>
      <c r="L129" s="56">
        <v>0.5</v>
      </c>
      <c r="M129" s="56">
        <v>0.802275669</v>
      </c>
      <c r="N129" s="57">
        <f t="shared" si="1"/>
        <v>0.490819983</v>
      </c>
      <c r="O129" s="57">
        <f t="shared" si="2"/>
        <v>59.74241718</v>
      </c>
      <c r="P129" s="56">
        <v>185.6855041</v>
      </c>
      <c r="Q129" s="56">
        <v>0.572046757</v>
      </c>
      <c r="R129" s="56">
        <v>0.996696106</v>
      </c>
      <c r="S129" s="56">
        <v>0.381492051</v>
      </c>
      <c r="T129" s="56">
        <v>0.998898418</v>
      </c>
      <c r="U129" s="56">
        <v>0.996707025</v>
      </c>
      <c r="V129" s="56">
        <v>0.381492051</v>
      </c>
      <c r="W129" s="56">
        <v>0.996696106</v>
      </c>
      <c r="X129" s="56">
        <v>0.422609775</v>
      </c>
      <c r="Y129" s="56">
        <v>0.995270129</v>
      </c>
      <c r="Z129" s="56">
        <v>0.268909135</v>
      </c>
      <c r="AA129" s="56">
        <v>0.268832914</v>
      </c>
      <c r="AB129" s="56">
        <v>0.134800369</v>
      </c>
      <c r="AC129" s="56">
        <v>1.0</v>
      </c>
      <c r="AD129" s="56">
        <v>0.071748879</v>
      </c>
      <c r="AE129" s="56">
        <v>0.133891213</v>
      </c>
      <c r="AF129" s="56">
        <v>0.267859812</v>
      </c>
      <c r="AG129" s="56">
        <v>1.0</v>
      </c>
      <c r="AH129" s="56">
        <v>0.072727273</v>
      </c>
      <c r="AI129" s="56">
        <v>0.13559322</v>
      </c>
      <c r="AJ129" s="56">
        <v>0.269679945</v>
      </c>
      <c r="AK129" s="56">
        <v>0.996695253</v>
      </c>
      <c r="AL129" s="56">
        <v>1.0</v>
      </c>
      <c r="AM129" s="56">
        <v>0.998344892</v>
      </c>
      <c r="AN129" s="56">
        <v>0.269190951</v>
      </c>
      <c r="AO129" s="58"/>
      <c r="AP129" s="58"/>
      <c r="AQ129" s="58"/>
    </row>
    <row r="130">
      <c r="A130" s="13"/>
      <c r="B130" s="13"/>
      <c r="C130" s="54">
        <v>3.0</v>
      </c>
      <c r="D130" s="55">
        <v>1.0</v>
      </c>
      <c r="E130" s="55">
        <v>1.0</v>
      </c>
      <c r="F130" s="56">
        <v>1.0</v>
      </c>
      <c r="G130" s="56">
        <v>0.002807019</v>
      </c>
      <c r="H130" s="56">
        <v>0.999805192</v>
      </c>
      <c r="I130" s="56">
        <v>0.489546823</v>
      </c>
      <c r="J130" s="56">
        <v>0.999805394</v>
      </c>
      <c r="K130" s="56">
        <v>1.0</v>
      </c>
      <c r="L130" s="56">
        <v>0.5</v>
      </c>
      <c r="M130" s="56">
        <v>0.790859224</v>
      </c>
      <c r="N130" s="57">
        <f t="shared" si="1"/>
        <v>0.7558822564</v>
      </c>
      <c r="O130" s="57">
        <f t="shared" si="2"/>
        <v>76.96834782</v>
      </c>
      <c r="P130" s="56">
        <v>185.6855041</v>
      </c>
      <c r="Q130" s="56">
        <v>0.578938007</v>
      </c>
      <c r="R130" s="56">
        <v>0.997904953</v>
      </c>
      <c r="S130" s="56">
        <v>0.655350569</v>
      </c>
      <c r="T130" s="56">
        <v>0.926430198</v>
      </c>
      <c r="U130" s="56">
        <v>0.997682111</v>
      </c>
      <c r="V130" s="56">
        <v>0.655350569</v>
      </c>
      <c r="W130" s="56">
        <v>0.997904953</v>
      </c>
      <c r="X130" s="56">
        <v>0.750243862</v>
      </c>
      <c r="Y130" s="56">
        <v>0.997564268</v>
      </c>
      <c r="Z130" s="56">
        <v>0.692629206</v>
      </c>
      <c r="AA130" s="56">
        <v>0.645849031</v>
      </c>
      <c r="AB130" s="56">
        <v>0.613654178</v>
      </c>
      <c r="AC130" s="56">
        <v>0.9375</v>
      </c>
      <c r="AD130" s="56">
        <v>0.538116592</v>
      </c>
      <c r="AE130" s="56">
        <v>0.683760684</v>
      </c>
      <c r="AF130" s="56">
        <v>0.733551671</v>
      </c>
      <c r="AG130" s="56">
        <v>0.843648209</v>
      </c>
      <c r="AH130" s="56">
        <v>0.428099174</v>
      </c>
      <c r="AI130" s="56">
        <v>0.567982456</v>
      </c>
      <c r="AJ130" s="56">
        <v>0.654225147</v>
      </c>
      <c r="AK130" s="56">
        <v>0.998142386</v>
      </c>
      <c r="AL130" s="56">
        <v>0.999835942</v>
      </c>
      <c r="AM130" s="56">
        <v>0.998988446</v>
      </c>
      <c r="AN130" s="56">
        <v>0.692379909</v>
      </c>
      <c r="AO130" s="58"/>
      <c r="AP130" s="58"/>
      <c r="AQ130" s="58"/>
    </row>
    <row r="131">
      <c r="A131" s="13"/>
      <c r="B131" s="16"/>
      <c r="C131" s="54">
        <v>4.0</v>
      </c>
      <c r="D131" s="55">
        <v>1.0</v>
      </c>
      <c r="E131" s="55">
        <v>1.0</v>
      </c>
      <c r="F131" s="56">
        <v>1.0</v>
      </c>
      <c r="G131" s="56">
        <v>0.004129867</v>
      </c>
      <c r="H131" s="56">
        <v>0.999958371</v>
      </c>
      <c r="I131" s="56">
        <v>5.17E-6</v>
      </c>
      <c r="J131" s="56">
        <v>0.99995845</v>
      </c>
      <c r="K131" s="56">
        <v>1.0</v>
      </c>
      <c r="L131" s="56">
        <v>0.5</v>
      </c>
      <c r="M131" s="56">
        <v>0.117135628</v>
      </c>
      <c r="N131" s="57">
        <f t="shared" si="1"/>
        <v>0.8654942577</v>
      </c>
      <c r="O131" s="57">
        <f t="shared" si="2"/>
        <v>38.88965752</v>
      </c>
      <c r="P131" s="56">
        <v>185.6855041</v>
      </c>
      <c r="Q131" s="56">
        <v>0.952254057</v>
      </c>
      <c r="R131" s="56">
        <v>0.998713719</v>
      </c>
      <c r="S131" s="56">
        <v>0.80840393</v>
      </c>
      <c r="T131" s="56">
        <v>0.921445054</v>
      </c>
      <c r="U131" s="56">
        <v>0.998622218</v>
      </c>
      <c r="V131" s="56">
        <v>0.80840393</v>
      </c>
      <c r="W131" s="56">
        <v>0.998713719</v>
      </c>
      <c r="X131" s="56">
        <v>0.857748061</v>
      </c>
      <c r="Y131" s="56">
        <v>0.998616979</v>
      </c>
      <c r="Z131" s="56">
        <v>0.84607639</v>
      </c>
      <c r="AA131" s="56">
        <v>0.802462852</v>
      </c>
      <c r="AB131" s="56">
        <v>0.795817794</v>
      </c>
      <c r="AC131" s="56">
        <v>0.878172589</v>
      </c>
      <c r="AD131" s="56">
        <v>0.775784753</v>
      </c>
      <c r="AE131" s="56">
        <v>0.823809524</v>
      </c>
      <c r="AF131" s="56">
        <v>0.880740926</v>
      </c>
      <c r="AG131" s="56">
        <v>0.887133183</v>
      </c>
      <c r="AH131" s="56">
        <v>0.649586777</v>
      </c>
      <c r="AI131" s="56">
        <v>0.75</v>
      </c>
      <c r="AJ131" s="56">
        <v>0.805882552</v>
      </c>
      <c r="AK131" s="56">
        <v>0.99902939</v>
      </c>
      <c r="AL131" s="56">
        <v>0.999840259</v>
      </c>
      <c r="AM131" s="56">
        <v>0.99943466</v>
      </c>
      <c r="AN131" s="56">
        <v>0.853313856</v>
      </c>
      <c r="AO131" s="58"/>
      <c r="AP131" s="58"/>
      <c r="AQ131" s="58"/>
    </row>
    <row r="132">
      <c r="A132" s="13"/>
      <c r="B132" s="59" t="s">
        <v>24</v>
      </c>
      <c r="C132" s="54">
        <v>1.0</v>
      </c>
      <c r="D132" s="55">
        <v>1.0</v>
      </c>
      <c r="E132" s="55">
        <v>1.0</v>
      </c>
      <c r="F132" s="56">
        <v>1.0</v>
      </c>
      <c r="G132" s="56">
        <v>5.61404E-4</v>
      </c>
      <c r="H132" s="56">
        <v>0.998842119</v>
      </c>
      <c r="I132" s="56">
        <v>5.74406E-4</v>
      </c>
      <c r="J132" s="56">
        <v>0.998842602</v>
      </c>
      <c r="K132" s="56">
        <v>1.0</v>
      </c>
      <c r="L132" s="56">
        <v>0.5</v>
      </c>
      <c r="M132" s="56">
        <v>0.256761816</v>
      </c>
      <c r="N132" s="57">
        <f t="shared" si="1"/>
        <v>0.4419301474</v>
      </c>
      <c r="O132" s="57">
        <f t="shared" si="2"/>
        <v>35.56512611</v>
      </c>
      <c r="P132" s="56">
        <v>1175.460315</v>
      </c>
      <c r="Q132" s="56">
        <v>0.020390026</v>
      </c>
      <c r="R132" s="56">
        <v>0.996339045</v>
      </c>
      <c r="S132" s="56">
        <v>0.350885036</v>
      </c>
      <c r="T132" s="56">
        <v>0.454796821</v>
      </c>
      <c r="U132" s="56">
        <v>0.993981868</v>
      </c>
      <c r="V132" s="56">
        <v>0.350885036</v>
      </c>
      <c r="W132" s="56">
        <v>0.996339045</v>
      </c>
      <c r="X132" s="56">
        <v>0.363550487</v>
      </c>
      <c r="Y132" s="56">
        <v>0.994851145</v>
      </c>
      <c r="Z132" s="56">
        <v>0.0</v>
      </c>
      <c r="AA132" s="56">
        <v>0.118419672</v>
      </c>
      <c r="AB132" s="56">
        <v>0.069399883</v>
      </c>
      <c r="AC132" s="56">
        <v>0.0</v>
      </c>
      <c r="AD132" s="56">
        <v>0.0</v>
      </c>
      <c r="AE132" s="56">
        <v>0.0</v>
      </c>
      <c r="AF132" s="56">
        <v>0.0</v>
      </c>
      <c r="AG132" s="56">
        <v>0.367816092</v>
      </c>
      <c r="AH132" s="56">
        <v>0.052892562</v>
      </c>
      <c r="AI132" s="56">
        <v>0.092485549</v>
      </c>
      <c r="AJ132" s="56">
        <v>0.229956549</v>
      </c>
      <c r="AK132" s="56">
        <v>0.99657437</v>
      </c>
      <c r="AL132" s="56">
        <v>0.999762547</v>
      </c>
      <c r="AM132" s="56">
        <v>0.998165913</v>
      </c>
      <c r="AN132" s="56">
        <v>0.196565933</v>
      </c>
      <c r="AO132" s="58"/>
      <c r="AP132" s="58"/>
      <c r="AQ132" s="58"/>
    </row>
    <row r="133">
      <c r="A133" s="13"/>
      <c r="B133" s="13"/>
      <c r="C133" s="54">
        <v>2.0</v>
      </c>
      <c r="D133" s="55">
        <v>1.0</v>
      </c>
      <c r="E133" s="55">
        <v>1.0</v>
      </c>
      <c r="F133" s="56">
        <v>1.0</v>
      </c>
      <c r="G133" s="56">
        <v>5.93668E-4</v>
      </c>
      <c r="H133" s="56">
        <v>0.998863183</v>
      </c>
      <c r="I133" s="56">
        <v>6.36228E-4</v>
      </c>
      <c r="J133" s="56">
        <v>0.998863662</v>
      </c>
      <c r="K133" s="56">
        <v>1.0</v>
      </c>
      <c r="L133" s="56">
        <v>0.5</v>
      </c>
      <c r="M133" s="56">
        <v>0.261175523</v>
      </c>
      <c r="N133" s="57">
        <f t="shared" si="1"/>
        <v>0.4446342481</v>
      </c>
      <c r="O133" s="57">
        <f t="shared" si="2"/>
        <v>35.93972387</v>
      </c>
      <c r="P133" s="56">
        <v>1175.460315</v>
      </c>
      <c r="Q133" s="56">
        <v>0.020524833</v>
      </c>
      <c r="R133" s="56">
        <v>0.996343347</v>
      </c>
      <c r="S133" s="56">
        <v>0.352535051</v>
      </c>
      <c r="T133" s="56">
        <v>0.45900733</v>
      </c>
      <c r="U133" s="56">
        <v>0.994027502</v>
      </c>
      <c r="V133" s="56">
        <v>0.352535051</v>
      </c>
      <c r="W133" s="56">
        <v>0.996343347</v>
      </c>
      <c r="X133" s="56">
        <v>0.366199488</v>
      </c>
      <c r="Y133" s="56">
        <v>0.994873951</v>
      </c>
      <c r="Z133" s="56">
        <v>0.0</v>
      </c>
      <c r="AA133" s="56">
        <v>0.125989405</v>
      </c>
      <c r="AB133" s="56">
        <v>0.075517042</v>
      </c>
      <c r="AC133" s="56">
        <v>0.0</v>
      </c>
      <c r="AD133" s="56">
        <v>0.0</v>
      </c>
      <c r="AE133" s="56">
        <v>0.0</v>
      </c>
      <c r="AF133" s="56">
        <v>0.0</v>
      </c>
      <c r="AG133" s="56">
        <v>0.380434783</v>
      </c>
      <c r="AH133" s="56">
        <v>0.05785124</v>
      </c>
      <c r="AI133" s="56">
        <v>0.100430416</v>
      </c>
      <c r="AJ133" s="56">
        <v>0.240493278</v>
      </c>
      <c r="AK133" s="56">
        <v>0.996587207</v>
      </c>
      <c r="AL133" s="56">
        <v>0.999753913</v>
      </c>
      <c r="AM133" s="56">
        <v>0.998168048</v>
      </c>
      <c r="AN133" s="56">
        <v>0.205572686</v>
      </c>
      <c r="AO133" s="58"/>
      <c r="AP133" s="58"/>
      <c r="AQ133" s="58"/>
    </row>
    <row r="134">
      <c r="A134" s="13"/>
      <c r="B134" s="13"/>
      <c r="C134" s="54">
        <v>3.0</v>
      </c>
      <c r="D134" s="55">
        <v>1.0</v>
      </c>
      <c r="E134" s="55">
        <v>1.0</v>
      </c>
      <c r="F134" s="56">
        <v>1.0</v>
      </c>
      <c r="G134" s="56">
        <v>0.001109902</v>
      </c>
      <c r="H134" s="56">
        <v>0.999197649</v>
      </c>
      <c r="I134" s="56">
        <v>9.40051E-4</v>
      </c>
      <c r="J134" s="56">
        <v>0.999198076</v>
      </c>
      <c r="K134" s="56">
        <v>1.0</v>
      </c>
      <c r="L134" s="56">
        <v>0.5</v>
      </c>
      <c r="M134" s="56">
        <v>0.278764461</v>
      </c>
      <c r="N134" s="57">
        <f t="shared" si="1"/>
        <v>0.480489912</v>
      </c>
      <c r="O134" s="57">
        <f t="shared" si="2"/>
        <v>38.64608696</v>
      </c>
      <c r="P134" s="56">
        <v>1175.460315</v>
      </c>
      <c r="Q134" s="56">
        <v>0.02049486</v>
      </c>
      <c r="R134" s="56">
        <v>0.996360555</v>
      </c>
      <c r="S134" s="56">
        <v>0.377676043</v>
      </c>
      <c r="T134" s="56">
        <v>0.749220659</v>
      </c>
      <c r="U134" s="56">
        <v>0.995054065</v>
      </c>
      <c r="V134" s="56">
        <v>0.377676043</v>
      </c>
      <c r="W134" s="56">
        <v>0.996360555</v>
      </c>
      <c r="X134" s="56">
        <v>0.406943606</v>
      </c>
      <c r="Y134" s="56">
        <v>0.99512985</v>
      </c>
      <c r="Z134" s="56">
        <v>0.267610053</v>
      </c>
      <c r="AA134" s="56">
        <v>0.203014795</v>
      </c>
      <c r="AB134" s="56">
        <v>0.153114551</v>
      </c>
      <c r="AC134" s="56">
        <v>0.888888889</v>
      </c>
      <c r="AD134" s="56">
        <v>0.03587444</v>
      </c>
      <c r="AE134" s="56">
        <v>0.068965517</v>
      </c>
      <c r="AF134" s="56">
        <v>0.189405082</v>
      </c>
      <c r="AG134" s="56">
        <v>0.36196319</v>
      </c>
      <c r="AH134" s="56">
        <v>0.097520661</v>
      </c>
      <c r="AI134" s="56">
        <v>0.153645833</v>
      </c>
      <c r="AJ134" s="56">
        <v>0.312212934</v>
      </c>
      <c r="AK134" s="56">
        <v>0.996809898</v>
      </c>
      <c r="AL134" s="56">
        <v>0.999633028</v>
      </c>
      <c r="AM134" s="56">
        <v>0.998219467</v>
      </c>
      <c r="AN134" s="56">
        <v>0.324089347</v>
      </c>
      <c r="AO134" s="58"/>
      <c r="AP134" s="58"/>
      <c r="AQ134" s="58"/>
    </row>
    <row r="135">
      <c r="A135" s="13"/>
      <c r="B135" s="16"/>
      <c r="C135" s="54">
        <v>4.0</v>
      </c>
      <c r="D135" s="55">
        <v>1.0</v>
      </c>
      <c r="E135" s="55">
        <v>1.0</v>
      </c>
      <c r="F135" s="56">
        <v>1.0</v>
      </c>
      <c r="G135" s="56">
        <v>0.004504136</v>
      </c>
      <c r="H135" s="56">
        <v>0.999971597</v>
      </c>
      <c r="I135" s="56">
        <v>1.11E-5</v>
      </c>
      <c r="J135" s="56">
        <v>0.999971636</v>
      </c>
      <c r="K135" s="56">
        <v>1.0</v>
      </c>
      <c r="L135" s="56">
        <v>0.5</v>
      </c>
      <c r="M135" s="56">
        <v>0.133095261</v>
      </c>
      <c r="N135" s="57">
        <f t="shared" si="1"/>
        <v>0.8703905846</v>
      </c>
      <c r="O135" s="57">
        <f t="shared" si="2"/>
        <v>41.06705384</v>
      </c>
      <c r="P135" s="56">
        <v>1175.460315</v>
      </c>
      <c r="Q135" s="56">
        <v>0.020452616</v>
      </c>
      <c r="R135" s="56">
        <v>0.99856315</v>
      </c>
      <c r="S135" s="56">
        <v>0.839642015</v>
      </c>
      <c r="T135" s="56">
        <v>0.890752916</v>
      </c>
      <c r="U135" s="56">
        <v>0.998461557</v>
      </c>
      <c r="V135" s="56">
        <v>0.839642015</v>
      </c>
      <c r="W135" s="56">
        <v>0.99856315</v>
      </c>
      <c r="X135" s="56">
        <v>0.861009982</v>
      </c>
      <c r="Y135" s="56">
        <v>0.998480139</v>
      </c>
      <c r="Z135" s="56">
        <v>0.863312163</v>
      </c>
      <c r="AA135" s="56">
        <v>0.78343378</v>
      </c>
      <c r="AB135" s="56">
        <v>0.780563195</v>
      </c>
      <c r="AC135" s="56">
        <v>0.853448276</v>
      </c>
      <c r="AD135" s="56">
        <v>0.887892377</v>
      </c>
      <c r="AE135" s="56">
        <v>0.87032967</v>
      </c>
      <c r="AF135" s="56">
        <v>0.942211432</v>
      </c>
      <c r="AG135" s="56">
        <v>0.819742489</v>
      </c>
      <c r="AH135" s="56">
        <v>0.631404959</v>
      </c>
      <c r="AI135" s="56">
        <v>0.713352008</v>
      </c>
      <c r="AJ135" s="56">
        <v>0.794465982</v>
      </c>
      <c r="AK135" s="56">
        <v>0.999067981</v>
      </c>
      <c r="AL135" s="56">
        <v>0.99962871</v>
      </c>
      <c r="AM135" s="56">
        <v>0.999348267</v>
      </c>
      <c r="AN135" s="56">
        <v>0.859567335</v>
      </c>
      <c r="AO135" s="58"/>
      <c r="AP135" s="58"/>
      <c r="AQ135" s="58"/>
    </row>
    <row r="136">
      <c r="A136" s="13"/>
      <c r="B136" s="59" t="s">
        <v>25</v>
      </c>
      <c r="C136" s="54">
        <v>1.0</v>
      </c>
      <c r="D136" s="55">
        <v>1.0</v>
      </c>
      <c r="E136" s="55">
        <v>1.0</v>
      </c>
      <c r="F136" s="56">
        <v>1.0</v>
      </c>
      <c r="G136" s="56">
        <v>3.16193E-4</v>
      </c>
      <c r="H136" s="56">
        <v>0.998612228</v>
      </c>
      <c r="I136" s="56">
        <v>4.59E-6</v>
      </c>
      <c r="J136" s="56">
        <v>0.998612693</v>
      </c>
      <c r="K136" s="56">
        <v>1.0</v>
      </c>
      <c r="L136" s="56">
        <v>0.5</v>
      </c>
      <c r="M136" s="56">
        <v>0.114810872</v>
      </c>
      <c r="N136" s="57">
        <f t="shared" si="1"/>
        <v>0.4902235565</v>
      </c>
      <c r="O136" s="57">
        <f t="shared" si="2"/>
        <v>27.4302466</v>
      </c>
      <c r="P136" s="56">
        <v>1394.105628</v>
      </c>
      <c r="Q136" s="56">
        <v>0.079741262</v>
      </c>
      <c r="R136" s="56">
        <v>0.996631577</v>
      </c>
      <c r="S136" s="56">
        <v>0.391159866</v>
      </c>
      <c r="T136" s="56">
        <v>0.964694659</v>
      </c>
      <c r="U136" s="56">
        <v>0.996561625</v>
      </c>
      <c r="V136" s="56">
        <v>0.391159866</v>
      </c>
      <c r="W136" s="56">
        <v>0.996631577</v>
      </c>
      <c r="X136" s="56">
        <v>0.432672374</v>
      </c>
      <c r="Y136" s="56">
        <v>0.995106146</v>
      </c>
      <c r="Z136" s="56">
        <v>0.231398752</v>
      </c>
      <c r="AA136" s="56">
        <v>0.233101064</v>
      </c>
      <c r="AB136" s="56">
        <v>0.106941244</v>
      </c>
      <c r="AC136" s="56">
        <v>0.897435897</v>
      </c>
      <c r="AD136" s="56">
        <v>0.156950673</v>
      </c>
      <c r="AE136" s="56">
        <v>0.267175573</v>
      </c>
      <c r="AF136" s="56">
        <v>0.396166593</v>
      </c>
      <c r="AG136" s="56">
        <v>1.0</v>
      </c>
      <c r="AH136" s="56">
        <v>0.016528926</v>
      </c>
      <c r="AI136" s="56">
        <v>0.032520325</v>
      </c>
      <c r="AJ136" s="56">
        <v>0.128564869</v>
      </c>
      <c r="AK136" s="56">
        <v>0.996648078</v>
      </c>
      <c r="AL136" s="56">
        <v>1.0</v>
      </c>
      <c r="AM136" s="56">
        <v>0.998321226</v>
      </c>
      <c r="AN136" s="56">
        <v>0.243266816</v>
      </c>
      <c r="AO136" s="58"/>
      <c r="AP136" s="58"/>
      <c r="AQ136" s="58"/>
    </row>
    <row r="137">
      <c r="A137" s="13"/>
      <c r="B137" s="13"/>
      <c r="C137" s="54">
        <v>2.0</v>
      </c>
      <c r="D137" s="55">
        <v>1.0</v>
      </c>
      <c r="E137" s="55">
        <v>1.0</v>
      </c>
      <c r="F137" s="56">
        <v>1.0</v>
      </c>
      <c r="G137" s="56">
        <v>0.001361566</v>
      </c>
      <c r="H137" s="56">
        <v>0.999257599</v>
      </c>
      <c r="I137" s="56">
        <v>1.02E-6</v>
      </c>
      <c r="J137" s="56">
        <v>0.999257908</v>
      </c>
      <c r="K137" s="56">
        <v>1.0</v>
      </c>
      <c r="L137" s="56">
        <v>0.5</v>
      </c>
      <c r="M137" s="56">
        <v>0.089308852</v>
      </c>
      <c r="N137" s="57">
        <f t="shared" si="1"/>
        <v>0.6218417846</v>
      </c>
      <c r="O137" s="57">
        <f t="shared" si="2"/>
        <v>28.61315473</v>
      </c>
      <c r="P137" s="56">
        <v>1394.105628</v>
      </c>
      <c r="Q137" s="56">
        <v>0.079631383</v>
      </c>
      <c r="R137" s="56">
        <v>0.997096187</v>
      </c>
      <c r="S137" s="56">
        <v>0.521663685</v>
      </c>
      <c r="T137" s="56">
        <v>0.892644194</v>
      </c>
      <c r="U137" s="56">
        <v>0.996840346</v>
      </c>
      <c r="V137" s="56">
        <v>0.521663685</v>
      </c>
      <c r="W137" s="56">
        <v>0.997096187</v>
      </c>
      <c r="X137" s="56">
        <v>0.591691367</v>
      </c>
      <c r="Y137" s="56">
        <v>0.996133037</v>
      </c>
      <c r="Z137" s="56">
        <v>0.483220481</v>
      </c>
      <c r="AA137" s="56">
        <v>0.435061109</v>
      </c>
      <c r="AB137" s="56">
        <v>0.350278532</v>
      </c>
      <c r="AC137" s="56">
        <v>0.753846154</v>
      </c>
      <c r="AD137" s="56">
        <v>0.439461883</v>
      </c>
      <c r="AE137" s="56">
        <v>0.555240793</v>
      </c>
      <c r="AF137" s="56">
        <v>0.662873539</v>
      </c>
      <c r="AG137" s="56">
        <v>0.926829268</v>
      </c>
      <c r="AH137" s="56">
        <v>0.125619835</v>
      </c>
      <c r="AI137" s="56">
        <v>0.22125182</v>
      </c>
      <c r="AJ137" s="56">
        <v>0.354424299</v>
      </c>
      <c r="AK137" s="56">
        <v>0.99725716</v>
      </c>
      <c r="AL137" s="56">
        <v>0.999909336</v>
      </c>
      <c r="AM137" s="56">
        <v>0.998581487</v>
      </c>
      <c r="AN137" s="56">
        <v>0.480265983</v>
      </c>
      <c r="AO137" s="58"/>
      <c r="AP137" s="58"/>
      <c r="AQ137" s="58"/>
    </row>
    <row r="138">
      <c r="A138" s="13"/>
      <c r="B138" s="13"/>
      <c r="C138" s="54">
        <v>3.0</v>
      </c>
      <c r="D138" s="55">
        <v>1.0</v>
      </c>
      <c r="E138" s="55">
        <v>1.0</v>
      </c>
      <c r="F138" s="56">
        <v>1.0</v>
      </c>
      <c r="G138" s="56">
        <v>0.002155274</v>
      </c>
      <c r="H138" s="56">
        <v>0.99951346</v>
      </c>
      <c r="I138" s="56">
        <v>5.17E-8</v>
      </c>
      <c r="J138" s="56">
        <v>0.999513673</v>
      </c>
      <c r="K138" s="56">
        <v>1.0</v>
      </c>
      <c r="L138" s="56">
        <v>0.5</v>
      </c>
      <c r="M138" s="56">
        <v>0.054373973</v>
      </c>
      <c r="N138" s="57">
        <f t="shared" si="1"/>
        <v>0.7232856628</v>
      </c>
      <c r="O138" s="57">
        <f t="shared" si="2"/>
        <v>25.68871265</v>
      </c>
      <c r="P138" s="56">
        <v>1394.105628</v>
      </c>
      <c r="Q138" s="56">
        <v>0.079658316</v>
      </c>
      <c r="R138" s="56">
        <v>0.997621025</v>
      </c>
      <c r="S138" s="56">
        <v>0.644255267</v>
      </c>
      <c r="T138" s="56">
        <v>0.921631717</v>
      </c>
      <c r="U138" s="56">
        <v>0.997489713</v>
      </c>
      <c r="V138" s="56">
        <v>0.644255267</v>
      </c>
      <c r="W138" s="56">
        <v>0.997621025</v>
      </c>
      <c r="X138" s="56">
        <v>0.706617627</v>
      </c>
      <c r="Y138" s="56">
        <v>0.996964855</v>
      </c>
      <c r="Z138" s="56">
        <v>0.625678407</v>
      </c>
      <c r="AA138" s="56">
        <v>0.578513031</v>
      </c>
      <c r="AB138" s="56">
        <v>0.523381934</v>
      </c>
      <c r="AC138" s="56">
        <v>0.823834197</v>
      </c>
      <c r="AD138" s="56">
        <v>0.713004484</v>
      </c>
      <c r="AE138" s="56">
        <v>0.764423077</v>
      </c>
      <c r="AF138" s="56">
        <v>0.844334114</v>
      </c>
      <c r="AG138" s="56">
        <v>0.943262411</v>
      </c>
      <c r="AH138" s="56">
        <v>0.219834711</v>
      </c>
      <c r="AI138" s="56">
        <v>0.356568365</v>
      </c>
      <c r="AJ138" s="56">
        <v>0.468857255</v>
      </c>
      <c r="AK138" s="56">
        <v>0.997798543</v>
      </c>
      <c r="AL138" s="56">
        <v>0.999926606</v>
      </c>
      <c r="AM138" s="56">
        <v>0.998861441</v>
      </c>
      <c r="AN138" s="56">
        <v>0.618726226</v>
      </c>
      <c r="AO138" s="58"/>
      <c r="AP138" s="58"/>
      <c r="AQ138" s="58"/>
    </row>
    <row r="139">
      <c r="A139" s="13"/>
      <c r="B139" s="16"/>
      <c r="C139" s="54">
        <v>4.0</v>
      </c>
      <c r="D139" s="55">
        <v>1.0</v>
      </c>
      <c r="E139" s="55">
        <v>1.0</v>
      </c>
      <c r="F139" s="56">
        <v>1.0</v>
      </c>
      <c r="G139" s="56">
        <v>0.004762253</v>
      </c>
      <c r="H139" s="56">
        <v>0.999991884</v>
      </c>
      <c r="I139" s="56">
        <v>2.61E-5</v>
      </c>
      <c r="J139" s="56">
        <v>0.999991925</v>
      </c>
      <c r="K139" s="56">
        <v>1.0</v>
      </c>
      <c r="L139" s="56">
        <v>0.5</v>
      </c>
      <c r="M139" s="56">
        <v>0.153444921</v>
      </c>
      <c r="N139" s="57">
        <f t="shared" si="1"/>
        <v>0.8762181767</v>
      </c>
      <c r="O139" s="57">
        <f t="shared" si="2"/>
        <v>43.64639333</v>
      </c>
      <c r="P139" s="56">
        <v>1394.105628</v>
      </c>
      <c r="Q139" s="56">
        <v>0.079606813</v>
      </c>
      <c r="R139" s="56">
        <v>0.998619076</v>
      </c>
      <c r="S139" s="56">
        <v>0.841678922</v>
      </c>
      <c r="T139" s="56">
        <v>0.900157896</v>
      </c>
      <c r="U139" s="56">
        <v>0.998548102</v>
      </c>
      <c r="V139" s="56">
        <v>0.841678922</v>
      </c>
      <c r="W139" s="56">
        <v>0.998619076</v>
      </c>
      <c r="X139" s="56">
        <v>0.869305276</v>
      </c>
      <c r="Y139" s="56">
        <v>0.998574458</v>
      </c>
      <c r="Z139" s="56">
        <v>0.873786231</v>
      </c>
      <c r="AA139" s="56">
        <v>0.795788218</v>
      </c>
      <c r="AB139" s="56">
        <v>0.794465608</v>
      </c>
      <c r="AC139" s="56">
        <v>0.915841584</v>
      </c>
      <c r="AD139" s="56">
        <v>0.829596413</v>
      </c>
      <c r="AE139" s="56">
        <v>0.870588235</v>
      </c>
      <c r="AF139" s="56">
        <v>0.910788495</v>
      </c>
      <c r="AG139" s="56">
        <v>0.785447761</v>
      </c>
      <c r="AH139" s="56">
        <v>0.695867769</v>
      </c>
      <c r="AI139" s="56">
        <v>0.737949167</v>
      </c>
      <c r="AJ139" s="56">
        <v>0.833979981</v>
      </c>
      <c r="AK139" s="56">
        <v>0.999184343</v>
      </c>
      <c r="AL139" s="56">
        <v>0.999572585</v>
      </c>
      <c r="AM139" s="56">
        <v>0.999378426</v>
      </c>
      <c r="AN139" s="56">
        <v>0.878299082</v>
      </c>
      <c r="AO139" s="58"/>
      <c r="AP139" s="58"/>
      <c r="AQ139" s="58"/>
    </row>
    <row r="140">
      <c r="A140" s="13"/>
      <c r="B140" s="59" t="s">
        <v>26</v>
      </c>
      <c r="C140" s="54">
        <v>1.0</v>
      </c>
      <c r="D140" s="55">
        <v>1.0</v>
      </c>
      <c r="E140" s="55">
        <v>1.0</v>
      </c>
      <c r="F140" s="56">
        <v>1.0</v>
      </c>
      <c r="G140" s="56">
        <v>0.009873</v>
      </c>
      <c r="H140" s="56">
        <v>0.999039</v>
      </c>
      <c r="I140" s="56">
        <v>0.013819</v>
      </c>
      <c r="J140" s="56">
        <v>0.999039</v>
      </c>
      <c r="K140" s="56">
        <v>1.0</v>
      </c>
      <c r="L140" s="56">
        <v>0.5</v>
      </c>
      <c r="M140" s="56">
        <v>0.436282</v>
      </c>
      <c r="N140" s="57">
        <f t="shared" si="1"/>
        <v>0.5845908894</v>
      </c>
      <c r="O140" s="57">
        <f t="shared" si="2"/>
        <v>52.00177212</v>
      </c>
      <c r="P140" s="54">
        <v>1446.640832</v>
      </c>
      <c r="Q140" s="54">
        <v>0.054702</v>
      </c>
      <c r="R140" s="54">
        <v>0.992463</v>
      </c>
      <c r="S140" s="54">
        <v>0.600394</v>
      </c>
      <c r="T140" s="54">
        <v>0.476504</v>
      </c>
      <c r="U140" s="54">
        <v>0.995262</v>
      </c>
      <c r="V140" s="54">
        <v>0.600394</v>
      </c>
      <c r="W140" s="54">
        <v>0.992463</v>
      </c>
      <c r="X140" s="54">
        <v>0.488</v>
      </c>
      <c r="Y140" s="54">
        <v>0.993707</v>
      </c>
      <c r="Z140" s="54">
        <v>0.617422</v>
      </c>
      <c r="AA140" s="54">
        <v>0.269006</v>
      </c>
      <c r="AB140" s="54">
        <v>0.256459</v>
      </c>
      <c r="AC140" s="54">
        <v>0.117647</v>
      </c>
      <c r="AD140" s="54">
        <v>0.565022</v>
      </c>
      <c r="AE140" s="54">
        <v>0.194745</v>
      </c>
      <c r="AF140" s="54">
        <v>0.750149</v>
      </c>
      <c r="AG140" s="54">
        <v>0.313978</v>
      </c>
      <c r="AH140" s="54">
        <v>0.241322</v>
      </c>
      <c r="AI140" s="54">
        <v>0.272897</v>
      </c>
      <c r="AJ140" s="54">
        <v>0.490908</v>
      </c>
      <c r="AK140" s="54">
        <v>0.997887</v>
      </c>
      <c r="AL140" s="54">
        <v>0.994836</v>
      </c>
      <c r="AM140" s="54">
        <v>0.996359</v>
      </c>
      <c r="AN140" s="54">
        <v>0.639146</v>
      </c>
      <c r="AO140" s="60"/>
      <c r="AP140" s="60"/>
      <c r="AQ140" s="60"/>
    </row>
    <row r="141">
      <c r="A141" s="13"/>
      <c r="B141" s="13"/>
      <c r="C141" s="54">
        <v>2.0</v>
      </c>
      <c r="D141" s="55">
        <v>1.0</v>
      </c>
      <c r="E141" s="55">
        <v>1.0</v>
      </c>
      <c r="F141" s="56">
        <v>1.0</v>
      </c>
      <c r="G141" s="56">
        <v>0.005866</v>
      </c>
      <c r="H141" s="56">
        <v>0.99991</v>
      </c>
      <c r="I141" s="56">
        <v>0.009803</v>
      </c>
      <c r="J141" s="56">
        <v>0.99991</v>
      </c>
      <c r="K141" s="56">
        <v>1.0</v>
      </c>
      <c r="L141" s="56">
        <v>0.5</v>
      </c>
      <c r="M141" s="56">
        <v>0.412135</v>
      </c>
      <c r="N141" s="57">
        <f t="shared" si="1"/>
        <v>0.6721225835</v>
      </c>
      <c r="O141" s="57">
        <f t="shared" si="2"/>
        <v>55.26941808</v>
      </c>
      <c r="P141" s="54">
        <v>1446.640832</v>
      </c>
      <c r="Q141" s="54">
        <v>0.054817</v>
      </c>
      <c r="R141" s="54">
        <v>0.995707</v>
      </c>
      <c r="S141" s="54">
        <v>0.659598</v>
      </c>
      <c r="T141" s="54">
        <v>0.587866</v>
      </c>
      <c r="U141" s="54">
        <v>0.99596</v>
      </c>
      <c r="V141" s="54">
        <v>0.659598</v>
      </c>
      <c r="W141" s="54">
        <v>0.995707</v>
      </c>
      <c r="X141" s="54">
        <v>0.6097</v>
      </c>
      <c r="Y141" s="54">
        <v>0.995789</v>
      </c>
      <c r="Z141" s="54">
        <v>0.684787</v>
      </c>
      <c r="AA141" s="54">
        <v>0.424973</v>
      </c>
      <c r="AB141" s="54">
        <v>0.424465</v>
      </c>
      <c r="AC141" s="54">
        <v>0.353383</v>
      </c>
      <c r="AD141" s="54">
        <v>0.632287</v>
      </c>
      <c r="AE141" s="54">
        <v>0.453376</v>
      </c>
      <c r="AF141" s="54">
        <v>0.794723</v>
      </c>
      <c r="AG141" s="54">
        <v>0.412109</v>
      </c>
      <c r="AH141" s="54">
        <v>0.34876</v>
      </c>
      <c r="AI141" s="54">
        <v>0.377798</v>
      </c>
      <c r="AJ141" s="54">
        <v>0.590176</v>
      </c>
      <c r="AK141" s="54">
        <v>0.998104</v>
      </c>
      <c r="AL141" s="54">
        <v>0.997746</v>
      </c>
      <c r="AM141" s="54">
        <v>0.997925</v>
      </c>
      <c r="AN141" s="54">
        <v>0.684652</v>
      </c>
      <c r="AO141" s="60"/>
      <c r="AP141" s="60"/>
      <c r="AQ141" s="60"/>
    </row>
    <row r="142">
      <c r="A142" s="13"/>
      <c r="B142" s="13"/>
      <c r="C142" s="54">
        <v>3.0</v>
      </c>
      <c r="D142" s="55">
        <v>1.0</v>
      </c>
      <c r="E142" s="55">
        <v>1.0</v>
      </c>
      <c r="F142" s="56">
        <v>1.0</v>
      </c>
      <c r="G142" s="56">
        <v>0.009996</v>
      </c>
      <c r="H142" s="56">
        <v>0.999263</v>
      </c>
      <c r="I142" s="56">
        <v>0.013475</v>
      </c>
      <c r="J142" s="56">
        <v>0.999263</v>
      </c>
      <c r="K142" s="56">
        <v>1.0</v>
      </c>
      <c r="L142" s="56">
        <v>0.5</v>
      </c>
      <c r="M142" s="56">
        <v>0.434487</v>
      </c>
      <c r="N142" s="57">
        <f t="shared" si="1"/>
        <v>0.6939422237</v>
      </c>
      <c r="O142" s="57">
        <f t="shared" si="2"/>
        <v>57.54196689</v>
      </c>
      <c r="P142" s="54">
        <v>1446.640832</v>
      </c>
      <c r="Q142" s="54">
        <v>0.055135</v>
      </c>
      <c r="R142" s="54">
        <v>0.99405</v>
      </c>
      <c r="S142" s="54">
        <v>0.759979</v>
      </c>
      <c r="T142" s="54">
        <v>0.560774</v>
      </c>
      <c r="U142" s="54">
        <v>0.996571</v>
      </c>
      <c r="V142" s="54">
        <v>0.759979</v>
      </c>
      <c r="W142" s="54">
        <v>0.99405</v>
      </c>
      <c r="X142" s="54">
        <v>0.599269</v>
      </c>
      <c r="Y142" s="54">
        <v>0.995132</v>
      </c>
      <c r="Z142" s="54">
        <v>0.790162</v>
      </c>
      <c r="AA142" s="54">
        <v>0.437649</v>
      </c>
      <c r="AB142" s="54">
        <v>0.416697</v>
      </c>
      <c r="AC142" s="54">
        <v>0.185304</v>
      </c>
      <c r="AD142" s="54">
        <v>0.780269</v>
      </c>
      <c r="AE142" s="54">
        <v>0.299484</v>
      </c>
      <c r="AF142" s="54">
        <v>0.881872</v>
      </c>
      <c r="AG142" s="54">
        <v>0.498366</v>
      </c>
      <c r="AH142" s="54">
        <v>0.504132</v>
      </c>
      <c r="AI142" s="54">
        <v>0.501233</v>
      </c>
      <c r="AJ142" s="54">
        <v>0.709552</v>
      </c>
      <c r="AK142" s="54">
        <v>0.998653</v>
      </c>
      <c r="AL142" s="54">
        <v>0.995536</v>
      </c>
      <c r="AM142" s="54">
        <v>0.997092</v>
      </c>
      <c r="AN142" s="54">
        <v>0.788422</v>
      </c>
      <c r="AO142" s="60"/>
      <c r="AP142" s="60"/>
      <c r="AQ142" s="60"/>
    </row>
    <row r="143">
      <c r="A143" s="13"/>
      <c r="B143" s="16"/>
      <c r="C143" s="54">
        <v>4.0</v>
      </c>
      <c r="D143" s="55">
        <v>1.0</v>
      </c>
      <c r="E143" s="55">
        <v>1.0</v>
      </c>
      <c r="F143" s="56">
        <v>1.0</v>
      </c>
      <c r="G143" s="56">
        <v>0.00493</v>
      </c>
      <c r="H143" s="56">
        <v>0.999996</v>
      </c>
      <c r="I143" s="56">
        <v>9.8E-5</v>
      </c>
      <c r="J143" s="56">
        <v>0.999996</v>
      </c>
      <c r="K143" s="56">
        <v>1.0</v>
      </c>
      <c r="L143" s="56">
        <v>0.5</v>
      </c>
      <c r="M143" s="56">
        <v>0.191447</v>
      </c>
      <c r="N143" s="57">
        <f t="shared" si="1"/>
        <v>0.8750994592</v>
      </c>
      <c r="O143" s="57">
        <f t="shared" si="2"/>
        <v>47.6490093</v>
      </c>
      <c r="P143" s="54">
        <v>1446.640832</v>
      </c>
      <c r="Q143" s="54">
        <v>0.054843</v>
      </c>
      <c r="R143" s="54">
        <v>0.998563</v>
      </c>
      <c r="S143" s="54">
        <v>0.844169</v>
      </c>
      <c r="T143" s="54">
        <v>0.892797</v>
      </c>
      <c r="U143" s="54">
        <v>0.998513</v>
      </c>
      <c r="V143" s="54">
        <v>0.844169</v>
      </c>
      <c r="W143" s="54">
        <v>0.998563</v>
      </c>
      <c r="X143" s="54">
        <v>0.867325</v>
      </c>
      <c r="Y143" s="54">
        <v>0.998533</v>
      </c>
      <c r="Z143" s="54">
        <v>0.876738</v>
      </c>
      <c r="AA143" s="54">
        <v>0.790264</v>
      </c>
      <c r="AB143" s="54">
        <v>0.789622</v>
      </c>
      <c r="AC143" s="54">
        <v>0.915</v>
      </c>
      <c r="AD143" s="54">
        <v>0.820628</v>
      </c>
      <c r="AE143" s="54">
        <v>0.865248</v>
      </c>
      <c r="AF143" s="54">
        <v>0.905852</v>
      </c>
      <c r="AG143" s="54">
        <v>0.764184</v>
      </c>
      <c r="AH143" s="54">
        <v>0.712397</v>
      </c>
      <c r="AI143" s="54">
        <v>0.737382</v>
      </c>
      <c r="AJ143" s="54">
        <v>0.843794</v>
      </c>
      <c r="AK143" s="54">
        <v>0.999206</v>
      </c>
      <c r="AL143" s="54">
        <v>0.999482</v>
      </c>
      <c r="AM143" s="54">
        <v>0.999344</v>
      </c>
      <c r="AN143" s="54">
        <v>0.881689</v>
      </c>
      <c r="AO143" s="60"/>
      <c r="AP143" s="60"/>
      <c r="AQ143" s="60"/>
    </row>
    <row r="144">
      <c r="A144" s="13"/>
      <c r="B144" s="59" t="s">
        <v>27</v>
      </c>
      <c r="C144" s="54">
        <v>1.0</v>
      </c>
      <c r="D144" s="55">
        <v>1.0</v>
      </c>
      <c r="E144" s="55">
        <v>1.0</v>
      </c>
      <c r="F144" s="55">
        <v>1.0</v>
      </c>
      <c r="G144" s="56">
        <v>0.001600324</v>
      </c>
      <c r="H144" s="56">
        <v>0.999435882</v>
      </c>
      <c r="I144" s="56">
        <v>5.27E-5</v>
      </c>
      <c r="J144" s="56">
        <v>0.999436253</v>
      </c>
      <c r="K144" s="56">
        <v>1.0</v>
      </c>
      <c r="L144" s="56">
        <v>0.5</v>
      </c>
      <c r="M144" s="55">
        <v>0.172468253</v>
      </c>
      <c r="N144" s="57">
        <f t="shared" si="1"/>
        <v>0.557776277</v>
      </c>
      <c r="O144" s="57">
        <f t="shared" si="2"/>
        <v>34.87865179</v>
      </c>
      <c r="P144" s="54">
        <v>1656.235777</v>
      </c>
      <c r="Q144" s="54">
        <v>0.15632</v>
      </c>
      <c r="R144" s="54">
        <v>0.996743</v>
      </c>
      <c r="S144" s="54">
        <v>0.440558</v>
      </c>
      <c r="T144" s="54">
        <v>0.843588</v>
      </c>
      <c r="U144" s="54">
        <v>0.996013</v>
      </c>
      <c r="V144" s="54">
        <v>0.440558</v>
      </c>
      <c r="W144" s="54">
        <v>0.996743</v>
      </c>
      <c r="X144" s="54">
        <v>0.502113</v>
      </c>
      <c r="Y144" s="54">
        <v>0.995836</v>
      </c>
      <c r="Z144" s="54">
        <v>0.409895</v>
      </c>
      <c r="AA144" s="54">
        <v>0.351014</v>
      </c>
      <c r="AB144" s="54">
        <v>0.295495</v>
      </c>
      <c r="AC144" s="54">
        <v>0.961538</v>
      </c>
      <c r="AD144" s="54">
        <v>0.112108</v>
      </c>
      <c r="AE144" s="54">
        <v>0.200803</v>
      </c>
      <c r="AF144" s="54">
        <v>0.334824</v>
      </c>
      <c r="AG144" s="54">
        <v>0.572072</v>
      </c>
      <c r="AH144" s="54">
        <v>0.209917</v>
      </c>
      <c r="AI144" s="54">
        <v>0.307134</v>
      </c>
      <c r="AJ144" s="54">
        <v>0.458074</v>
      </c>
      <c r="AK144" s="54">
        <v>0.997153</v>
      </c>
      <c r="AL144" s="54">
        <v>0.99965</v>
      </c>
      <c r="AM144" s="54">
        <v>0.9984</v>
      </c>
      <c r="AN144" s="54">
        <v>0.449021</v>
      </c>
      <c r="AO144" s="58"/>
      <c r="AP144" s="58"/>
      <c r="AQ144" s="58"/>
    </row>
    <row r="145">
      <c r="A145" s="13"/>
      <c r="B145" s="13"/>
      <c r="C145" s="54">
        <v>2.0</v>
      </c>
      <c r="D145" s="55">
        <v>1.0</v>
      </c>
      <c r="E145" s="55">
        <v>1.0</v>
      </c>
      <c r="F145" s="55">
        <v>1.0</v>
      </c>
      <c r="G145" s="56">
        <v>0.002839284</v>
      </c>
      <c r="H145" s="56">
        <v>0.999812291</v>
      </c>
      <c r="I145" s="56">
        <v>1.67E-5</v>
      </c>
      <c r="J145" s="56">
        <v>0.999812497</v>
      </c>
      <c r="K145" s="56">
        <v>1.0</v>
      </c>
      <c r="L145" s="56">
        <v>0.5</v>
      </c>
      <c r="M145" s="55">
        <v>0.142484623</v>
      </c>
      <c r="N145" s="57">
        <f t="shared" si="1"/>
        <v>0.6646186942</v>
      </c>
      <c r="O145" s="57">
        <f t="shared" si="2"/>
        <v>35.89638634</v>
      </c>
      <c r="P145" s="54">
        <v>1656.235777</v>
      </c>
      <c r="Q145" s="54">
        <v>0.156149</v>
      </c>
      <c r="R145" s="54">
        <v>0.997126</v>
      </c>
      <c r="S145" s="54">
        <v>0.561513</v>
      </c>
      <c r="T145" s="54">
        <v>0.761107</v>
      </c>
      <c r="U145" s="54">
        <v>0.996545</v>
      </c>
      <c r="V145" s="54">
        <v>0.561513</v>
      </c>
      <c r="W145" s="54">
        <v>0.997126</v>
      </c>
      <c r="X145" s="54">
        <v>0.630817</v>
      </c>
      <c r="Y145" s="54">
        <v>0.99667</v>
      </c>
      <c r="Z145" s="54">
        <v>0.595442</v>
      </c>
      <c r="AA145" s="54">
        <v>0.496291</v>
      </c>
      <c r="AB145" s="54">
        <v>0.472553</v>
      </c>
      <c r="AC145" s="54">
        <v>0.630252</v>
      </c>
      <c r="AD145" s="54">
        <v>0.336323</v>
      </c>
      <c r="AE145" s="54">
        <v>0.438596</v>
      </c>
      <c r="AF145" s="54">
        <v>0.579879</v>
      </c>
      <c r="AG145" s="54">
        <v>0.65528</v>
      </c>
      <c r="AH145" s="54">
        <v>0.34876</v>
      </c>
      <c r="AI145" s="54">
        <v>0.455232</v>
      </c>
      <c r="AJ145" s="54">
        <v>0.590418</v>
      </c>
      <c r="AK145" s="54">
        <v>0.997789</v>
      </c>
      <c r="AL145" s="54">
        <v>0.999456</v>
      </c>
      <c r="AM145" s="54">
        <v>0.998622</v>
      </c>
      <c r="AN145" s="54">
        <v>0.616626</v>
      </c>
      <c r="AO145" s="58"/>
      <c r="AP145" s="58"/>
      <c r="AQ145" s="58"/>
    </row>
    <row r="146">
      <c r="A146" s="13"/>
      <c r="B146" s="13"/>
      <c r="C146" s="54">
        <v>3.0</v>
      </c>
      <c r="D146" s="55">
        <v>1.0</v>
      </c>
      <c r="E146" s="55">
        <v>1.0</v>
      </c>
      <c r="F146" s="55">
        <v>1.0</v>
      </c>
      <c r="G146" s="56">
        <v>0.00460093</v>
      </c>
      <c r="H146" s="56">
        <v>0.999965885</v>
      </c>
      <c r="I146" s="56">
        <v>1.17076E-4</v>
      </c>
      <c r="J146" s="56">
        <v>0.999965978</v>
      </c>
      <c r="K146" s="56">
        <v>1.0</v>
      </c>
      <c r="L146" s="56">
        <v>0.5</v>
      </c>
      <c r="M146" s="55">
        <v>0.197046285</v>
      </c>
      <c r="N146" s="57">
        <f t="shared" si="1"/>
        <v>0.7773074322</v>
      </c>
      <c r="O146" s="57">
        <f t="shared" si="2"/>
        <v>44.89345114</v>
      </c>
      <c r="P146" s="54">
        <v>1656.235777</v>
      </c>
      <c r="Q146" s="54">
        <v>0.156397</v>
      </c>
      <c r="R146" s="54">
        <v>0.997617</v>
      </c>
      <c r="S146" s="54">
        <v>0.712333</v>
      </c>
      <c r="T146" s="54">
        <v>0.839799</v>
      </c>
      <c r="U146" s="54">
        <v>0.997539</v>
      </c>
      <c r="V146" s="54">
        <v>0.712333</v>
      </c>
      <c r="W146" s="54">
        <v>0.997617</v>
      </c>
      <c r="X146" s="54">
        <v>0.761596</v>
      </c>
      <c r="Y146" s="54">
        <v>0.997536</v>
      </c>
      <c r="Z146" s="54">
        <v>0.764516</v>
      </c>
      <c r="AA146" s="54">
        <v>0.641519</v>
      </c>
      <c r="AB146" s="54">
        <v>0.63975</v>
      </c>
      <c r="AC146" s="54">
        <v>0.911765</v>
      </c>
      <c r="AD146" s="54">
        <v>0.556054</v>
      </c>
      <c r="AE146" s="54">
        <v>0.690808</v>
      </c>
      <c r="AF146" s="54">
        <v>0.745671</v>
      </c>
      <c r="AG146" s="54">
        <v>0.608997</v>
      </c>
      <c r="AH146" s="54">
        <v>0.581818</v>
      </c>
      <c r="AI146" s="54">
        <v>0.595097</v>
      </c>
      <c r="AJ146" s="54">
        <v>0.762398</v>
      </c>
      <c r="AK146" s="54">
        <v>0.998636</v>
      </c>
      <c r="AL146" s="54">
        <v>0.999128</v>
      </c>
      <c r="AM146" s="54">
        <v>0.998882</v>
      </c>
      <c r="AN146" s="54">
        <v>0.786014</v>
      </c>
      <c r="AO146" s="58"/>
      <c r="AP146" s="58"/>
      <c r="AQ146" s="58"/>
    </row>
    <row r="147">
      <c r="A147" s="16"/>
      <c r="B147" s="16"/>
      <c r="C147" s="54">
        <v>4.0</v>
      </c>
      <c r="D147" s="55">
        <v>1.0</v>
      </c>
      <c r="E147" s="55">
        <v>1.0</v>
      </c>
      <c r="F147" s="55">
        <v>1.0</v>
      </c>
      <c r="G147" s="56">
        <v>0.004897764</v>
      </c>
      <c r="H147" s="56">
        <v>0.999994199</v>
      </c>
      <c r="I147" s="56">
        <v>9.4E-6</v>
      </c>
      <c r="J147" s="56">
        <v>0.999994224</v>
      </c>
      <c r="K147" s="56">
        <v>1.0</v>
      </c>
      <c r="L147" s="56">
        <v>0.5</v>
      </c>
      <c r="M147" s="55">
        <v>0.129425817</v>
      </c>
      <c r="N147" s="57">
        <f t="shared" si="1"/>
        <v>0.8742227777</v>
      </c>
      <c r="O147" s="57">
        <f t="shared" si="2"/>
        <v>40.71754985</v>
      </c>
      <c r="P147" s="54">
        <v>1656.235777</v>
      </c>
      <c r="Q147" s="54">
        <v>0.155982</v>
      </c>
      <c r="R147" s="54">
        <v>0.99852</v>
      </c>
      <c r="S147" s="54">
        <v>0.849591</v>
      </c>
      <c r="T147" s="54">
        <v>0.882045</v>
      </c>
      <c r="U147" s="54">
        <v>0.998452</v>
      </c>
      <c r="V147" s="54">
        <v>0.849591</v>
      </c>
      <c r="W147" s="54">
        <v>0.99852</v>
      </c>
      <c r="X147" s="54">
        <v>0.86502</v>
      </c>
      <c r="Y147" s="54">
        <v>0.99848</v>
      </c>
      <c r="Z147" s="54">
        <v>0.876953</v>
      </c>
      <c r="AA147" s="54">
        <v>0.783393</v>
      </c>
      <c r="AB147" s="54">
        <v>0.782647</v>
      </c>
      <c r="AC147" s="54">
        <v>0.885845</v>
      </c>
      <c r="AD147" s="54">
        <v>0.869955</v>
      </c>
      <c r="AE147" s="54">
        <v>0.877828</v>
      </c>
      <c r="AF147" s="54">
        <v>0.932664</v>
      </c>
      <c r="AG147" s="54">
        <v>0.761111</v>
      </c>
      <c r="AH147" s="54">
        <v>0.679339</v>
      </c>
      <c r="AI147" s="54">
        <v>0.717904</v>
      </c>
      <c r="AJ147" s="54">
        <v>0.823991</v>
      </c>
      <c r="AK147" s="54">
        <v>0.99918</v>
      </c>
      <c r="AL147" s="54">
        <v>0.999478</v>
      </c>
      <c r="AM147" s="54">
        <v>0.999329</v>
      </c>
      <c r="AN147" s="54">
        <v>0.87757</v>
      </c>
      <c r="AO147" s="58"/>
      <c r="AP147" s="58"/>
      <c r="AQ147" s="58"/>
    </row>
    <row r="148">
      <c r="A148" s="44" t="s">
        <v>103</v>
      </c>
      <c r="B148" s="61" t="s">
        <v>22</v>
      </c>
      <c r="C148" s="46">
        <v>1.0</v>
      </c>
      <c r="D148" s="47">
        <v>1.0</v>
      </c>
      <c r="E148" s="47">
        <v>1.0</v>
      </c>
      <c r="F148" s="47">
        <v>1.0</v>
      </c>
      <c r="G148" s="47">
        <v>0.0</v>
      </c>
      <c r="H148" s="47">
        <v>0.998217</v>
      </c>
      <c r="I148" s="47">
        <v>0.00534</v>
      </c>
      <c r="J148" s="47">
        <v>0.540852</v>
      </c>
      <c r="K148" s="47">
        <v>1.0</v>
      </c>
      <c r="L148" s="47">
        <v>0.5</v>
      </c>
      <c r="M148" s="47">
        <v>0.336102</v>
      </c>
      <c r="N148" s="48">
        <f t="shared" si="1"/>
        <v>0.40806609</v>
      </c>
      <c r="O148" s="48">
        <f t="shared" si="2"/>
        <v>37.75954416</v>
      </c>
      <c r="P148" s="46">
        <v>132.619663</v>
      </c>
      <c r="Q148" s="46">
        <v>0.650686</v>
      </c>
      <c r="R148" s="46">
        <v>0.996438</v>
      </c>
      <c r="S148" s="46">
        <v>0.333333</v>
      </c>
      <c r="T148" s="46">
        <v>0.332146</v>
      </c>
      <c r="U148" s="46">
        <v>0.992889</v>
      </c>
      <c r="V148" s="46">
        <v>0.333333</v>
      </c>
      <c r="W148" s="46">
        <v>0.996438</v>
      </c>
      <c r="X148" s="46">
        <v>0.332739</v>
      </c>
      <c r="Y148" s="46">
        <v>0.99466</v>
      </c>
      <c r="Z148" s="46">
        <v>0.0</v>
      </c>
      <c r="AA148" s="46">
        <v>0.0</v>
      </c>
      <c r="AB148" s="46">
        <v>0.0</v>
      </c>
      <c r="AC148" s="46">
        <v>0.0</v>
      </c>
      <c r="AD148" s="46">
        <v>0.0</v>
      </c>
      <c r="AE148" s="46">
        <v>0.0</v>
      </c>
      <c r="AF148" s="46">
        <v>0.0</v>
      </c>
      <c r="AG148" s="46">
        <v>0.0</v>
      </c>
      <c r="AH148" s="46">
        <v>0.0</v>
      </c>
      <c r="AI148" s="46">
        <v>0.0</v>
      </c>
      <c r="AJ148" s="46">
        <v>0.0</v>
      </c>
      <c r="AK148" s="46">
        <v>0.996438</v>
      </c>
      <c r="AL148" s="46">
        <v>1.0</v>
      </c>
      <c r="AM148" s="46">
        <v>0.998216</v>
      </c>
      <c r="AN148" s="46">
        <v>0.0</v>
      </c>
      <c r="AO148" s="49"/>
      <c r="AP148" s="49"/>
      <c r="AQ148" s="49"/>
    </row>
    <row r="149">
      <c r="A149" s="13"/>
      <c r="B149" s="13"/>
      <c r="C149" s="46">
        <v>2.0</v>
      </c>
      <c r="D149" s="47">
        <v>1.0</v>
      </c>
      <c r="E149" s="47">
        <v>1.0</v>
      </c>
      <c r="F149" s="47">
        <v>1.0</v>
      </c>
      <c r="G149" s="47">
        <v>2.6E-5</v>
      </c>
      <c r="H149" s="47">
        <v>0.998283</v>
      </c>
      <c r="I149" s="47">
        <v>0.008755</v>
      </c>
      <c r="J149" s="47">
        <v>0.540983</v>
      </c>
      <c r="K149" s="47">
        <v>1.0</v>
      </c>
      <c r="L149" s="47">
        <v>0.5</v>
      </c>
      <c r="M149" s="47">
        <v>0.36499</v>
      </c>
      <c r="N149" s="48">
        <f t="shared" si="1"/>
        <v>0.4180094457</v>
      </c>
      <c r="O149" s="48">
        <f t="shared" si="2"/>
        <v>39.59351361</v>
      </c>
      <c r="P149" s="46">
        <v>132.619663</v>
      </c>
      <c r="Q149" s="46">
        <v>0.795375</v>
      </c>
      <c r="R149" s="46">
        <v>0.996455</v>
      </c>
      <c r="S149" s="46">
        <v>0.335537</v>
      </c>
      <c r="T149" s="46">
        <v>0.665485</v>
      </c>
      <c r="U149" s="46">
        <v>0.995508</v>
      </c>
      <c r="V149" s="46">
        <v>0.335537</v>
      </c>
      <c r="W149" s="46">
        <v>0.996455</v>
      </c>
      <c r="X149" s="46">
        <v>0.33712</v>
      </c>
      <c r="Y149" s="46">
        <v>0.994703</v>
      </c>
      <c r="Z149" s="46">
        <v>0.0</v>
      </c>
      <c r="AA149" s="46">
        <v>0.06939</v>
      </c>
      <c r="AB149" s="46">
        <v>0.009586</v>
      </c>
      <c r="AC149" s="46">
        <v>0.0</v>
      </c>
      <c r="AD149" s="46">
        <v>0.0</v>
      </c>
      <c r="AE149" s="46">
        <v>0.0</v>
      </c>
      <c r="AF149" s="46">
        <v>0.0</v>
      </c>
      <c r="AG149" s="46">
        <v>1.0</v>
      </c>
      <c r="AH149" s="46">
        <v>0.006612</v>
      </c>
      <c r="AI149" s="46">
        <v>0.013136</v>
      </c>
      <c r="AJ149" s="46">
        <v>0.081312</v>
      </c>
      <c r="AK149" s="46">
        <v>0.996455</v>
      </c>
      <c r="AL149" s="46">
        <v>1.0</v>
      </c>
      <c r="AM149" s="46">
        <v>0.998224</v>
      </c>
      <c r="AN149" s="46">
        <v>0.069505</v>
      </c>
      <c r="AO149" s="49"/>
      <c r="AP149" s="49"/>
      <c r="AQ149" s="49"/>
    </row>
    <row r="150">
      <c r="A150" s="13"/>
      <c r="B150" s="13"/>
      <c r="C150" s="46">
        <v>3.0</v>
      </c>
      <c r="D150" s="47">
        <v>1.0</v>
      </c>
      <c r="E150" s="47">
        <v>1.0</v>
      </c>
      <c r="F150" s="47">
        <v>1.0</v>
      </c>
      <c r="G150" s="47">
        <v>0.003304</v>
      </c>
      <c r="H150" s="47">
        <v>0.999589</v>
      </c>
      <c r="I150" s="47">
        <v>0.016864</v>
      </c>
      <c r="J150" s="47">
        <v>0.550992</v>
      </c>
      <c r="K150" s="47">
        <v>1.0</v>
      </c>
      <c r="L150" s="47">
        <v>0.5</v>
      </c>
      <c r="M150" s="47">
        <v>0.408458</v>
      </c>
      <c r="N150" s="48">
        <f t="shared" si="1"/>
        <v>0.5739289808</v>
      </c>
      <c r="O150" s="48">
        <f t="shared" si="2"/>
        <v>50.09263251</v>
      </c>
      <c r="P150" s="46">
        <v>132.619663</v>
      </c>
      <c r="Q150" s="46">
        <v>0.848287</v>
      </c>
      <c r="R150" s="46">
        <v>0.995887</v>
      </c>
      <c r="S150" s="46">
        <v>0.504808</v>
      </c>
      <c r="T150" s="46">
        <v>0.616831</v>
      </c>
      <c r="U150" s="46">
        <v>0.995586</v>
      </c>
      <c r="V150" s="46">
        <v>0.504808</v>
      </c>
      <c r="W150" s="46">
        <v>0.995887</v>
      </c>
      <c r="X150" s="46">
        <v>0.517156</v>
      </c>
      <c r="Y150" s="46">
        <v>0.995413</v>
      </c>
      <c r="Z150" s="46">
        <v>0.494577</v>
      </c>
      <c r="AA150" s="46">
        <v>0.293549</v>
      </c>
      <c r="AB150" s="46">
        <v>0.285174</v>
      </c>
      <c r="AC150" s="46">
        <v>0.21988</v>
      </c>
      <c r="AD150" s="46">
        <v>0.327354</v>
      </c>
      <c r="AE150" s="46">
        <v>0.263063</v>
      </c>
      <c r="AF150" s="46">
        <v>0.57183</v>
      </c>
      <c r="AG150" s="46">
        <v>0.633333</v>
      </c>
      <c r="AH150" s="46">
        <v>0.18843</v>
      </c>
      <c r="AI150" s="46">
        <v>0.290446</v>
      </c>
      <c r="AJ150" s="46">
        <v>0.434023</v>
      </c>
      <c r="AK150" s="46">
        <v>0.997279</v>
      </c>
      <c r="AL150" s="46">
        <v>0.99864</v>
      </c>
      <c r="AM150" s="46">
        <v>0.997959</v>
      </c>
      <c r="AN150" s="46">
        <v>0.487441</v>
      </c>
      <c r="AO150" s="49"/>
      <c r="AP150" s="49"/>
      <c r="AQ150" s="49"/>
    </row>
    <row r="151">
      <c r="A151" s="13"/>
      <c r="B151" s="16"/>
      <c r="C151" s="46">
        <v>4.0</v>
      </c>
      <c r="D151" s="47">
        <v>1.0</v>
      </c>
      <c r="E151" s="47">
        <v>1.0</v>
      </c>
      <c r="F151" s="47">
        <v>1.0</v>
      </c>
      <c r="G151" s="47">
        <v>0.008937</v>
      </c>
      <c r="H151" s="47">
        <v>0.999766</v>
      </c>
      <c r="I151" s="47">
        <v>0.003174</v>
      </c>
      <c r="J151" s="47">
        <v>0.563945</v>
      </c>
      <c r="K151" s="47">
        <v>1.0</v>
      </c>
      <c r="L151" s="47">
        <v>0.5</v>
      </c>
      <c r="M151" s="47">
        <v>0.310415</v>
      </c>
      <c r="N151" s="48">
        <f t="shared" si="1"/>
        <v>0.8454532225</v>
      </c>
      <c r="O151" s="48">
        <f t="shared" si="2"/>
        <v>56.6279487</v>
      </c>
      <c r="P151" s="46">
        <v>132.619663</v>
      </c>
      <c r="Q151" s="46">
        <v>0.921393</v>
      </c>
      <c r="R151" s="46">
        <v>0.996959</v>
      </c>
      <c r="S151" s="46">
        <v>0.933409</v>
      </c>
      <c r="T151" s="46">
        <v>0.67412</v>
      </c>
      <c r="U151" s="46">
        <v>0.998109</v>
      </c>
      <c r="V151" s="46">
        <v>0.933409</v>
      </c>
      <c r="W151" s="46">
        <v>0.996959</v>
      </c>
      <c r="X151" s="46">
        <v>0.765938</v>
      </c>
      <c r="Y151" s="46">
        <v>0.997371</v>
      </c>
      <c r="Z151" s="46">
        <v>0.954222</v>
      </c>
      <c r="AA151" s="46">
        <v>0.702158</v>
      </c>
      <c r="AB151" s="46">
        <v>0.679395</v>
      </c>
      <c r="AC151" s="46">
        <v>0.463576</v>
      </c>
      <c r="AD151" s="46">
        <v>0.941704</v>
      </c>
      <c r="AE151" s="46">
        <v>0.621302</v>
      </c>
      <c r="AF151" s="46">
        <v>0.969907</v>
      </c>
      <c r="AG151" s="46">
        <v>0.559013</v>
      </c>
      <c r="AH151" s="46">
        <v>0.861157</v>
      </c>
      <c r="AI151" s="46">
        <v>0.677944</v>
      </c>
      <c r="AJ151" s="46">
        <v>0.927163</v>
      </c>
      <c r="AK151" s="46">
        <v>0.999771</v>
      </c>
      <c r="AL151" s="46">
        <v>0.997366</v>
      </c>
      <c r="AM151" s="46">
        <v>0.998567</v>
      </c>
      <c r="AN151" s="46">
        <v>0.966191</v>
      </c>
      <c r="AO151" s="49"/>
      <c r="AP151" s="49"/>
      <c r="AQ151" s="49"/>
    </row>
    <row r="152">
      <c r="A152" s="13"/>
      <c r="B152" s="51" t="s">
        <v>23</v>
      </c>
      <c r="C152" s="46">
        <v>1.0</v>
      </c>
      <c r="D152" s="47">
        <v>1.0</v>
      </c>
      <c r="E152" s="47">
        <v>1.0</v>
      </c>
      <c r="F152" s="65">
        <v>1.0</v>
      </c>
      <c r="G152" s="65">
        <v>0.003290988</v>
      </c>
      <c r="H152" s="65">
        <v>0.999507421</v>
      </c>
      <c r="I152" s="65">
        <v>0.212147669</v>
      </c>
      <c r="J152" s="65">
        <v>0.5499344</v>
      </c>
      <c r="K152" s="47">
        <v>1.0</v>
      </c>
      <c r="L152" s="65">
        <v>0.5</v>
      </c>
      <c r="M152" s="65">
        <v>0.622707643</v>
      </c>
      <c r="N152" s="48">
        <f t="shared" si="1"/>
        <v>0.4420160764</v>
      </c>
      <c r="O152" s="48">
        <f t="shared" si="2"/>
        <v>50.69632959</v>
      </c>
      <c r="P152" s="62">
        <v>738.5767595</v>
      </c>
      <c r="Q152" s="62">
        <v>0.596070766</v>
      </c>
      <c r="R152" s="62">
        <v>0.994777439</v>
      </c>
      <c r="S152" s="62">
        <v>0.356956941</v>
      </c>
      <c r="T152" s="62">
        <v>0.361016527</v>
      </c>
      <c r="U152" s="62">
        <v>0.993449091</v>
      </c>
      <c r="V152" s="62">
        <v>0.356956941</v>
      </c>
      <c r="W152" s="62">
        <v>0.994777439</v>
      </c>
      <c r="X152" s="62">
        <v>0.358794203</v>
      </c>
      <c r="Y152" s="62">
        <v>0.994111295</v>
      </c>
      <c r="Z152" s="62">
        <v>0.0</v>
      </c>
      <c r="AA152" s="62">
        <v>0.093226011</v>
      </c>
      <c r="AB152" s="62">
        <v>0.090538612</v>
      </c>
      <c r="AC152" s="62">
        <v>0.0</v>
      </c>
      <c r="AD152" s="62">
        <v>0.0</v>
      </c>
      <c r="AE152" s="62">
        <v>0.0</v>
      </c>
      <c r="AF152" s="62">
        <v>0.0</v>
      </c>
      <c r="AG152" s="62">
        <v>0.08627451</v>
      </c>
      <c r="AH152" s="62">
        <v>0.072727273</v>
      </c>
      <c r="AI152" s="62">
        <v>0.078923767</v>
      </c>
      <c r="AJ152" s="62">
        <v>0.269408789</v>
      </c>
      <c r="AK152" s="62">
        <v>0.99677507</v>
      </c>
      <c r="AL152" s="62">
        <v>0.998143551</v>
      </c>
      <c r="AM152" s="62">
        <v>0.997458841</v>
      </c>
      <c r="AN152" s="62">
        <v>0.310546277</v>
      </c>
      <c r="AO152" s="49"/>
      <c r="AP152" s="49"/>
      <c r="AQ152" s="49"/>
    </row>
    <row r="153">
      <c r="A153" s="13"/>
      <c r="B153" s="13"/>
      <c r="C153" s="46">
        <v>2.0</v>
      </c>
      <c r="D153" s="47">
        <v>1.0</v>
      </c>
      <c r="E153" s="47">
        <v>1.0</v>
      </c>
      <c r="F153" s="65">
        <v>1.0</v>
      </c>
      <c r="G153" s="65">
        <v>0.009937493</v>
      </c>
      <c r="H153" s="65">
        <v>0.998883394</v>
      </c>
      <c r="I153" s="65">
        <v>0.397910968</v>
      </c>
      <c r="J153" s="65">
        <v>0.563050445</v>
      </c>
      <c r="K153" s="47">
        <v>1.0</v>
      </c>
      <c r="L153" s="65">
        <v>0.5</v>
      </c>
      <c r="M153" s="65">
        <v>0.694176119</v>
      </c>
      <c r="N153" s="48">
        <f t="shared" si="1"/>
        <v>0.4476660136</v>
      </c>
      <c r="O153" s="48">
        <f t="shared" si="2"/>
        <v>53.353184</v>
      </c>
      <c r="P153" s="62">
        <v>738.5767595</v>
      </c>
      <c r="Q153" s="62">
        <v>0.643729448</v>
      </c>
      <c r="R153" s="62">
        <v>0.990793838</v>
      </c>
      <c r="S153" s="62">
        <v>0.374152934</v>
      </c>
      <c r="T153" s="62">
        <v>0.681935145</v>
      </c>
      <c r="U153" s="62">
        <v>0.994607078</v>
      </c>
      <c r="V153" s="62">
        <v>0.374152934</v>
      </c>
      <c r="W153" s="62">
        <v>0.990793838</v>
      </c>
      <c r="X153" s="62">
        <v>0.358142974</v>
      </c>
      <c r="Y153" s="62">
        <v>0.992182204</v>
      </c>
      <c r="Z153" s="62">
        <v>0.215729144</v>
      </c>
      <c r="AA153" s="62">
        <v>0.097213476</v>
      </c>
      <c r="AB153" s="62">
        <v>0.092646717</v>
      </c>
      <c r="AC153" s="62">
        <v>1.0</v>
      </c>
      <c r="AD153" s="62">
        <v>0.004484305</v>
      </c>
      <c r="AE153" s="62">
        <v>0.008928571</v>
      </c>
      <c r="AF153" s="62">
        <v>0.066964953</v>
      </c>
      <c r="AG153" s="62">
        <v>0.048732944</v>
      </c>
      <c r="AH153" s="62">
        <v>0.123966942</v>
      </c>
      <c r="AI153" s="62">
        <v>0.069962687</v>
      </c>
      <c r="AJ153" s="62">
        <v>0.350976004</v>
      </c>
      <c r="AK153" s="62">
        <v>0.997072491</v>
      </c>
      <c r="AL153" s="62">
        <v>0.994007555</v>
      </c>
      <c r="AM153" s="62">
        <v>0.995537664</v>
      </c>
      <c r="AN153" s="62">
        <v>0.427170712</v>
      </c>
      <c r="AO153" s="49"/>
      <c r="AP153" s="49"/>
      <c r="AQ153" s="49"/>
    </row>
    <row r="154">
      <c r="A154" s="13"/>
      <c r="B154" s="13"/>
      <c r="C154" s="46">
        <v>3.0</v>
      </c>
      <c r="D154" s="47">
        <v>1.0</v>
      </c>
      <c r="E154" s="47">
        <v>1.0</v>
      </c>
      <c r="F154" s="65">
        <v>1.0</v>
      </c>
      <c r="G154" s="65">
        <v>0.01468684</v>
      </c>
      <c r="H154" s="65">
        <v>0.998897947</v>
      </c>
      <c r="I154" s="65">
        <v>0.397797215</v>
      </c>
      <c r="J154" s="65">
        <v>0.574725277</v>
      </c>
      <c r="K154" s="47">
        <v>1.0</v>
      </c>
      <c r="L154" s="65">
        <v>0.5</v>
      </c>
      <c r="M154" s="65">
        <v>0.696523104</v>
      </c>
      <c r="N154" s="48">
        <f t="shared" si="1"/>
        <v>0.6121067113</v>
      </c>
      <c r="O154" s="48">
        <f t="shared" si="2"/>
        <v>64.45706041</v>
      </c>
      <c r="P154" s="62">
        <v>738.5767595</v>
      </c>
      <c r="Q154" s="62">
        <v>0.705783367</v>
      </c>
      <c r="R154" s="62">
        <v>0.990591647</v>
      </c>
      <c r="S154" s="62">
        <v>0.64712049</v>
      </c>
      <c r="T154" s="62">
        <v>0.451773603</v>
      </c>
      <c r="U154" s="62">
        <v>0.995659726</v>
      </c>
      <c r="V154" s="62">
        <v>0.64712049</v>
      </c>
      <c r="W154" s="62">
        <v>0.990591647</v>
      </c>
      <c r="X154" s="62">
        <v>0.504424206</v>
      </c>
      <c r="Y154" s="62">
        <v>0.992845299</v>
      </c>
      <c r="Z154" s="62">
        <v>0.711811418</v>
      </c>
      <c r="AA154" s="62">
        <v>0.331008226</v>
      </c>
      <c r="AB154" s="62">
        <v>0.292429155</v>
      </c>
      <c r="AC154" s="62">
        <v>0.166666667</v>
      </c>
      <c r="AD154" s="62">
        <v>0.403587444</v>
      </c>
      <c r="AE154" s="62">
        <v>0.235910878</v>
      </c>
      <c r="AF154" s="62">
        <v>0.634669519</v>
      </c>
      <c r="AG154" s="62">
        <v>0.190092166</v>
      </c>
      <c r="AH154" s="62">
        <v>0.545454546</v>
      </c>
      <c r="AI154" s="62">
        <v>0.281930799</v>
      </c>
      <c r="AJ154" s="62">
        <v>0.736306143</v>
      </c>
      <c r="AK154" s="62">
        <v>0.998561976</v>
      </c>
      <c r="AL154" s="62">
        <v>0.992319482</v>
      </c>
      <c r="AM154" s="62">
        <v>0.995430942</v>
      </c>
      <c r="AN154" s="62">
        <v>0.771771585</v>
      </c>
      <c r="AO154" s="49"/>
      <c r="AP154" s="49"/>
      <c r="AQ154" s="49"/>
    </row>
    <row r="155">
      <c r="A155" s="13"/>
      <c r="B155" s="16"/>
      <c r="C155" s="46">
        <v>4.0</v>
      </c>
      <c r="D155" s="47">
        <v>1.0</v>
      </c>
      <c r="E155" s="47">
        <v>1.0</v>
      </c>
      <c r="F155" s="65">
        <v>1.0</v>
      </c>
      <c r="G155" s="65">
        <v>0.007775765</v>
      </c>
      <c r="H155" s="65">
        <v>0.999889429</v>
      </c>
      <c r="I155" s="65">
        <v>2.93381E-4</v>
      </c>
      <c r="J155" s="65">
        <v>0.5613359</v>
      </c>
      <c r="K155" s="47">
        <v>1.0</v>
      </c>
      <c r="L155" s="65">
        <v>0.5</v>
      </c>
      <c r="M155" s="65">
        <v>0.208575301</v>
      </c>
      <c r="N155" s="48">
        <f t="shared" si="1"/>
        <v>0.8540758324</v>
      </c>
      <c r="O155" s="48">
        <f t="shared" si="2"/>
        <v>48.59627839</v>
      </c>
      <c r="P155" s="62">
        <v>738.5767595</v>
      </c>
      <c r="Q155" s="62">
        <v>0.961613655</v>
      </c>
      <c r="R155" s="62">
        <v>0.997530684</v>
      </c>
      <c r="S155" s="62">
        <v>0.903817769</v>
      </c>
      <c r="T155" s="62">
        <v>0.718847</v>
      </c>
      <c r="U155" s="62">
        <v>0.998203772</v>
      </c>
      <c r="V155" s="62">
        <v>0.903817769</v>
      </c>
      <c r="W155" s="62">
        <v>0.997530684</v>
      </c>
      <c r="X155" s="62">
        <v>0.793167016</v>
      </c>
      <c r="Y155" s="62">
        <v>0.997778114</v>
      </c>
      <c r="Z155" s="62">
        <v>0.93418449</v>
      </c>
      <c r="AA155" s="62">
        <v>0.729438902</v>
      </c>
      <c r="AB155" s="62">
        <v>0.716702257</v>
      </c>
      <c r="AC155" s="62">
        <v>0.561046512</v>
      </c>
      <c r="AD155" s="62">
        <v>0.865470852</v>
      </c>
      <c r="AE155" s="62">
        <v>0.680776014</v>
      </c>
      <c r="AF155" s="62">
        <v>0.930004359</v>
      </c>
      <c r="AG155" s="62">
        <v>0.595818815</v>
      </c>
      <c r="AH155" s="62">
        <v>0.847933884</v>
      </c>
      <c r="AI155" s="62">
        <v>0.699863574</v>
      </c>
      <c r="AJ155" s="62">
        <v>0.920141918</v>
      </c>
      <c r="AK155" s="62">
        <v>0.999675673</v>
      </c>
      <c r="AL155" s="62">
        <v>0.99804857</v>
      </c>
      <c r="AM155" s="62">
        <v>0.998861459</v>
      </c>
      <c r="AN155" s="62">
        <v>0.952704372</v>
      </c>
      <c r="AO155" s="49"/>
      <c r="AP155" s="49"/>
      <c r="AQ155" s="49"/>
    </row>
    <row r="156">
      <c r="A156" s="13"/>
      <c r="B156" s="51" t="s">
        <v>24</v>
      </c>
      <c r="C156" s="46">
        <v>1.0</v>
      </c>
      <c r="D156" s="47">
        <v>1.0</v>
      </c>
      <c r="E156" s="47">
        <v>1.0</v>
      </c>
      <c r="F156" s="65">
        <v>1.0</v>
      </c>
      <c r="G156" s="65">
        <v>0.012079861</v>
      </c>
      <c r="H156" s="65">
        <v>0.999311162</v>
      </c>
      <c r="I156" s="65">
        <v>0.001213246</v>
      </c>
      <c r="J156" s="65">
        <v>0.570481307</v>
      </c>
      <c r="K156" s="47">
        <v>1.0</v>
      </c>
      <c r="L156" s="65">
        <v>0.5</v>
      </c>
      <c r="M156" s="65">
        <v>0.264937542</v>
      </c>
      <c r="N156" s="48">
        <f t="shared" si="1"/>
        <v>0.5801215436</v>
      </c>
      <c r="O156" s="48">
        <f t="shared" si="2"/>
        <v>42.40028712</v>
      </c>
      <c r="P156" s="62">
        <v>4106.238452</v>
      </c>
      <c r="Q156" s="62">
        <v>0.019615864</v>
      </c>
      <c r="R156" s="62">
        <v>0.991103578</v>
      </c>
      <c r="S156" s="62">
        <v>0.609448481</v>
      </c>
      <c r="T156" s="62">
        <v>0.437587281</v>
      </c>
      <c r="U156" s="62">
        <v>0.994892576</v>
      </c>
      <c r="V156" s="62">
        <v>0.609448481</v>
      </c>
      <c r="W156" s="62">
        <v>0.991103578</v>
      </c>
      <c r="X156" s="62">
        <v>0.482750257</v>
      </c>
      <c r="Y156" s="62">
        <v>0.992844547</v>
      </c>
      <c r="Z156" s="62">
        <v>0.62654896</v>
      </c>
      <c r="AA156" s="62">
        <v>0.250773158</v>
      </c>
      <c r="AB156" s="62">
        <v>0.231112956</v>
      </c>
      <c r="AC156" s="62">
        <v>0.189928058</v>
      </c>
      <c r="AD156" s="62">
        <v>0.591928251</v>
      </c>
      <c r="AE156" s="62">
        <v>0.287581699</v>
      </c>
      <c r="AF156" s="62">
        <v>0.768435571</v>
      </c>
      <c r="AG156" s="62">
        <v>0.124893798</v>
      </c>
      <c r="AH156" s="62">
        <v>0.242975207</v>
      </c>
      <c r="AI156" s="62">
        <v>0.164983165</v>
      </c>
      <c r="AJ156" s="62">
        <v>0.491829008</v>
      </c>
      <c r="AK156" s="62">
        <v>0.997939986</v>
      </c>
      <c r="AL156" s="62">
        <v>0.993441986</v>
      </c>
      <c r="AM156" s="62">
        <v>0.995685906</v>
      </c>
      <c r="AN156" s="62">
        <v>0.650793849</v>
      </c>
      <c r="AO156" s="49"/>
      <c r="AP156" s="49"/>
      <c r="AQ156" s="49"/>
    </row>
    <row r="157">
      <c r="A157" s="13"/>
      <c r="B157" s="13"/>
      <c r="C157" s="46">
        <v>2.0</v>
      </c>
      <c r="D157" s="47">
        <v>1.0</v>
      </c>
      <c r="E157" s="47">
        <v>1.0</v>
      </c>
      <c r="F157" s="65">
        <v>1.0</v>
      </c>
      <c r="G157" s="65">
        <v>0.012015332</v>
      </c>
      <c r="H157" s="65">
        <v>0.999299402</v>
      </c>
      <c r="I157" s="65">
        <v>0.001036605</v>
      </c>
      <c r="J157" s="65">
        <v>0.570421659</v>
      </c>
      <c r="K157" s="47">
        <v>1.0</v>
      </c>
      <c r="L157" s="65">
        <v>0.5</v>
      </c>
      <c r="M157" s="65">
        <v>0.25807492</v>
      </c>
      <c r="N157" s="48">
        <f t="shared" si="1"/>
        <v>0.5866963869</v>
      </c>
      <c r="O157" s="48">
        <f t="shared" si="2"/>
        <v>42.24218447</v>
      </c>
      <c r="P157" s="62">
        <v>4106.238452</v>
      </c>
      <c r="Q157" s="62">
        <v>0.019437549</v>
      </c>
      <c r="R157" s="62">
        <v>0.991258448</v>
      </c>
      <c r="S157" s="62">
        <v>0.621363136</v>
      </c>
      <c r="T157" s="62">
        <v>0.440511222</v>
      </c>
      <c r="U157" s="62">
        <v>0.994978577</v>
      </c>
      <c r="V157" s="62">
        <v>0.621363136</v>
      </c>
      <c r="W157" s="62">
        <v>0.991258448</v>
      </c>
      <c r="X157" s="62">
        <v>0.486725981</v>
      </c>
      <c r="Y157" s="62">
        <v>0.992957134</v>
      </c>
      <c r="Z157" s="62">
        <v>0.639902879</v>
      </c>
      <c r="AA157" s="62">
        <v>0.262005995</v>
      </c>
      <c r="AB157" s="62">
        <v>0.241715822</v>
      </c>
      <c r="AC157" s="62">
        <v>0.185636856</v>
      </c>
      <c r="AD157" s="62">
        <v>0.614349776</v>
      </c>
      <c r="AE157" s="62">
        <v>0.285119667</v>
      </c>
      <c r="AF157" s="62">
        <v>0.782789798</v>
      </c>
      <c r="AG157" s="62">
        <v>0.137900356</v>
      </c>
      <c r="AH157" s="62">
        <v>0.256198347</v>
      </c>
      <c r="AI157" s="62">
        <v>0.17929439</v>
      </c>
      <c r="AJ157" s="62">
        <v>0.50510155</v>
      </c>
      <c r="AK157" s="62">
        <v>0.997996453</v>
      </c>
      <c r="AL157" s="62">
        <v>0.993541284</v>
      </c>
      <c r="AM157" s="62">
        <v>0.995763885</v>
      </c>
      <c r="AN157" s="62">
        <v>0.662702079</v>
      </c>
      <c r="AO157" s="49"/>
      <c r="AP157" s="49"/>
      <c r="AQ157" s="49"/>
    </row>
    <row r="158">
      <c r="A158" s="13"/>
      <c r="B158" s="13"/>
      <c r="C158" s="46">
        <v>3.0</v>
      </c>
      <c r="D158" s="47">
        <v>1.0</v>
      </c>
      <c r="E158" s="47">
        <v>1.0</v>
      </c>
      <c r="F158" s="65">
        <v>1.0</v>
      </c>
      <c r="G158" s="65">
        <v>0.014932051</v>
      </c>
      <c r="H158" s="65">
        <v>0.998838409</v>
      </c>
      <c r="I158" s="65">
        <v>0.00206912</v>
      </c>
      <c r="J158" s="65">
        <v>0.575806125</v>
      </c>
      <c r="K158" s="47">
        <v>1.0</v>
      </c>
      <c r="L158" s="65">
        <v>0.5</v>
      </c>
      <c r="M158" s="65">
        <v>0.290015501</v>
      </c>
      <c r="N158" s="48">
        <f t="shared" si="1"/>
        <v>0.6403658356</v>
      </c>
      <c r="O158" s="48">
        <f t="shared" si="2"/>
        <v>46.64717812</v>
      </c>
      <c r="P158" s="62">
        <v>4106.238452</v>
      </c>
      <c r="Q158" s="62">
        <v>0.019664028</v>
      </c>
      <c r="R158" s="62">
        <v>0.99050991</v>
      </c>
      <c r="S158" s="62">
        <v>0.735248882</v>
      </c>
      <c r="T158" s="62">
        <v>0.464071245</v>
      </c>
      <c r="U158" s="62">
        <v>0.995688144</v>
      </c>
      <c r="V158" s="62">
        <v>0.735248882</v>
      </c>
      <c r="W158" s="62">
        <v>0.99050991</v>
      </c>
      <c r="X158" s="62">
        <v>0.529092652</v>
      </c>
      <c r="Y158" s="62">
        <v>0.992794376</v>
      </c>
      <c r="Z158" s="62">
        <v>0.764735968</v>
      </c>
      <c r="AA158" s="62">
        <v>0.335187048</v>
      </c>
      <c r="AB158" s="62">
        <v>0.294983969</v>
      </c>
      <c r="AC158" s="62">
        <v>0.228682171</v>
      </c>
      <c r="AD158" s="62">
        <v>0.793721973</v>
      </c>
      <c r="AE158" s="62">
        <v>0.355065196</v>
      </c>
      <c r="AF158" s="62">
        <v>0.889764874</v>
      </c>
      <c r="AG158" s="62">
        <v>0.164935065</v>
      </c>
      <c r="AH158" s="62">
        <v>0.419834711</v>
      </c>
      <c r="AI158" s="62">
        <v>0.236829837</v>
      </c>
      <c r="AJ158" s="62">
        <v>0.64614704</v>
      </c>
      <c r="AK158" s="62">
        <v>0.9985965</v>
      </c>
      <c r="AL158" s="62">
        <v>0.992189962</v>
      </c>
      <c r="AM158" s="62">
        <v>0.995382923</v>
      </c>
      <c r="AN158" s="62">
        <v>0.777907458</v>
      </c>
      <c r="AO158" s="49"/>
      <c r="AP158" s="49"/>
      <c r="AQ158" s="49"/>
    </row>
    <row r="159">
      <c r="A159" s="13"/>
      <c r="B159" s="16"/>
      <c r="C159" s="46">
        <v>4.0</v>
      </c>
      <c r="D159" s="47">
        <v>1.0</v>
      </c>
      <c r="E159" s="47">
        <v>1.0</v>
      </c>
      <c r="F159" s="65">
        <v>1.0</v>
      </c>
      <c r="G159" s="65">
        <v>0.012092767</v>
      </c>
      <c r="H159" s="65">
        <v>0.999348537</v>
      </c>
      <c r="I159" s="68">
        <v>6.0E-5</v>
      </c>
      <c r="J159" s="65">
        <v>0.569914968</v>
      </c>
      <c r="K159" s="47">
        <v>1.0</v>
      </c>
      <c r="L159" s="65">
        <v>0.5</v>
      </c>
      <c r="M159" s="65">
        <v>0.160488361</v>
      </c>
      <c r="N159" s="48">
        <f t="shared" si="1"/>
        <v>0.8019470773</v>
      </c>
      <c r="O159" s="48">
        <f t="shared" si="2"/>
        <v>42.13711933</v>
      </c>
      <c r="P159" s="62">
        <v>4106.238452</v>
      </c>
      <c r="Q159" s="62">
        <v>0.019627201</v>
      </c>
      <c r="R159" s="62">
        <v>0.994932309</v>
      </c>
      <c r="S159" s="62">
        <v>0.929887605</v>
      </c>
      <c r="T159" s="62">
        <v>0.606423865</v>
      </c>
      <c r="U159" s="62">
        <v>0.997651657</v>
      </c>
      <c r="V159" s="62">
        <v>0.929887605</v>
      </c>
      <c r="W159" s="62">
        <v>0.994932309</v>
      </c>
      <c r="X159" s="62">
        <v>0.707222528</v>
      </c>
      <c r="Y159" s="62">
        <v>0.995942252</v>
      </c>
      <c r="Z159" s="62">
        <v>0.953606401</v>
      </c>
      <c r="AA159" s="62">
        <v>0.610267965</v>
      </c>
      <c r="AB159" s="62">
        <v>0.562277323</v>
      </c>
      <c r="AC159" s="62">
        <v>0.435729848</v>
      </c>
      <c r="AD159" s="62">
        <v>0.896860987</v>
      </c>
      <c r="AE159" s="62">
        <v>0.586510264</v>
      </c>
      <c r="AF159" s="62">
        <v>0.946499203</v>
      </c>
      <c r="AG159" s="62">
        <v>0.383745583</v>
      </c>
      <c r="AH159" s="62">
        <v>0.897520661</v>
      </c>
      <c r="AI159" s="62">
        <v>0.537623762</v>
      </c>
      <c r="AJ159" s="62">
        <v>0.945592412</v>
      </c>
      <c r="AK159" s="62">
        <v>0.999796165</v>
      </c>
      <c r="AL159" s="62">
        <v>0.995281166</v>
      </c>
      <c r="AM159" s="62">
        <v>0.997533557</v>
      </c>
      <c r="AN159" s="62">
        <v>0.968909561</v>
      </c>
      <c r="AO159" s="49"/>
      <c r="AP159" s="49"/>
      <c r="AQ159" s="49"/>
    </row>
    <row r="160">
      <c r="A160" s="13"/>
      <c r="B160" s="51" t="s">
        <v>25</v>
      </c>
      <c r="C160" s="46">
        <v>1.0</v>
      </c>
      <c r="D160" s="47">
        <v>1.0</v>
      </c>
      <c r="E160" s="47">
        <v>1.0</v>
      </c>
      <c r="F160" s="65">
        <v>1.0</v>
      </c>
      <c r="G160" s="65">
        <v>0.015209526</v>
      </c>
      <c r="H160" s="65">
        <v>0.997159618</v>
      </c>
      <c r="I160" s="68">
        <v>8.44E-7</v>
      </c>
      <c r="J160" s="65">
        <v>0.574413364</v>
      </c>
      <c r="K160" s="47">
        <v>1.0</v>
      </c>
      <c r="L160" s="65">
        <v>0.5</v>
      </c>
      <c r="M160" s="65">
        <v>0.07891918</v>
      </c>
      <c r="N160" s="48">
        <f t="shared" si="1"/>
        <v>0.5734230062</v>
      </c>
      <c r="O160" s="48">
        <f t="shared" si="2"/>
        <v>25.93929054</v>
      </c>
      <c r="P160" s="62">
        <v>4307.94559</v>
      </c>
      <c r="Q160" s="62">
        <v>0.079580103</v>
      </c>
      <c r="R160" s="62">
        <v>0.989055852</v>
      </c>
      <c r="S160" s="62">
        <v>0.659502184</v>
      </c>
      <c r="T160" s="62">
        <v>0.454277372</v>
      </c>
      <c r="U160" s="62">
        <v>0.995256588</v>
      </c>
      <c r="V160" s="62">
        <v>0.659502184</v>
      </c>
      <c r="W160" s="62">
        <v>0.989055852</v>
      </c>
      <c r="X160" s="62">
        <v>0.446019155</v>
      </c>
      <c r="Y160" s="62">
        <v>0.991785258</v>
      </c>
      <c r="Z160" s="62">
        <v>0.605407324</v>
      </c>
      <c r="AA160" s="62">
        <v>0.226787424</v>
      </c>
      <c r="AB160" s="62">
        <v>0.19845403</v>
      </c>
      <c r="AC160" s="62">
        <v>0.092404451</v>
      </c>
      <c r="AD160" s="62">
        <v>0.856502242</v>
      </c>
      <c r="AE160" s="62">
        <v>0.166812227</v>
      </c>
      <c r="AF160" s="62">
        <v>0.921728402</v>
      </c>
      <c r="AG160" s="62">
        <v>0.272413793</v>
      </c>
      <c r="AH160" s="62">
        <v>0.130578512</v>
      </c>
      <c r="AI160" s="62">
        <v>0.176536313</v>
      </c>
      <c r="AJ160" s="62">
        <v>0.36119202</v>
      </c>
      <c r="AK160" s="62">
        <v>0.998013873</v>
      </c>
      <c r="AL160" s="62">
        <v>0.991425796</v>
      </c>
      <c r="AM160" s="62">
        <v>0.994708926</v>
      </c>
      <c r="AN160" s="62">
        <v>0.66650267</v>
      </c>
      <c r="AO160" s="49"/>
      <c r="AP160" s="49"/>
      <c r="AQ160" s="49"/>
    </row>
    <row r="161">
      <c r="A161" s="13"/>
      <c r="B161" s="13"/>
      <c r="C161" s="46">
        <v>2.0</v>
      </c>
      <c r="D161" s="47">
        <v>1.0</v>
      </c>
      <c r="E161" s="47">
        <v>1.0</v>
      </c>
      <c r="F161" s="48">
        <v>1.0</v>
      </c>
      <c r="G161" s="48">
        <v>0.017403518</v>
      </c>
      <c r="H161" s="48">
        <v>0.995775849</v>
      </c>
      <c r="I161" s="48">
        <v>4.7E-8</v>
      </c>
      <c r="J161" s="48">
        <v>0.576464341</v>
      </c>
      <c r="K161" s="47">
        <v>1.0</v>
      </c>
      <c r="L161" s="48">
        <v>0.5</v>
      </c>
      <c r="M161" s="65">
        <v>0.048790206</v>
      </c>
      <c r="N161" s="48">
        <f t="shared" si="1"/>
        <v>0.5665846949</v>
      </c>
      <c r="O161" s="48">
        <f t="shared" si="2"/>
        <v>21.24672339</v>
      </c>
      <c r="P161" s="62">
        <v>4307.94559</v>
      </c>
      <c r="Q161" s="62">
        <v>0.079837485</v>
      </c>
      <c r="R161" s="62">
        <v>0.987498548</v>
      </c>
      <c r="S161" s="62">
        <v>0.668503055</v>
      </c>
      <c r="T161" s="62">
        <v>0.543779405</v>
      </c>
      <c r="U161" s="62">
        <v>0.995901232</v>
      </c>
      <c r="V161" s="62">
        <v>0.668503055</v>
      </c>
      <c r="W161" s="62">
        <v>0.987498548</v>
      </c>
      <c r="X161" s="62">
        <v>0.436573172</v>
      </c>
      <c r="Y161" s="62">
        <v>0.990937539</v>
      </c>
      <c r="Z161" s="62">
        <v>0.581407982</v>
      </c>
      <c r="AA161" s="62">
        <v>0.204404942</v>
      </c>
      <c r="AB161" s="62">
        <v>0.17269852</v>
      </c>
      <c r="AC161" s="62">
        <v>0.078855818</v>
      </c>
      <c r="AD161" s="62">
        <v>0.914798206</v>
      </c>
      <c r="AE161" s="62">
        <v>0.14519573</v>
      </c>
      <c r="AF161" s="62">
        <v>0.951530932</v>
      </c>
      <c r="AG161" s="62">
        <v>0.554545455</v>
      </c>
      <c r="AH161" s="62">
        <v>0.100826446</v>
      </c>
      <c r="AI161" s="62">
        <v>0.170629371</v>
      </c>
      <c r="AJ161" s="62">
        <v>0.317498247</v>
      </c>
      <c r="AK161" s="62">
        <v>0.997936942</v>
      </c>
      <c r="AL161" s="62">
        <v>0.989884512</v>
      </c>
      <c r="AM161" s="62">
        <v>0.993894417</v>
      </c>
      <c r="AN161" s="62">
        <v>0.650547073</v>
      </c>
      <c r="AO161" s="49"/>
      <c r="AP161" s="49"/>
      <c r="AQ161" s="49"/>
    </row>
    <row r="162">
      <c r="A162" s="13"/>
      <c r="B162" s="13"/>
      <c r="C162" s="46">
        <v>3.0</v>
      </c>
      <c r="D162" s="47">
        <v>1.0</v>
      </c>
      <c r="E162" s="47">
        <v>1.0</v>
      </c>
      <c r="F162" s="48">
        <v>1.0</v>
      </c>
      <c r="G162" s="48">
        <v>0.014196418</v>
      </c>
      <c r="H162" s="48">
        <v>0.997427983</v>
      </c>
      <c r="I162" s="48">
        <v>6.95E-9</v>
      </c>
      <c r="J162" s="48">
        <v>0.572722849</v>
      </c>
      <c r="K162" s="47">
        <v>1.0</v>
      </c>
      <c r="L162" s="48">
        <v>0.5</v>
      </c>
      <c r="M162" s="65">
        <v>0.035453033</v>
      </c>
      <c r="N162" s="48">
        <f t="shared" si="1"/>
        <v>0.6323171974</v>
      </c>
      <c r="O162" s="48">
        <f t="shared" si="2"/>
        <v>19.97203664</v>
      </c>
      <c r="P162" s="62">
        <v>4307.94559</v>
      </c>
      <c r="Q162" s="62">
        <v>0.079785726</v>
      </c>
      <c r="R162" s="62">
        <v>0.990527117</v>
      </c>
      <c r="S162" s="62">
        <v>0.723428776</v>
      </c>
      <c r="T162" s="62">
        <v>0.588185305</v>
      </c>
      <c r="U162" s="62">
        <v>0.996604897</v>
      </c>
      <c r="V162" s="62">
        <v>0.723428776</v>
      </c>
      <c r="W162" s="62">
        <v>0.990527117</v>
      </c>
      <c r="X162" s="62">
        <v>0.533673917</v>
      </c>
      <c r="Y162" s="62">
        <v>0.993101005</v>
      </c>
      <c r="Z162" s="62">
        <v>0.722934663</v>
      </c>
      <c r="AA162" s="62">
        <v>0.303855701</v>
      </c>
      <c r="AB162" s="62">
        <v>0.270277713</v>
      </c>
      <c r="AC162" s="62">
        <v>0.100730689</v>
      </c>
      <c r="AD162" s="62">
        <v>0.865470852</v>
      </c>
      <c r="AE162" s="62">
        <v>0.180458158</v>
      </c>
      <c r="AF162" s="62">
        <v>0.926849289</v>
      </c>
      <c r="AG162" s="62">
        <v>0.665492958</v>
      </c>
      <c r="AH162" s="62">
        <v>0.312396694</v>
      </c>
      <c r="AI162" s="62">
        <v>0.42519685</v>
      </c>
      <c r="AJ162" s="62">
        <v>0.558810066</v>
      </c>
      <c r="AK162" s="62">
        <v>0.998332269</v>
      </c>
      <c r="AL162" s="62">
        <v>0.99241878</v>
      </c>
      <c r="AM162" s="62">
        <v>0.995366742</v>
      </c>
      <c r="AN162" s="62">
        <v>0.729497493</v>
      </c>
      <c r="AO162" s="49"/>
      <c r="AP162" s="49"/>
      <c r="AQ162" s="49"/>
    </row>
    <row r="163">
      <c r="A163" s="13"/>
      <c r="B163" s="16"/>
      <c r="C163" s="46">
        <v>4.0</v>
      </c>
      <c r="D163" s="47">
        <v>1.0</v>
      </c>
      <c r="E163" s="47">
        <v>1.0</v>
      </c>
      <c r="F163" s="48">
        <v>1.0</v>
      </c>
      <c r="G163" s="48">
        <v>0.009505147</v>
      </c>
      <c r="H163" s="48">
        <v>0.99970451</v>
      </c>
      <c r="I163" s="48">
        <v>1.06E-6</v>
      </c>
      <c r="J163" s="48">
        <v>0.565105051</v>
      </c>
      <c r="K163" s="47">
        <v>1.0</v>
      </c>
      <c r="L163" s="48">
        <v>0.5</v>
      </c>
      <c r="M163" s="65">
        <v>0.081850144</v>
      </c>
      <c r="N163" s="48">
        <f t="shared" si="1"/>
        <v>0.802081528</v>
      </c>
      <c r="O163" s="48">
        <f t="shared" si="2"/>
        <v>32.19132761</v>
      </c>
      <c r="P163" s="62">
        <v>4307.94559</v>
      </c>
      <c r="Q163" s="62">
        <v>0.079990983</v>
      </c>
      <c r="R163" s="62">
        <v>0.996098136</v>
      </c>
      <c r="S163" s="62">
        <v>0.883710889</v>
      </c>
      <c r="T163" s="62">
        <v>0.62887201</v>
      </c>
      <c r="U163" s="62">
        <v>0.997618156</v>
      </c>
      <c r="V163" s="62">
        <v>0.883710889</v>
      </c>
      <c r="W163" s="62">
        <v>0.996098136</v>
      </c>
      <c r="X163" s="62">
        <v>0.716424976</v>
      </c>
      <c r="Y163" s="62">
        <v>0.996677452</v>
      </c>
      <c r="Z163" s="62">
        <v>0.916247811</v>
      </c>
      <c r="AA163" s="62">
        <v>0.629828044</v>
      </c>
      <c r="AB163" s="62">
        <v>0.604395146</v>
      </c>
      <c r="AC163" s="62">
        <v>0.408510638</v>
      </c>
      <c r="AD163" s="62">
        <v>0.860986547</v>
      </c>
      <c r="AE163" s="62">
        <v>0.554112554</v>
      </c>
      <c r="AF163" s="62">
        <v>0.927338056</v>
      </c>
      <c r="AG163" s="62">
        <v>0.478564307</v>
      </c>
      <c r="AH163" s="62">
        <v>0.79338843</v>
      </c>
      <c r="AI163" s="62">
        <v>0.597014925</v>
      </c>
      <c r="AJ163" s="62">
        <v>0.889718334</v>
      </c>
      <c r="AK163" s="62">
        <v>0.999541086</v>
      </c>
      <c r="AL163" s="62">
        <v>0.99675769</v>
      </c>
      <c r="AM163" s="62">
        <v>0.998147448</v>
      </c>
      <c r="AN163" s="62">
        <v>0.932283994</v>
      </c>
      <c r="AO163" s="49"/>
      <c r="AP163" s="49"/>
      <c r="AQ163" s="49"/>
    </row>
    <row r="164">
      <c r="A164" s="13"/>
      <c r="B164" s="51" t="s">
        <v>26</v>
      </c>
      <c r="C164" s="46">
        <v>1.0</v>
      </c>
      <c r="D164" s="47">
        <v>1.0</v>
      </c>
      <c r="E164" s="47">
        <v>1.0</v>
      </c>
      <c r="F164" s="48">
        <v>1.0</v>
      </c>
      <c r="G164" s="48">
        <v>0.010047</v>
      </c>
      <c r="H164" s="48">
        <v>0.999055</v>
      </c>
      <c r="I164" s="48">
        <v>3.3E-5</v>
      </c>
      <c r="J164" s="48">
        <v>0.566215</v>
      </c>
      <c r="K164" s="47">
        <v>1.0</v>
      </c>
      <c r="L164" s="48">
        <v>0.5</v>
      </c>
      <c r="M164" s="48">
        <v>0.145172</v>
      </c>
      <c r="N164" s="48">
        <f t="shared" si="1"/>
        <v>0.5972887631</v>
      </c>
      <c r="O164" s="48">
        <f t="shared" si="2"/>
        <v>33.92061758</v>
      </c>
      <c r="P164" s="46">
        <v>4061.758135</v>
      </c>
      <c r="Q164" s="46">
        <v>0.055099</v>
      </c>
      <c r="R164" s="46">
        <v>0.992515</v>
      </c>
      <c r="S164" s="46">
        <v>0.638306</v>
      </c>
      <c r="T164" s="46">
        <v>0.468798</v>
      </c>
      <c r="U164" s="46">
        <v>0.99521</v>
      </c>
      <c r="V164" s="46">
        <v>0.638306</v>
      </c>
      <c r="W164" s="46">
        <v>0.992515</v>
      </c>
      <c r="X164" s="46">
        <v>0.492002</v>
      </c>
      <c r="Y164" s="46">
        <v>0.993679</v>
      </c>
      <c r="Z164" s="46">
        <v>0.631479</v>
      </c>
      <c r="AA164" s="46">
        <v>0.279965</v>
      </c>
      <c r="AB164" s="46">
        <v>0.266495</v>
      </c>
      <c r="AC164" s="46">
        <v>0.149338</v>
      </c>
      <c r="AD164" s="46">
        <v>0.70852</v>
      </c>
      <c r="AE164" s="46">
        <v>0.246682</v>
      </c>
      <c r="AF164" s="46">
        <v>0.840104</v>
      </c>
      <c r="AG164" s="46">
        <v>0.259109</v>
      </c>
      <c r="AH164" s="46">
        <v>0.21157</v>
      </c>
      <c r="AI164" s="46">
        <v>0.232939</v>
      </c>
      <c r="AJ164" s="46">
        <v>0.459604</v>
      </c>
      <c r="AK164" s="46">
        <v>0.997947</v>
      </c>
      <c r="AL164" s="46">
        <v>0.994828</v>
      </c>
      <c r="AM164" s="46">
        <v>0.996385</v>
      </c>
      <c r="AN164" s="46">
        <v>0.652169</v>
      </c>
      <c r="AO164" s="64"/>
      <c r="AP164" s="64"/>
      <c r="AQ164" s="64"/>
    </row>
    <row r="165">
      <c r="A165" s="13"/>
      <c r="B165" s="13"/>
      <c r="C165" s="46">
        <v>2.0</v>
      </c>
      <c r="D165" s="47">
        <v>1.0</v>
      </c>
      <c r="E165" s="47">
        <v>1.0</v>
      </c>
      <c r="F165" s="48">
        <v>1.0</v>
      </c>
      <c r="G165" s="48">
        <v>0.007427</v>
      </c>
      <c r="H165" s="48">
        <v>0.999532</v>
      </c>
      <c r="I165" s="48">
        <v>1.0E-5</v>
      </c>
      <c r="J165" s="48">
        <v>0.56081</v>
      </c>
      <c r="K165" s="47">
        <v>1.0</v>
      </c>
      <c r="L165" s="48">
        <v>0.5</v>
      </c>
      <c r="M165" s="48">
        <v>0.117863</v>
      </c>
      <c r="N165" s="48">
        <f t="shared" si="1"/>
        <v>0.6792920948</v>
      </c>
      <c r="O165" s="48">
        <f t="shared" si="2"/>
        <v>33.71203218</v>
      </c>
      <c r="P165" s="46">
        <v>4061.758135</v>
      </c>
      <c r="Q165" s="46">
        <v>0.054833</v>
      </c>
      <c r="R165" s="46">
        <v>0.995061</v>
      </c>
      <c r="S165" s="46">
        <v>0.709522</v>
      </c>
      <c r="T165" s="46">
        <v>0.580173</v>
      </c>
      <c r="U165" s="46">
        <v>0.996308</v>
      </c>
      <c r="V165" s="46">
        <v>0.709522</v>
      </c>
      <c r="W165" s="46">
        <v>0.995061</v>
      </c>
      <c r="X165" s="46">
        <v>0.594407</v>
      </c>
      <c r="Y165" s="46">
        <v>0.99552</v>
      </c>
      <c r="Z165" s="46">
        <v>0.726545</v>
      </c>
      <c r="AA165" s="46">
        <v>0.423995</v>
      </c>
      <c r="AB165" s="46">
        <v>0.418169</v>
      </c>
      <c r="AC165" s="46">
        <v>0.239888</v>
      </c>
      <c r="AD165" s="46">
        <v>0.7713</v>
      </c>
      <c r="AE165" s="46">
        <v>0.365957</v>
      </c>
      <c r="AF165" s="46">
        <v>0.877206</v>
      </c>
      <c r="AG165" s="46">
        <v>0.502304</v>
      </c>
      <c r="AH165" s="46">
        <v>0.360331</v>
      </c>
      <c r="AI165" s="46">
        <v>0.419634</v>
      </c>
      <c r="AJ165" s="46">
        <v>0.599996</v>
      </c>
      <c r="AK165" s="46">
        <v>0.998327</v>
      </c>
      <c r="AL165" s="46">
        <v>0.996935</v>
      </c>
      <c r="AM165" s="46">
        <v>0.99763</v>
      </c>
      <c r="AN165" s="46">
        <v>0.728681</v>
      </c>
      <c r="AO165" s="64"/>
      <c r="AP165" s="64"/>
      <c r="AQ165" s="64"/>
    </row>
    <row r="166">
      <c r="A166" s="13"/>
      <c r="B166" s="13"/>
      <c r="C166" s="46">
        <v>3.0</v>
      </c>
      <c r="D166" s="47">
        <v>1.0</v>
      </c>
      <c r="E166" s="47">
        <v>1.0</v>
      </c>
      <c r="F166" s="48">
        <v>1.0</v>
      </c>
      <c r="G166" s="48">
        <v>0.008486</v>
      </c>
      <c r="H166" s="48">
        <v>0.999654</v>
      </c>
      <c r="I166" s="48">
        <v>1.3E-5</v>
      </c>
      <c r="J166" s="48">
        <v>0.563236</v>
      </c>
      <c r="K166" s="47">
        <v>1.0</v>
      </c>
      <c r="L166" s="48">
        <v>0.5</v>
      </c>
      <c r="M166" s="48">
        <v>0.124671</v>
      </c>
      <c r="N166" s="48">
        <f t="shared" si="1"/>
        <v>0.7483010038</v>
      </c>
      <c r="O166" s="48">
        <f t="shared" si="2"/>
        <v>36.53860596</v>
      </c>
      <c r="P166" s="46">
        <v>4061.758135</v>
      </c>
      <c r="Q166" s="46">
        <v>0.054797</v>
      </c>
      <c r="R166" s="46">
        <v>0.995634</v>
      </c>
      <c r="S166" s="46">
        <v>0.80937</v>
      </c>
      <c r="T166" s="46">
        <v>0.604605</v>
      </c>
      <c r="U166" s="46">
        <v>0.997053</v>
      </c>
      <c r="V166" s="46">
        <v>0.80937</v>
      </c>
      <c r="W166" s="46">
        <v>0.995634</v>
      </c>
      <c r="X166" s="46">
        <v>0.660315</v>
      </c>
      <c r="Y166" s="46">
        <v>0.996206</v>
      </c>
      <c r="Z166" s="46">
        <v>0.838752</v>
      </c>
      <c r="AA166" s="46">
        <v>0.53905</v>
      </c>
      <c r="AB166" s="46">
        <v>0.524805</v>
      </c>
      <c r="AC166" s="46">
        <v>0.294479</v>
      </c>
      <c r="AD166" s="46">
        <v>0.860987</v>
      </c>
      <c r="AE166" s="46">
        <v>0.438857</v>
      </c>
      <c r="AF166" s="46">
        <v>0.926974</v>
      </c>
      <c r="AG166" s="46">
        <v>0.520362</v>
      </c>
      <c r="AH166" s="46">
        <v>0.570248</v>
      </c>
      <c r="AI166" s="46">
        <v>0.544164</v>
      </c>
      <c r="AJ166" s="46">
        <v>0.75463</v>
      </c>
      <c r="AK166" s="46">
        <v>0.998975</v>
      </c>
      <c r="AL166" s="46">
        <v>0.996874</v>
      </c>
      <c r="AM166" s="46">
        <v>0.997923</v>
      </c>
      <c r="AN166" s="46">
        <v>0.843527</v>
      </c>
      <c r="AO166" s="64"/>
      <c r="AP166" s="64"/>
      <c r="AQ166" s="64"/>
    </row>
    <row r="167">
      <c r="A167" s="13"/>
      <c r="B167" s="16"/>
      <c r="C167" s="46">
        <v>4.0</v>
      </c>
      <c r="D167" s="47">
        <v>1.0</v>
      </c>
      <c r="E167" s="47">
        <v>1.0</v>
      </c>
      <c r="F167" s="48">
        <v>1.0</v>
      </c>
      <c r="G167" s="48">
        <v>0.009725</v>
      </c>
      <c r="H167" s="48">
        <v>0.999683</v>
      </c>
      <c r="I167" s="48">
        <v>6.0E-6</v>
      </c>
      <c r="J167" s="48">
        <v>0.565493</v>
      </c>
      <c r="K167" s="47">
        <v>1.0</v>
      </c>
      <c r="L167" s="48">
        <v>0.5</v>
      </c>
      <c r="M167" s="48">
        <v>0.109709</v>
      </c>
      <c r="N167" s="48">
        <f t="shared" si="1"/>
        <v>0.8113488002</v>
      </c>
      <c r="O167" s="48">
        <f t="shared" si="2"/>
        <v>36.44361597</v>
      </c>
      <c r="P167" s="46">
        <v>4061.758135</v>
      </c>
      <c r="Q167" s="46">
        <v>0.054965</v>
      </c>
      <c r="R167" s="46">
        <v>0.99612</v>
      </c>
      <c r="S167" s="46">
        <v>0.90147</v>
      </c>
      <c r="T167" s="46">
        <v>0.635591</v>
      </c>
      <c r="U167" s="46">
        <v>0.997698</v>
      </c>
      <c r="V167" s="46">
        <v>0.90147</v>
      </c>
      <c r="W167" s="46">
        <v>0.99612</v>
      </c>
      <c r="X167" s="46">
        <v>0.727131</v>
      </c>
      <c r="Y167" s="46">
        <v>0.99671</v>
      </c>
      <c r="Z167" s="46">
        <v>0.929585</v>
      </c>
      <c r="AA167" s="46">
        <v>0.640153</v>
      </c>
      <c r="AB167" s="46">
        <v>0.612286</v>
      </c>
      <c r="AC167" s="46">
        <v>0.436123</v>
      </c>
      <c r="AD167" s="46">
        <v>0.887892</v>
      </c>
      <c r="AE167" s="46">
        <v>0.584934</v>
      </c>
      <c r="AF167" s="46">
        <v>0.941761</v>
      </c>
      <c r="AG167" s="46">
        <v>0.471035</v>
      </c>
      <c r="AH167" s="46">
        <v>0.819835</v>
      </c>
      <c r="AI167" s="46">
        <v>0.598311</v>
      </c>
      <c r="AJ167" s="46">
        <v>0.904359</v>
      </c>
      <c r="AK167" s="46">
        <v>0.999615</v>
      </c>
      <c r="AL167" s="46">
        <v>0.996684</v>
      </c>
      <c r="AM167" s="46">
        <v>0.998147</v>
      </c>
      <c r="AN167" s="46">
        <v>0.943161</v>
      </c>
      <c r="AO167" s="64"/>
      <c r="AP167" s="64"/>
      <c r="AQ167" s="64"/>
    </row>
    <row r="168">
      <c r="A168" s="13"/>
      <c r="B168" s="51" t="s">
        <v>27</v>
      </c>
      <c r="C168" s="46">
        <v>1.0</v>
      </c>
      <c r="D168" s="47">
        <v>1.0</v>
      </c>
      <c r="E168" s="47">
        <v>1.0</v>
      </c>
      <c r="F168" s="48">
        <v>1.0</v>
      </c>
      <c r="G168" s="48">
        <v>0.001955234</v>
      </c>
      <c r="H168" s="48">
        <v>0.999549551</v>
      </c>
      <c r="I168" s="48">
        <v>4.00659E-4</v>
      </c>
      <c r="J168" s="48">
        <v>0.547059793</v>
      </c>
      <c r="K168" s="47">
        <v>1.0</v>
      </c>
      <c r="L168" s="48">
        <v>0.5</v>
      </c>
      <c r="M168" s="65">
        <v>0.218741199</v>
      </c>
      <c r="N168" s="48">
        <f t="shared" si="1"/>
        <v>0.5269902449</v>
      </c>
      <c r="O168" s="48">
        <f t="shared" si="2"/>
        <v>37.0726628</v>
      </c>
      <c r="P168" s="46">
        <v>4623.18521</v>
      </c>
      <c r="Q168" s="46">
        <v>0.156177</v>
      </c>
      <c r="R168" s="46">
        <v>0.99633</v>
      </c>
      <c r="S168" s="46">
        <v>0.420386</v>
      </c>
      <c r="T168" s="46">
        <v>0.635947</v>
      </c>
      <c r="U168" s="46">
        <v>0.995089</v>
      </c>
      <c r="V168" s="46">
        <v>0.420386</v>
      </c>
      <c r="W168" s="46">
        <v>0.99633</v>
      </c>
      <c r="X168" s="46">
        <v>0.462017</v>
      </c>
      <c r="Y168" s="46">
        <v>0.995444</v>
      </c>
      <c r="Z168" s="46">
        <v>0.366357</v>
      </c>
      <c r="AA168" s="46">
        <v>0.276257</v>
      </c>
      <c r="AB168" s="46">
        <v>0.244589</v>
      </c>
      <c r="AC168" s="46">
        <v>0.484848</v>
      </c>
      <c r="AD168" s="46">
        <v>0.071749</v>
      </c>
      <c r="AE168" s="46">
        <v>0.125</v>
      </c>
      <c r="AF168" s="46">
        <v>0.26785</v>
      </c>
      <c r="AG168" s="46">
        <v>0.425926</v>
      </c>
      <c r="AH168" s="46">
        <v>0.190083</v>
      </c>
      <c r="AI168" s="46">
        <v>0.262857</v>
      </c>
      <c r="AJ168" s="46">
        <v>0.435839</v>
      </c>
      <c r="AK168" s="46">
        <v>0.997067</v>
      </c>
      <c r="AL168" s="46">
        <v>0.999326</v>
      </c>
      <c r="AM168" s="46">
        <v>0.998195</v>
      </c>
      <c r="AN168" s="46">
        <v>0.421209</v>
      </c>
      <c r="AO168" s="49"/>
      <c r="AP168" s="49"/>
      <c r="AQ168" s="49"/>
    </row>
    <row r="169">
      <c r="A169" s="13"/>
      <c r="B169" s="13"/>
      <c r="C169" s="46">
        <v>2.0</v>
      </c>
      <c r="D169" s="47">
        <v>1.0</v>
      </c>
      <c r="E169" s="47">
        <v>1.0</v>
      </c>
      <c r="F169" s="48">
        <v>1.0</v>
      </c>
      <c r="G169" s="48">
        <v>0.002903813</v>
      </c>
      <c r="H169" s="48">
        <v>0.999792665</v>
      </c>
      <c r="I169" s="48">
        <v>1.21085E-4</v>
      </c>
      <c r="J169" s="48">
        <v>0.549972812</v>
      </c>
      <c r="K169" s="47">
        <v>1.0</v>
      </c>
      <c r="L169" s="48">
        <v>0.5</v>
      </c>
      <c r="M169" s="65">
        <v>0.179357095</v>
      </c>
      <c r="N169" s="48">
        <f t="shared" si="1"/>
        <v>0.6248963518</v>
      </c>
      <c r="O169" s="48">
        <f t="shared" si="2"/>
        <v>37.92907208</v>
      </c>
      <c r="P169" s="46">
        <v>4623.18521</v>
      </c>
      <c r="Q169" s="46">
        <v>0.156061</v>
      </c>
      <c r="R169" s="46">
        <v>0.99661</v>
      </c>
      <c r="S169" s="46">
        <v>0.539216</v>
      </c>
      <c r="T169" s="46">
        <v>0.670977</v>
      </c>
      <c r="U169" s="46">
        <v>0.995858</v>
      </c>
      <c r="V169" s="46">
        <v>0.539216</v>
      </c>
      <c r="W169" s="46">
        <v>0.99661</v>
      </c>
      <c r="X169" s="46">
        <v>0.584473</v>
      </c>
      <c r="Y169" s="46">
        <v>0.996082</v>
      </c>
      <c r="Z169" s="46">
        <v>0.552719</v>
      </c>
      <c r="AA169" s="46">
        <v>0.400202</v>
      </c>
      <c r="AB169" s="46">
        <v>0.38221</v>
      </c>
      <c r="AC169" s="46">
        <v>0.471591</v>
      </c>
      <c r="AD169" s="46">
        <v>0.372197</v>
      </c>
      <c r="AE169" s="46">
        <v>0.41604</v>
      </c>
      <c r="AF169" s="46">
        <v>0.609958</v>
      </c>
      <c r="AG169" s="46">
        <v>0.543796</v>
      </c>
      <c r="AH169" s="46">
        <v>0.246281</v>
      </c>
      <c r="AI169" s="46">
        <v>0.339022</v>
      </c>
      <c r="AJ169" s="46">
        <v>0.496133</v>
      </c>
      <c r="AK169" s="46">
        <v>0.997543</v>
      </c>
      <c r="AL169" s="46">
        <v>0.999171</v>
      </c>
      <c r="AM169" s="46">
        <v>0.998356</v>
      </c>
      <c r="AN169" s="46">
        <v>0.557975</v>
      </c>
      <c r="AO169" s="49"/>
      <c r="AP169" s="49"/>
      <c r="AQ169" s="49"/>
    </row>
    <row r="170">
      <c r="A170" s="13"/>
      <c r="B170" s="13"/>
      <c r="C170" s="46">
        <v>3.0</v>
      </c>
      <c r="D170" s="47">
        <v>1.0</v>
      </c>
      <c r="E170" s="47">
        <v>1.0</v>
      </c>
      <c r="F170" s="48">
        <v>1.0</v>
      </c>
      <c r="G170" s="48">
        <v>0.003258723</v>
      </c>
      <c r="H170" s="48">
        <v>0.999819732</v>
      </c>
      <c r="I170" s="48">
        <v>9.86E-5</v>
      </c>
      <c r="J170" s="48">
        <v>0.550929821</v>
      </c>
      <c r="K170" s="47">
        <v>1.0</v>
      </c>
      <c r="L170" s="48">
        <v>0.5</v>
      </c>
      <c r="M170" s="65">
        <v>0.173379105</v>
      </c>
      <c r="N170" s="48">
        <f t="shared" si="1"/>
        <v>0.6931446209</v>
      </c>
      <c r="O170" s="48">
        <f t="shared" si="2"/>
        <v>39.81924462</v>
      </c>
      <c r="P170" s="46">
        <v>4623.18521</v>
      </c>
      <c r="Q170" s="46">
        <v>0.156004</v>
      </c>
      <c r="R170" s="46">
        <v>0.997057</v>
      </c>
      <c r="S170" s="46">
        <v>0.625728</v>
      </c>
      <c r="T170" s="46">
        <v>0.737032</v>
      </c>
      <c r="U170" s="46">
        <v>0.996508</v>
      </c>
      <c r="V170" s="46">
        <v>0.625728</v>
      </c>
      <c r="W170" s="46">
        <v>0.997057</v>
      </c>
      <c r="X170" s="46">
        <v>0.662311</v>
      </c>
      <c r="Y170" s="46">
        <v>0.996634</v>
      </c>
      <c r="Z170" s="46">
        <v>0.641673</v>
      </c>
      <c r="AA170" s="46">
        <v>0.500272</v>
      </c>
      <c r="AB170" s="46">
        <v>0.485039</v>
      </c>
      <c r="AC170" s="46">
        <v>0.608295</v>
      </c>
      <c r="AD170" s="46">
        <v>0.591928</v>
      </c>
      <c r="AE170" s="46">
        <v>0.6</v>
      </c>
      <c r="AF170" s="46">
        <v>0.769228</v>
      </c>
      <c r="AG170" s="46">
        <v>0.604895</v>
      </c>
      <c r="AH170" s="46">
        <v>0.28595</v>
      </c>
      <c r="AI170" s="46">
        <v>0.388328</v>
      </c>
      <c r="AJ170" s="46">
        <v>0.534613</v>
      </c>
      <c r="AK170" s="46">
        <v>0.997905</v>
      </c>
      <c r="AL170" s="46">
        <v>0.999305</v>
      </c>
      <c r="AM170" s="46">
        <v>0.998604</v>
      </c>
      <c r="AN170" s="46">
        <v>0.642461</v>
      </c>
      <c r="AO170" s="49"/>
      <c r="AP170" s="49"/>
      <c r="AQ170" s="49"/>
    </row>
    <row r="171">
      <c r="A171" s="16"/>
      <c r="B171" s="16"/>
      <c r="C171" s="46">
        <v>4.0</v>
      </c>
      <c r="D171" s="47">
        <v>1.0</v>
      </c>
      <c r="E171" s="47">
        <v>1.0</v>
      </c>
      <c r="F171" s="48">
        <v>1.0</v>
      </c>
      <c r="G171" s="48">
        <v>0.007375685</v>
      </c>
      <c r="H171" s="48">
        <v>0.999920177</v>
      </c>
      <c r="I171" s="48">
        <v>1.11061E-4</v>
      </c>
      <c r="J171" s="48">
        <v>0.560470581</v>
      </c>
      <c r="K171" s="47">
        <v>1.0</v>
      </c>
      <c r="L171" s="48">
        <v>0.5</v>
      </c>
      <c r="M171" s="65">
        <v>0.17735413</v>
      </c>
      <c r="N171" s="48">
        <f t="shared" si="1"/>
        <v>0.799276435</v>
      </c>
      <c r="O171" s="48">
        <f t="shared" si="2"/>
        <v>43.76780107</v>
      </c>
      <c r="P171" s="46">
        <v>4623.18521</v>
      </c>
      <c r="Q171" s="46">
        <v>0.156069</v>
      </c>
      <c r="R171" s="46">
        <v>0.996877</v>
      </c>
      <c r="S171" s="46">
        <v>0.824598</v>
      </c>
      <c r="T171" s="46">
        <v>0.682018</v>
      </c>
      <c r="U171" s="46">
        <v>0.997531</v>
      </c>
      <c r="V171" s="46">
        <v>0.824598</v>
      </c>
      <c r="W171" s="46">
        <v>0.996877</v>
      </c>
      <c r="X171" s="46">
        <v>0.740971</v>
      </c>
      <c r="Y171" s="46">
        <v>0.997147</v>
      </c>
      <c r="Z171" s="46">
        <v>0.867869</v>
      </c>
      <c r="AA171" s="46">
        <v>0.638702</v>
      </c>
      <c r="AB171" s="46">
        <v>0.630439</v>
      </c>
      <c r="AC171" s="46">
        <v>0.544343</v>
      </c>
      <c r="AD171" s="46">
        <v>0.798206</v>
      </c>
      <c r="AE171" s="46">
        <v>0.647273</v>
      </c>
      <c r="AF171" s="46">
        <v>0.893137</v>
      </c>
      <c r="AG171" s="46">
        <v>0.502451</v>
      </c>
      <c r="AH171" s="46">
        <v>0.677686</v>
      </c>
      <c r="AI171" s="46">
        <v>0.577058</v>
      </c>
      <c r="AJ171" s="46">
        <v>0.822496</v>
      </c>
      <c r="AK171" s="46">
        <v>0.999261</v>
      </c>
      <c r="AL171" s="46">
        <v>0.997902</v>
      </c>
      <c r="AM171" s="46">
        <v>0.998581</v>
      </c>
      <c r="AN171" s="46">
        <v>0.889839</v>
      </c>
      <c r="AO171" s="49"/>
      <c r="AP171" s="49"/>
      <c r="AQ171" s="49"/>
    </row>
    <row r="172">
      <c r="A172" s="52" t="s">
        <v>104</v>
      </c>
      <c r="B172" s="53" t="s">
        <v>22</v>
      </c>
      <c r="C172" s="54">
        <v>1.0</v>
      </c>
      <c r="D172" s="55">
        <v>1.0</v>
      </c>
      <c r="E172" s="55">
        <v>1.0</v>
      </c>
      <c r="F172" s="67">
        <v>1.0</v>
      </c>
      <c r="G172" s="67">
        <v>0.0</v>
      </c>
      <c r="H172" s="67">
        <v>0.998217</v>
      </c>
      <c r="I172" s="67">
        <v>0.003388</v>
      </c>
      <c r="J172" s="67">
        <v>0.540852</v>
      </c>
      <c r="K172" s="56">
        <v>1.0</v>
      </c>
      <c r="L172" s="56">
        <v>0.5</v>
      </c>
      <c r="M172" s="56">
        <v>0.311561</v>
      </c>
      <c r="N172" s="57">
        <f t="shared" si="1"/>
        <v>0.40806609</v>
      </c>
      <c r="O172" s="57">
        <f t="shared" si="2"/>
        <v>36.6315706</v>
      </c>
      <c r="P172" s="54">
        <v>131.120007</v>
      </c>
      <c r="Q172" s="54">
        <v>0.656429</v>
      </c>
      <c r="R172" s="54">
        <v>0.996438</v>
      </c>
      <c r="S172" s="54">
        <v>0.333333</v>
      </c>
      <c r="T172" s="54">
        <v>0.332146</v>
      </c>
      <c r="U172" s="54">
        <v>0.992889</v>
      </c>
      <c r="V172" s="54">
        <v>0.333333</v>
      </c>
      <c r="W172" s="54">
        <v>0.996438</v>
      </c>
      <c r="X172" s="54">
        <v>0.332739</v>
      </c>
      <c r="Y172" s="54">
        <v>0.99466</v>
      </c>
      <c r="Z172" s="54">
        <v>0.0</v>
      </c>
      <c r="AA172" s="54">
        <v>0.0</v>
      </c>
      <c r="AB172" s="54">
        <v>0.0</v>
      </c>
      <c r="AC172" s="54">
        <v>0.0</v>
      </c>
      <c r="AD172" s="54">
        <v>0.0</v>
      </c>
      <c r="AE172" s="54">
        <v>0.0</v>
      </c>
      <c r="AF172" s="54">
        <v>0.0</v>
      </c>
      <c r="AG172" s="54">
        <v>0.0</v>
      </c>
      <c r="AH172" s="54">
        <v>0.0</v>
      </c>
      <c r="AI172" s="54">
        <v>0.0</v>
      </c>
      <c r="AJ172" s="54">
        <v>0.0</v>
      </c>
      <c r="AK172" s="54">
        <v>0.996438</v>
      </c>
      <c r="AL172" s="54">
        <v>1.0</v>
      </c>
      <c r="AM172" s="54">
        <v>0.998216</v>
      </c>
      <c r="AN172" s="54">
        <v>0.0</v>
      </c>
      <c r="AO172" s="58"/>
      <c r="AP172" s="58"/>
      <c r="AQ172" s="58"/>
    </row>
    <row r="173">
      <c r="A173" s="13"/>
      <c r="B173" s="13"/>
      <c r="C173" s="54">
        <v>2.0</v>
      </c>
      <c r="D173" s="55">
        <v>1.0</v>
      </c>
      <c r="E173" s="55">
        <v>1.0</v>
      </c>
      <c r="F173" s="67">
        <v>1.0</v>
      </c>
      <c r="G173" s="67">
        <v>4.5E-5</v>
      </c>
      <c r="H173" s="67">
        <v>0.998326</v>
      </c>
      <c r="I173" s="67">
        <v>0.012236</v>
      </c>
      <c r="J173" s="67">
        <v>0.541079</v>
      </c>
      <c r="K173" s="56">
        <v>1.0</v>
      </c>
      <c r="L173" s="56">
        <v>0.5</v>
      </c>
      <c r="M173" s="56">
        <v>0.385944</v>
      </c>
      <c r="N173" s="57">
        <f t="shared" si="1"/>
        <v>0.4233354618</v>
      </c>
      <c r="O173" s="57">
        <f t="shared" si="2"/>
        <v>40.79627469</v>
      </c>
      <c r="P173" s="54">
        <v>131.120007</v>
      </c>
      <c r="Q173" s="54">
        <v>0.777651</v>
      </c>
      <c r="R173" s="54">
        <v>0.996468</v>
      </c>
      <c r="S173" s="54">
        <v>0.338134</v>
      </c>
      <c r="T173" s="54">
        <v>0.998823</v>
      </c>
      <c r="U173" s="54">
        <v>0.996481</v>
      </c>
      <c r="V173" s="54">
        <v>0.338134</v>
      </c>
      <c r="W173" s="54">
        <v>0.996468</v>
      </c>
      <c r="X173" s="54">
        <v>0.342266</v>
      </c>
      <c r="Y173" s="54">
        <v>0.994735</v>
      </c>
      <c r="Z173" s="54">
        <v>0.084956</v>
      </c>
      <c r="AA173" s="54">
        <v>0.091806</v>
      </c>
      <c r="AB173" s="54">
        <v>0.016718</v>
      </c>
      <c r="AC173" s="54">
        <v>1.0</v>
      </c>
      <c r="AD173" s="54">
        <v>0.004484</v>
      </c>
      <c r="AE173" s="54">
        <v>0.008929</v>
      </c>
      <c r="AF173" s="54">
        <v>0.066965</v>
      </c>
      <c r="AG173" s="54">
        <v>1.0</v>
      </c>
      <c r="AH173" s="54">
        <v>0.009917</v>
      </c>
      <c r="AI173" s="54">
        <v>0.01964</v>
      </c>
      <c r="AJ173" s="54">
        <v>0.099586</v>
      </c>
      <c r="AK173" s="54">
        <v>0.996468</v>
      </c>
      <c r="AL173" s="54">
        <v>1.0</v>
      </c>
      <c r="AM173" s="54">
        <v>0.998231</v>
      </c>
      <c r="AN173" s="54">
        <v>0.091946</v>
      </c>
      <c r="AO173" s="58"/>
      <c r="AP173" s="58"/>
      <c r="AQ173" s="58"/>
    </row>
    <row r="174">
      <c r="A174" s="13"/>
      <c r="B174" s="13"/>
      <c r="C174" s="54">
        <v>3.0</v>
      </c>
      <c r="D174" s="55">
        <v>1.0</v>
      </c>
      <c r="E174" s="55">
        <v>1.0</v>
      </c>
      <c r="F174" s="67">
        <v>1.0</v>
      </c>
      <c r="G174" s="67">
        <v>0.003517</v>
      </c>
      <c r="H174" s="67">
        <v>0.999599</v>
      </c>
      <c r="I174" s="67">
        <v>0.018257</v>
      </c>
      <c r="J174" s="67">
        <v>0.551537</v>
      </c>
      <c r="K174" s="56">
        <v>1.0</v>
      </c>
      <c r="L174" s="56">
        <v>0.5</v>
      </c>
      <c r="M174" s="56">
        <v>0.413966</v>
      </c>
      <c r="N174" s="57">
        <f t="shared" si="1"/>
        <v>0.5921656932</v>
      </c>
      <c r="O174" s="57">
        <f t="shared" si="2"/>
        <v>51.31588404</v>
      </c>
      <c r="P174" s="54">
        <v>131.120007</v>
      </c>
      <c r="Q174" s="54">
        <v>0.882912</v>
      </c>
      <c r="R174" s="54">
        <v>0.995973</v>
      </c>
      <c r="S174" s="54">
        <v>0.525337</v>
      </c>
      <c r="T174" s="54">
        <v>0.643484</v>
      </c>
      <c r="U174" s="54">
        <v>0.995901</v>
      </c>
      <c r="V174" s="54">
        <v>0.525337</v>
      </c>
      <c r="W174" s="54">
        <v>0.995973</v>
      </c>
      <c r="X174" s="54">
        <v>0.536993</v>
      </c>
      <c r="Y174" s="54">
        <v>0.995591</v>
      </c>
      <c r="Z174" s="54">
        <v>0.526209</v>
      </c>
      <c r="AA174" s="54">
        <v>0.323956</v>
      </c>
      <c r="AB174" s="54">
        <v>0.3169</v>
      </c>
      <c r="AC174" s="54">
        <v>0.222535</v>
      </c>
      <c r="AD174" s="54">
        <v>0.35426</v>
      </c>
      <c r="AE174" s="54">
        <v>0.273356</v>
      </c>
      <c r="AF174" s="54">
        <v>0.594844</v>
      </c>
      <c r="AG174" s="54">
        <v>0.710526</v>
      </c>
      <c r="AH174" s="54">
        <v>0.22314</v>
      </c>
      <c r="AI174" s="54">
        <v>0.339623</v>
      </c>
      <c r="AJ174" s="54">
        <v>0.472321</v>
      </c>
      <c r="AK174" s="54">
        <v>0.997391</v>
      </c>
      <c r="AL174" s="54">
        <v>0.99861</v>
      </c>
      <c r="AM174" s="54">
        <v>0.998</v>
      </c>
      <c r="AN174" s="54">
        <v>0.518603</v>
      </c>
      <c r="AO174" s="58"/>
      <c r="AP174" s="58"/>
      <c r="AQ174" s="58"/>
    </row>
    <row r="175">
      <c r="A175" s="13"/>
      <c r="B175" s="16"/>
      <c r="C175" s="54">
        <v>4.0</v>
      </c>
      <c r="D175" s="55">
        <v>1.0</v>
      </c>
      <c r="E175" s="55">
        <v>1.0</v>
      </c>
      <c r="F175" s="67">
        <v>1.0</v>
      </c>
      <c r="G175" s="67">
        <v>0.009092</v>
      </c>
      <c r="H175" s="67">
        <v>0.999749</v>
      </c>
      <c r="I175" s="67">
        <v>0.003264</v>
      </c>
      <c r="J175" s="67">
        <v>0.564273</v>
      </c>
      <c r="K175" s="56">
        <v>1.0</v>
      </c>
      <c r="L175" s="56">
        <v>0.5</v>
      </c>
      <c r="M175" s="56">
        <v>0.311909</v>
      </c>
      <c r="N175" s="57">
        <f t="shared" si="1"/>
        <v>0.8419272766</v>
      </c>
      <c r="O175" s="57">
        <f t="shared" si="2"/>
        <v>56.59471933</v>
      </c>
      <c r="P175" s="54">
        <v>131.120007</v>
      </c>
      <c r="Q175" s="54">
        <v>0.931501</v>
      </c>
      <c r="R175" s="54">
        <v>0.996855</v>
      </c>
      <c r="S175" s="54">
        <v>0.932037</v>
      </c>
      <c r="T175" s="54">
        <v>0.66777</v>
      </c>
      <c r="U175" s="54">
        <v>0.998077</v>
      </c>
      <c r="V175" s="54">
        <v>0.932037</v>
      </c>
      <c r="W175" s="54">
        <v>0.996855</v>
      </c>
      <c r="X175" s="54">
        <v>0.760356</v>
      </c>
      <c r="Y175" s="54">
        <v>0.997294</v>
      </c>
      <c r="Z175" s="54">
        <v>0.953376</v>
      </c>
      <c r="AA175" s="54">
        <v>0.696118</v>
      </c>
      <c r="AB175" s="54">
        <v>0.672061</v>
      </c>
      <c r="AC175" s="54">
        <v>0.450216</v>
      </c>
      <c r="AD175" s="54">
        <v>0.932735</v>
      </c>
      <c r="AE175" s="54">
        <v>0.607299</v>
      </c>
      <c r="AF175" s="54">
        <v>0.965254</v>
      </c>
      <c r="AG175" s="54">
        <v>0.553326</v>
      </c>
      <c r="AH175" s="54">
        <v>0.866116</v>
      </c>
      <c r="AI175" s="54">
        <v>0.675258</v>
      </c>
      <c r="AJ175" s="54">
        <v>0.929804</v>
      </c>
      <c r="AK175" s="54">
        <v>0.999766</v>
      </c>
      <c r="AL175" s="54">
        <v>0.997258</v>
      </c>
      <c r="AM175" s="54">
        <v>0.998511</v>
      </c>
      <c r="AN175" s="54">
        <v>0.965515</v>
      </c>
      <c r="AO175" s="58"/>
      <c r="AP175" s="58"/>
      <c r="AQ175" s="58"/>
    </row>
    <row r="176">
      <c r="A176" s="13"/>
      <c r="B176" s="59" t="s">
        <v>23</v>
      </c>
      <c r="C176" s="54">
        <v>1.0</v>
      </c>
      <c r="D176" s="55">
        <v>1.0</v>
      </c>
      <c r="E176" s="55">
        <v>1.0</v>
      </c>
      <c r="F176" s="67">
        <v>1.0</v>
      </c>
      <c r="G176" s="67">
        <v>0.005336563</v>
      </c>
      <c r="H176" s="67">
        <v>0.999466717</v>
      </c>
      <c r="I176" s="67">
        <v>0.274343344</v>
      </c>
      <c r="J176" s="67">
        <v>0.554343909</v>
      </c>
      <c r="K176" s="56">
        <v>1.0</v>
      </c>
      <c r="L176" s="56">
        <v>0.5</v>
      </c>
      <c r="M176" s="56">
        <v>0.650831666</v>
      </c>
      <c r="N176" s="57">
        <f t="shared" si="1"/>
        <v>0.4350542245</v>
      </c>
      <c r="O176" s="57">
        <f t="shared" si="2"/>
        <v>51.11089715</v>
      </c>
      <c r="P176" s="56">
        <v>728.6126512</v>
      </c>
      <c r="Q176" s="56">
        <v>0.589439869</v>
      </c>
      <c r="R176" s="56">
        <v>0.993413722</v>
      </c>
      <c r="S176" s="56">
        <v>0.354852169</v>
      </c>
      <c r="T176" s="56">
        <v>0.348786797</v>
      </c>
      <c r="U176" s="56">
        <v>0.993362087</v>
      </c>
      <c r="V176" s="56">
        <v>0.354852169</v>
      </c>
      <c r="W176" s="56">
        <v>0.993413722</v>
      </c>
      <c r="X176" s="56">
        <v>0.351349443</v>
      </c>
      <c r="Y176" s="56">
        <v>0.993384235</v>
      </c>
      <c r="Z176" s="56">
        <v>0.0</v>
      </c>
      <c r="AA176" s="56">
        <v>0.072075325</v>
      </c>
      <c r="AB176" s="56">
        <v>0.072065988</v>
      </c>
      <c r="AC176" s="56">
        <v>0.0</v>
      </c>
      <c r="AD176" s="56">
        <v>0.0</v>
      </c>
      <c r="AE176" s="56">
        <v>0.0</v>
      </c>
      <c r="AF176" s="56">
        <v>0.0</v>
      </c>
      <c r="AG176" s="56">
        <v>0.049576784</v>
      </c>
      <c r="AH176" s="56">
        <v>0.067768595</v>
      </c>
      <c r="AI176" s="56">
        <v>0.05726257</v>
      </c>
      <c r="AJ176" s="56">
        <v>0.259882376</v>
      </c>
      <c r="AK176" s="56">
        <v>0.996783608</v>
      </c>
      <c r="AL176" s="56">
        <v>0.996787912</v>
      </c>
      <c r="AM176" s="56">
        <v>0.99678576</v>
      </c>
      <c r="AN176" s="56">
        <v>0.316100556</v>
      </c>
      <c r="AO176" s="58"/>
      <c r="AP176" s="58"/>
      <c r="AQ176" s="58"/>
    </row>
    <row r="177">
      <c r="A177" s="13"/>
      <c r="B177" s="13"/>
      <c r="C177" s="54">
        <v>2.0</v>
      </c>
      <c r="D177" s="55">
        <v>1.0</v>
      </c>
      <c r="E177" s="55">
        <v>1.0</v>
      </c>
      <c r="F177" s="67">
        <v>1.0</v>
      </c>
      <c r="G177" s="67">
        <v>0.0048655</v>
      </c>
      <c r="H177" s="67">
        <v>0.999512977</v>
      </c>
      <c r="I177" s="67">
        <v>0.403268496</v>
      </c>
      <c r="J177" s="67">
        <v>0.55339183</v>
      </c>
      <c r="K177" s="56">
        <v>1.0</v>
      </c>
      <c r="L177" s="56">
        <v>0.5</v>
      </c>
      <c r="M177" s="56">
        <v>0.693794597</v>
      </c>
      <c r="N177" s="57">
        <f t="shared" si="1"/>
        <v>0.4516253427</v>
      </c>
      <c r="O177" s="57">
        <f t="shared" si="2"/>
        <v>53.62401746</v>
      </c>
      <c r="P177" s="56">
        <v>728.6126512</v>
      </c>
      <c r="Q177" s="56">
        <v>0.627072811</v>
      </c>
      <c r="R177" s="56">
        <v>0.994028901</v>
      </c>
      <c r="S177" s="56">
        <v>0.366048463</v>
      </c>
      <c r="T177" s="56">
        <v>0.359336572</v>
      </c>
      <c r="U177" s="56">
        <v>0.993659934</v>
      </c>
      <c r="V177" s="56">
        <v>0.366048463</v>
      </c>
      <c r="W177" s="56">
        <v>0.994028901</v>
      </c>
      <c r="X177" s="56">
        <v>0.362332551</v>
      </c>
      <c r="Y177" s="56">
        <v>0.993841581</v>
      </c>
      <c r="Z177" s="56">
        <v>0.0</v>
      </c>
      <c r="AA177" s="56">
        <v>0.120190226</v>
      </c>
      <c r="AB177" s="56">
        <v>0.120045046</v>
      </c>
      <c r="AC177" s="56">
        <v>0.0</v>
      </c>
      <c r="AD177" s="56">
        <v>0.0</v>
      </c>
      <c r="AE177" s="56">
        <v>0.0</v>
      </c>
      <c r="AF177" s="56">
        <v>0.0</v>
      </c>
      <c r="AG177" s="56">
        <v>0.081009296</v>
      </c>
      <c r="AH177" s="56">
        <v>0.100826446</v>
      </c>
      <c r="AI177" s="56">
        <v>0.089837997</v>
      </c>
      <c r="AJ177" s="56">
        <v>0.317057579</v>
      </c>
      <c r="AK177" s="56">
        <v>0.997000419</v>
      </c>
      <c r="AL177" s="56">
        <v>0.997318942</v>
      </c>
      <c r="AM177" s="56">
        <v>0.997159655</v>
      </c>
      <c r="AN177" s="56">
        <v>0.400246632</v>
      </c>
      <c r="AO177" s="58"/>
      <c r="AP177" s="58"/>
      <c r="AQ177" s="58"/>
    </row>
    <row r="178">
      <c r="A178" s="13"/>
      <c r="B178" s="13"/>
      <c r="C178" s="54">
        <v>3.0</v>
      </c>
      <c r="D178" s="55">
        <v>1.0</v>
      </c>
      <c r="E178" s="55">
        <v>1.0</v>
      </c>
      <c r="F178" s="67">
        <v>1.0</v>
      </c>
      <c r="G178" s="67">
        <v>0.006885263</v>
      </c>
      <c r="H178" s="67">
        <v>0.99993113</v>
      </c>
      <c r="I178" s="67">
        <v>0.477414589</v>
      </c>
      <c r="J178" s="67">
        <v>0.559552899</v>
      </c>
      <c r="K178" s="56">
        <v>1.0</v>
      </c>
      <c r="L178" s="56">
        <v>0.5</v>
      </c>
      <c r="M178" s="56">
        <v>0.714956285</v>
      </c>
      <c r="N178" s="57">
        <f t="shared" si="1"/>
        <v>0.6850695242</v>
      </c>
      <c r="O178" s="57">
        <f t="shared" si="2"/>
        <v>69.68713085</v>
      </c>
      <c r="P178" s="56">
        <v>728.6126512</v>
      </c>
      <c r="Q178" s="56">
        <v>0.686639786</v>
      </c>
      <c r="R178" s="56">
        <v>0.995784094</v>
      </c>
      <c r="S178" s="56">
        <v>0.657662223</v>
      </c>
      <c r="T178" s="56">
        <v>0.576592912</v>
      </c>
      <c r="U178" s="56">
        <v>0.996462548</v>
      </c>
      <c r="V178" s="56">
        <v>0.657662223</v>
      </c>
      <c r="W178" s="56">
        <v>0.995784094</v>
      </c>
      <c r="X178" s="56">
        <v>0.608998561</v>
      </c>
      <c r="Y178" s="56">
        <v>0.996095759</v>
      </c>
      <c r="Z178" s="56">
        <v>0.719455772</v>
      </c>
      <c r="AA178" s="56">
        <v>0.485117551</v>
      </c>
      <c r="AB178" s="56">
        <v>0.481216668</v>
      </c>
      <c r="AC178" s="56">
        <v>0.260053619</v>
      </c>
      <c r="AD178" s="56">
        <v>0.434977579</v>
      </c>
      <c r="AE178" s="56">
        <v>0.325503356</v>
      </c>
      <c r="AF178" s="56">
        <v>0.659136266</v>
      </c>
      <c r="AG178" s="56">
        <v>0.471181556</v>
      </c>
      <c r="AH178" s="56">
        <v>0.540495868</v>
      </c>
      <c r="AI178" s="56">
        <v>0.503464203</v>
      </c>
      <c r="AJ178" s="56">
        <v>0.734602136</v>
      </c>
      <c r="AK178" s="56">
        <v>0.998543559</v>
      </c>
      <c r="AL178" s="56">
        <v>0.997513222</v>
      </c>
      <c r="AM178" s="56">
        <v>0.998028125</v>
      </c>
      <c r="AN178" s="56">
        <v>0.769103713</v>
      </c>
      <c r="AO178" s="58"/>
      <c r="AP178" s="58"/>
      <c r="AQ178" s="58"/>
    </row>
    <row r="179">
      <c r="A179" s="13"/>
      <c r="B179" s="16"/>
      <c r="C179" s="54">
        <v>4.0</v>
      </c>
      <c r="D179" s="55">
        <v>1.0</v>
      </c>
      <c r="E179" s="55">
        <v>1.0</v>
      </c>
      <c r="F179" s="67">
        <v>1.0</v>
      </c>
      <c r="G179" s="67">
        <v>0.007827389</v>
      </c>
      <c r="H179" s="67">
        <v>0.999884742</v>
      </c>
      <c r="I179" s="67">
        <v>1.45042E-4</v>
      </c>
      <c r="J179" s="67">
        <v>0.561457499</v>
      </c>
      <c r="K179" s="56">
        <v>1.0</v>
      </c>
      <c r="L179" s="56">
        <v>0.5</v>
      </c>
      <c r="M179" s="56">
        <v>0.185476213</v>
      </c>
      <c r="N179" s="57">
        <f t="shared" si="1"/>
        <v>0.8517335998</v>
      </c>
      <c r="O179" s="57">
        <f t="shared" si="2"/>
        <v>46.29110587</v>
      </c>
      <c r="P179" s="56">
        <v>728.6126512</v>
      </c>
      <c r="Q179" s="56">
        <v>0.945137739</v>
      </c>
      <c r="R179" s="56">
        <v>0.997509174</v>
      </c>
      <c r="S179" s="56">
        <v>0.900823915</v>
      </c>
      <c r="T179" s="56">
        <v>0.713283192</v>
      </c>
      <c r="U179" s="56">
        <v>0.998207004</v>
      </c>
      <c r="V179" s="56">
        <v>0.900823915</v>
      </c>
      <c r="W179" s="56">
        <v>0.997509174</v>
      </c>
      <c r="X179" s="56">
        <v>0.788147503</v>
      </c>
      <c r="Y179" s="56">
        <v>0.997766383</v>
      </c>
      <c r="Z179" s="56">
        <v>0.933584518</v>
      </c>
      <c r="AA179" s="56">
        <v>0.728519279</v>
      </c>
      <c r="AB179" s="56">
        <v>0.715352864</v>
      </c>
      <c r="AC179" s="56">
        <v>0.545714286</v>
      </c>
      <c r="AD179" s="56">
        <v>0.856502242</v>
      </c>
      <c r="AE179" s="56">
        <v>0.666666667</v>
      </c>
      <c r="AF179" s="56">
        <v>0.925157189</v>
      </c>
      <c r="AG179" s="56">
        <v>0.594438007</v>
      </c>
      <c r="AH179" s="56">
        <v>0.847933884</v>
      </c>
      <c r="AI179" s="56">
        <v>0.698910082</v>
      </c>
      <c r="AJ179" s="56">
        <v>0.920137944</v>
      </c>
      <c r="AK179" s="56">
        <v>0.999697284</v>
      </c>
      <c r="AL179" s="56">
        <v>0.998035618</v>
      </c>
      <c r="AM179" s="56">
        <v>0.99886576</v>
      </c>
      <c r="AN179" s="56">
        <v>0.955855965</v>
      </c>
      <c r="AO179" s="58"/>
      <c r="AP179" s="58"/>
      <c r="AQ179" s="58"/>
    </row>
    <row r="180">
      <c r="A180" s="13"/>
      <c r="B180" s="59" t="s">
        <v>24</v>
      </c>
      <c r="C180" s="54">
        <v>1.0</v>
      </c>
      <c r="D180" s="55">
        <v>1.0</v>
      </c>
      <c r="E180" s="55">
        <v>1.0</v>
      </c>
      <c r="F180" s="67">
        <v>1.0</v>
      </c>
      <c r="G180" s="67">
        <v>0.030844945</v>
      </c>
      <c r="H180" s="67">
        <v>0.994980629</v>
      </c>
      <c r="I180" s="67">
        <v>0.006822259</v>
      </c>
      <c r="J180" s="67">
        <v>0.598334077</v>
      </c>
      <c r="K180" s="56">
        <v>1.0</v>
      </c>
      <c r="L180" s="67">
        <v>0.5</v>
      </c>
      <c r="M180" s="67">
        <v>0.355857478</v>
      </c>
      <c r="N180" s="57">
        <f t="shared" si="1"/>
        <v>0.5785386119</v>
      </c>
      <c r="O180" s="57">
        <f t="shared" si="2"/>
        <v>47.63320984</v>
      </c>
      <c r="P180" s="56">
        <v>3777.827588</v>
      </c>
      <c r="Q180" s="56">
        <v>0.019691662</v>
      </c>
      <c r="R180" s="56">
        <v>0.979879804</v>
      </c>
      <c r="S180" s="56">
        <v>0.663763606</v>
      </c>
      <c r="T180" s="56">
        <v>0.42808396</v>
      </c>
      <c r="U180" s="56">
        <v>0.995493279</v>
      </c>
      <c r="V180" s="56">
        <v>0.663763606</v>
      </c>
      <c r="W180" s="56">
        <v>0.979879804</v>
      </c>
      <c r="X180" s="56">
        <v>0.472740059</v>
      </c>
      <c r="Y180" s="56">
        <v>0.987151549</v>
      </c>
      <c r="Z180" s="56">
        <v>0.732788403</v>
      </c>
      <c r="AA180" s="56">
        <v>0.229259682</v>
      </c>
      <c r="AB180" s="56">
        <v>0.161742585</v>
      </c>
      <c r="AC180" s="56">
        <v>0.217550274</v>
      </c>
      <c r="AD180" s="56">
        <v>0.533632287</v>
      </c>
      <c r="AE180" s="56">
        <v>0.309090909</v>
      </c>
      <c r="AF180" s="56">
        <v>0.729827927</v>
      </c>
      <c r="AG180" s="56">
        <v>0.068036853</v>
      </c>
      <c r="AH180" s="56">
        <v>0.476033058</v>
      </c>
      <c r="AI180" s="56">
        <v>0.119057462</v>
      </c>
      <c r="AJ180" s="56">
        <v>0.684056385</v>
      </c>
      <c r="AK180" s="56">
        <v>0.998664752</v>
      </c>
      <c r="AL180" s="56">
        <v>0.981625472</v>
      </c>
      <c r="AM180" s="56">
        <v>0.990071805</v>
      </c>
      <c r="AN180" s="56">
        <v>0.788176324</v>
      </c>
      <c r="AO180" s="58"/>
      <c r="AP180" s="58"/>
      <c r="AQ180" s="58"/>
    </row>
    <row r="181">
      <c r="A181" s="13"/>
      <c r="B181" s="13"/>
      <c r="C181" s="54">
        <v>2.0</v>
      </c>
      <c r="D181" s="55">
        <v>1.0</v>
      </c>
      <c r="E181" s="55">
        <v>1.0</v>
      </c>
      <c r="F181" s="67">
        <v>1.0</v>
      </c>
      <c r="G181" s="67">
        <v>0.030025424</v>
      </c>
      <c r="H181" s="67">
        <v>0.995196664</v>
      </c>
      <c r="I181" s="67">
        <v>0.006437768</v>
      </c>
      <c r="J181" s="67">
        <v>0.597209458</v>
      </c>
      <c r="K181" s="56">
        <v>1.0</v>
      </c>
      <c r="L181" s="67">
        <v>0.5</v>
      </c>
      <c r="M181" s="67">
        <v>0.352335836</v>
      </c>
      <c r="N181" s="57">
        <f t="shared" si="1"/>
        <v>0.5734583845</v>
      </c>
      <c r="O181" s="57">
        <f t="shared" si="2"/>
        <v>47.19368301</v>
      </c>
      <c r="P181" s="56">
        <v>3777.827588</v>
      </c>
      <c r="Q181" s="56">
        <v>0.019616486</v>
      </c>
      <c r="R181" s="56">
        <v>0.980331508</v>
      </c>
      <c r="S181" s="56">
        <v>0.649220453</v>
      </c>
      <c r="T181" s="56">
        <v>0.424818304</v>
      </c>
      <c r="U181" s="56">
        <v>0.995446446</v>
      </c>
      <c r="V181" s="56">
        <v>0.649220453</v>
      </c>
      <c r="W181" s="56">
        <v>0.980331508</v>
      </c>
      <c r="X181" s="56">
        <v>0.467555462</v>
      </c>
      <c r="Y181" s="56">
        <v>0.987376866</v>
      </c>
      <c r="Z181" s="56">
        <v>0.720266655</v>
      </c>
      <c r="AA181" s="56">
        <v>0.226841423</v>
      </c>
      <c r="AB181" s="56">
        <v>0.161592662</v>
      </c>
      <c r="AC181" s="56">
        <v>0.207089552</v>
      </c>
      <c r="AD181" s="56">
        <v>0.497757848</v>
      </c>
      <c r="AE181" s="56">
        <v>0.292490119</v>
      </c>
      <c r="AF181" s="56">
        <v>0.704873684</v>
      </c>
      <c r="AG181" s="56">
        <v>0.068739373</v>
      </c>
      <c r="AH181" s="56">
        <v>0.467768595</v>
      </c>
      <c r="AI181" s="56">
        <v>0.119864464</v>
      </c>
      <c r="AJ181" s="56">
        <v>0.678257509</v>
      </c>
      <c r="AK181" s="56">
        <v>0.998625988</v>
      </c>
      <c r="AL181" s="56">
        <v>0.982134916</v>
      </c>
      <c r="AM181" s="56">
        <v>0.990311803</v>
      </c>
      <c r="AN181" s="56">
        <v>0.781581051</v>
      </c>
      <c r="AO181" s="58"/>
      <c r="AP181" s="58"/>
      <c r="AQ181" s="58"/>
    </row>
    <row r="182">
      <c r="A182" s="13"/>
      <c r="B182" s="13"/>
      <c r="C182" s="54">
        <v>3.0</v>
      </c>
      <c r="D182" s="55">
        <v>1.0</v>
      </c>
      <c r="E182" s="55">
        <v>1.0</v>
      </c>
      <c r="F182" s="67">
        <v>1.0</v>
      </c>
      <c r="G182" s="67">
        <v>0.027579769</v>
      </c>
      <c r="H182" s="67">
        <v>0.995965689</v>
      </c>
      <c r="I182" s="67">
        <v>0.00465053</v>
      </c>
      <c r="J182" s="67">
        <v>0.59537502</v>
      </c>
      <c r="K182" s="56">
        <v>1.0</v>
      </c>
      <c r="L182" s="67">
        <v>0.5</v>
      </c>
      <c r="M182" s="67">
        <v>0.333619353</v>
      </c>
      <c r="N182" s="57">
        <f t="shared" si="1"/>
        <v>0.6338621075</v>
      </c>
      <c r="O182" s="57">
        <f t="shared" si="2"/>
        <v>49.03400517</v>
      </c>
      <c r="P182" s="56">
        <v>3777.827588</v>
      </c>
      <c r="Q182" s="56">
        <v>0.019671857</v>
      </c>
      <c r="R182" s="56">
        <v>0.983076149</v>
      </c>
      <c r="S182" s="56">
        <v>0.796435554</v>
      </c>
      <c r="T182" s="56">
        <v>0.442319572</v>
      </c>
      <c r="U182" s="56">
        <v>0.996049275</v>
      </c>
      <c r="V182" s="56">
        <v>0.796435554</v>
      </c>
      <c r="W182" s="56">
        <v>0.983076149</v>
      </c>
      <c r="X182" s="56">
        <v>0.506472669</v>
      </c>
      <c r="Y182" s="56">
        <v>0.988899434</v>
      </c>
      <c r="Z182" s="56">
        <v>0.84098129</v>
      </c>
      <c r="AA182" s="56">
        <v>0.30662346</v>
      </c>
      <c r="AB182" s="56">
        <v>0.225129641</v>
      </c>
      <c r="AC182" s="56">
        <v>0.224287485</v>
      </c>
      <c r="AD182" s="56">
        <v>0.811659193</v>
      </c>
      <c r="AE182" s="56">
        <v>0.351456311</v>
      </c>
      <c r="AF182" s="56">
        <v>0.89970622</v>
      </c>
      <c r="AG182" s="56">
        <v>0.103547736</v>
      </c>
      <c r="AH182" s="56">
        <v>0.59338843</v>
      </c>
      <c r="AI182" s="56">
        <v>0.17632613</v>
      </c>
      <c r="AJ182" s="56">
        <v>0.765136497</v>
      </c>
      <c r="AK182" s="56">
        <v>0.999123495</v>
      </c>
      <c r="AL182" s="56">
        <v>0.984259039</v>
      </c>
      <c r="AM182" s="56">
        <v>0.991635567</v>
      </c>
      <c r="AN182" s="56">
        <v>0.864011175</v>
      </c>
      <c r="AO182" s="58"/>
      <c r="AP182" s="58"/>
      <c r="AQ182" s="58"/>
    </row>
    <row r="183">
      <c r="A183" s="13"/>
      <c r="B183" s="16"/>
      <c r="C183" s="54">
        <v>4.0</v>
      </c>
      <c r="D183" s="55">
        <v>1.0</v>
      </c>
      <c r="E183" s="55">
        <v>1.0</v>
      </c>
      <c r="F183" s="67">
        <v>1.0</v>
      </c>
      <c r="G183" s="67">
        <v>0.012447678</v>
      </c>
      <c r="H183" s="67">
        <v>0.999294254</v>
      </c>
      <c r="I183" s="67">
        <v>4.3E-5</v>
      </c>
      <c r="J183" s="67">
        <v>0.570771807</v>
      </c>
      <c r="K183" s="56">
        <v>1.0</v>
      </c>
      <c r="L183" s="67">
        <v>0.5</v>
      </c>
      <c r="M183" s="67">
        <v>0.151833052</v>
      </c>
      <c r="N183" s="57">
        <f t="shared" si="1"/>
        <v>0.7955651702</v>
      </c>
      <c r="O183" s="57">
        <f t="shared" si="2"/>
        <v>41.01587545</v>
      </c>
      <c r="P183" s="56">
        <v>3777.827588</v>
      </c>
      <c r="Q183" s="56">
        <v>0.019645411</v>
      </c>
      <c r="R183" s="56">
        <v>0.994730118</v>
      </c>
      <c r="S183" s="56">
        <v>0.930214245</v>
      </c>
      <c r="T183" s="56">
        <v>0.589038884</v>
      </c>
      <c r="U183" s="56">
        <v>0.997643943</v>
      </c>
      <c r="V183" s="56">
        <v>0.930214245</v>
      </c>
      <c r="W183" s="56">
        <v>0.994730118</v>
      </c>
      <c r="X183" s="56">
        <v>0.690855436</v>
      </c>
      <c r="Y183" s="56">
        <v>0.995817604</v>
      </c>
      <c r="Z183" s="56">
        <v>0.955565607</v>
      </c>
      <c r="AA183" s="56">
        <v>0.604618985</v>
      </c>
      <c r="AB183" s="56">
        <v>0.553892412</v>
      </c>
      <c r="AC183" s="56">
        <v>0.381404175</v>
      </c>
      <c r="AD183" s="56">
        <v>0.901345292</v>
      </c>
      <c r="AE183" s="56">
        <v>0.536</v>
      </c>
      <c r="AF183" s="56">
        <v>0.948725461</v>
      </c>
      <c r="AG183" s="56">
        <v>0.385877318</v>
      </c>
      <c r="AH183" s="56">
        <v>0.894214876</v>
      </c>
      <c r="AI183" s="56">
        <v>0.539113104</v>
      </c>
      <c r="AJ183" s="56">
        <v>0.943871858</v>
      </c>
      <c r="AK183" s="56">
        <v>0.999835158</v>
      </c>
      <c r="AL183" s="56">
        <v>0.995082569</v>
      </c>
      <c r="AM183" s="56">
        <v>0.997453202</v>
      </c>
      <c r="AN183" s="56">
        <v>0.974379048</v>
      </c>
      <c r="AO183" s="58"/>
      <c r="AP183" s="58"/>
      <c r="AQ183" s="58"/>
    </row>
    <row r="184">
      <c r="A184" s="13"/>
      <c r="B184" s="59" t="s">
        <v>25</v>
      </c>
      <c r="C184" s="54">
        <v>1.0</v>
      </c>
      <c r="D184" s="55">
        <v>1.0</v>
      </c>
      <c r="E184" s="55">
        <v>1.0</v>
      </c>
      <c r="F184" s="67">
        <v>1.0</v>
      </c>
      <c r="G184" s="67">
        <v>0.013105875</v>
      </c>
      <c r="H184" s="67">
        <v>0.996102929</v>
      </c>
      <c r="I184" s="67">
        <v>1.72E-10</v>
      </c>
      <c r="J184" s="67">
        <v>0.568367698</v>
      </c>
      <c r="K184" s="56">
        <v>1.0</v>
      </c>
      <c r="L184" s="67">
        <v>0.5</v>
      </c>
      <c r="M184" s="67">
        <v>0.019112752</v>
      </c>
      <c r="N184" s="57">
        <f t="shared" si="1"/>
        <v>0.5359099164</v>
      </c>
      <c r="O184" s="57">
        <f t="shared" si="2"/>
        <v>14.12486695</v>
      </c>
      <c r="P184" s="56">
        <v>4202.66941</v>
      </c>
      <c r="Q184" s="56">
        <v>0.079761154</v>
      </c>
      <c r="R184" s="56">
        <v>0.989748465</v>
      </c>
      <c r="S184" s="56">
        <v>0.616321399</v>
      </c>
      <c r="T184" s="56">
        <v>0.363797698</v>
      </c>
      <c r="U184" s="56">
        <v>0.994209946</v>
      </c>
      <c r="V184" s="56">
        <v>0.616321399</v>
      </c>
      <c r="W184" s="56">
        <v>0.989748465</v>
      </c>
      <c r="X184" s="56">
        <v>0.388004275</v>
      </c>
      <c r="Y184" s="56">
        <v>0.991678697</v>
      </c>
      <c r="Z184" s="56">
        <v>0.0</v>
      </c>
      <c r="AA184" s="56">
        <v>0.18342937</v>
      </c>
      <c r="AB184" s="56">
        <v>0.165845668</v>
      </c>
      <c r="AC184" s="56">
        <v>0.093719333</v>
      </c>
      <c r="AD184" s="56">
        <v>0.856502242</v>
      </c>
      <c r="AE184" s="56">
        <v>0.168951791</v>
      </c>
      <c r="AF184" s="56">
        <v>0.92178642</v>
      </c>
      <c r="AG184" s="56">
        <v>0.0</v>
      </c>
      <c r="AH184" s="56">
        <v>0.0</v>
      </c>
      <c r="AI184" s="56">
        <v>0.0</v>
      </c>
      <c r="AJ184" s="56">
        <v>0.0</v>
      </c>
      <c r="AK184" s="56">
        <v>0.997673763</v>
      </c>
      <c r="AL184" s="56">
        <v>0.992461954</v>
      </c>
      <c r="AM184" s="56">
        <v>0.995061034</v>
      </c>
      <c r="AN184" s="56">
        <v>0.591606846</v>
      </c>
      <c r="AO184" s="58"/>
      <c r="AP184" s="58"/>
      <c r="AQ184" s="58"/>
    </row>
    <row r="185">
      <c r="A185" s="13"/>
      <c r="B185" s="13"/>
      <c r="C185" s="54">
        <v>2.0</v>
      </c>
      <c r="D185" s="55">
        <v>1.0</v>
      </c>
      <c r="E185" s="55">
        <v>1.0</v>
      </c>
      <c r="F185" s="67">
        <v>1.0</v>
      </c>
      <c r="G185" s="67">
        <v>0.005259128</v>
      </c>
      <c r="H185" s="67">
        <v>0.998338856</v>
      </c>
      <c r="I185" s="67">
        <v>0.0</v>
      </c>
      <c r="J185" s="67">
        <v>0.554404116</v>
      </c>
      <c r="K185" s="56">
        <v>1.0</v>
      </c>
      <c r="L185" s="67">
        <v>0.5</v>
      </c>
      <c r="M185" s="67">
        <v>0.017391848</v>
      </c>
      <c r="N185" s="57">
        <f t="shared" si="1"/>
        <v>0.5851635056</v>
      </c>
      <c r="O185" s="57">
        <f t="shared" si="2"/>
        <v>14.3385301</v>
      </c>
      <c r="P185" s="56">
        <v>4202.66941</v>
      </c>
      <c r="Q185" s="56">
        <v>0.079788058</v>
      </c>
      <c r="R185" s="56">
        <v>0.994897893</v>
      </c>
      <c r="S185" s="56">
        <v>0.616227861</v>
      </c>
      <c r="T185" s="56">
        <v>0.719025436</v>
      </c>
      <c r="U185" s="56">
        <v>0.996628661</v>
      </c>
      <c r="V185" s="56">
        <v>0.616227861</v>
      </c>
      <c r="W185" s="56">
        <v>0.994897893</v>
      </c>
      <c r="X185" s="56">
        <v>0.466967643</v>
      </c>
      <c r="Y185" s="56">
        <v>0.994474169</v>
      </c>
      <c r="Z185" s="56">
        <v>0.420746833</v>
      </c>
      <c r="AA185" s="56">
        <v>0.276774526</v>
      </c>
      <c r="AB185" s="56">
        <v>0.276516979</v>
      </c>
      <c r="AC185" s="56">
        <v>0.230961298</v>
      </c>
      <c r="AD185" s="56">
        <v>0.829596413</v>
      </c>
      <c r="AE185" s="56">
        <v>0.361328125</v>
      </c>
      <c r="AF185" s="56">
        <v>0.909613035</v>
      </c>
      <c r="AG185" s="56">
        <v>0.928571429</v>
      </c>
      <c r="AH185" s="56">
        <v>0.021487603</v>
      </c>
      <c r="AI185" s="56">
        <v>0.042003231</v>
      </c>
      <c r="AJ185" s="56">
        <v>0.146586188</v>
      </c>
      <c r="AK185" s="56">
        <v>0.997543581</v>
      </c>
      <c r="AL185" s="56">
        <v>0.997599568</v>
      </c>
      <c r="AM185" s="56">
        <v>0.997571574</v>
      </c>
      <c r="AN185" s="56">
        <v>0.558615317</v>
      </c>
      <c r="AO185" s="58"/>
      <c r="AP185" s="58"/>
      <c r="AQ185" s="58"/>
    </row>
    <row r="186">
      <c r="A186" s="13"/>
      <c r="B186" s="13"/>
      <c r="C186" s="54">
        <v>3.0</v>
      </c>
      <c r="D186" s="55">
        <v>1.0</v>
      </c>
      <c r="E186" s="55">
        <v>1.0</v>
      </c>
      <c r="F186" s="67">
        <v>1.0</v>
      </c>
      <c r="G186" s="67">
        <v>0.009563224</v>
      </c>
      <c r="H186" s="67">
        <v>0.998445656</v>
      </c>
      <c r="I186" s="67">
        <v>0.0</v>
      </c>
      <c r="J186" s="67">
        <v>0.564258026</v>
      </c>
      <c r="K186" s="56">
        <v>1.0</v>
      </c>
      <c r="L186" s="67">
        <v>0.5</v>
      </c>
      <c r="M186" s="67">
        <v>0.017443302</v>
      </c>
      <c r="N186" s="57">
        <f t="shared" si="1"/>
        <v>0.6596490248</v>
      </c>
      <c r="O186" s="57">
        <f t="shared" si="2"/>
        <v>15.42549946</v>
      </c>
      <c r="P186" s="56">
        <v>4202.66941</v>
      </c>
      <c r="Q186" s="56">
        <v>0.07980075</v>
      </c>
      <c r="R186" s="56">
        <v>0.993581498</v>
      </c>
      <c r="S186" s="56">
        <v>0.730830466</v>
      </c>
      <c r="T186" s="56">
        <v>0.647220047</v>
      </c>
      <c r="U186" s="56">
        <v>0.996970434</v>
      </c>
      <c r="V186" s="56">
        <v>0.730830466</v>
      </c>
      <c r="W186" s="56">
        <v>0.993581498</v>
      </c>
      <c r="X186" s="56">
        <v>0.560678965</v>
      </c>
      <c r="Y186" s="56">
        <v>0.994707761</v>
      </c>
      <c r="Z186" s="56">
        <v>0.71678406</v>
      </c>
      <c r="AA186" s="56">
        <v>0.367259614</v>
      </c>
      <c r="AB186" s="56">
        <v>0.351854024</v>
      </c>
      <c r="AC186" s="56">
        <v>0.16192733</v>
      </c>
      <c r="AD186" s="56">
        <v>0.919282511</v>
      </c>
      <c r="AE186" s="56">
        <v>0.275352586</v>
      </c>
      <c r="AF186" s="56">
        <v>0.956599468</v>
      </c>
      <c r="AG186" s="56">
        <v>0.781395349</v>
      </c>
      <c r="AH186" s="56">
        <v>0.27768595</v>
      </c>
      <c r="AI186" s="56">
        <v>0.409756098</v>
      </c>
      <c r="AJ186" s="56">
        <v>0.526905739</v>
      </c>
      <c r="AK186" s="56">
        <v>0.998337461</v>
      </c>
      <c r="AL186" s="56">
        <v>0.995522936</v>
      </c>
      <c r="AM186" s="56">
        <v>0.996928212</v>
      </c>
      <c r="AN186" s="56">
        <v>0.730637488</v>
      </c>
      <c r="AO186" s="58"/>
      <c r="AP186" s="58"/>
      <c r="AQ186" s="58"/>
    </row>
    <row r="187">
      <c r="A187" s="13"/>
      <c r="B187" s="16"/>
      <c r="C187" s="54">
        <v>4.0</v>
      </c>
      <c r="D187" s="55">
        <v>1.0</v>
      </c>
      <c r="E187" s="55">
        <v>1.0</v>
      </c>
      <c r="F187" s="67">
        <v>1.0</v>
      </c>
      <c r="G187" s="67">
        <v>0.010718296</v>
      </c>
      <c r="H187" s="67">
        <v>0.999553997</v>
      </c>
      <c r="I187" s="67">
        <v>8.22E-7</v>
      </c>
      <c r="J187" s="67">
        <v>0.567481619</v>
      </c>
      <c r="K187" s="56">
        <v>1.0</v>
      </c>
      <c r="L187" s="67">
        <v>0.5</v>
      </c>
      <c r="M187" s="67">
        <v>0.078453071</v>
      </c>
      <c r="N187" s="57">
        <f t="shared" si="1"/>
        <v>0.79969996</v>
      </c>
      <c r="O187" s="57">
        <f t="shared" si="2"/>
        <v>31.59368065</v>
      </c>
      <c r="P187" s="56">
        <v>4202.66941</v>
      </c>
      <c r="Q187" s="56">
        <v>0.079796164</v>
      </c>
      <c r="R187" s="56">
        <v>0.995504468</v>
      </c>
      <c r="S187" s="56">
        <v>0.906998952</v>
      </c>
      <c r="T187" s="56">
        <v>0.612034687</v>
      </c>
      <c r="U187" s="56">
        <v>0.997575948</v>
      </c>
      <c r="V187" s="56">
        <v>0.906998952</v>
      </c>
      <c r="W187" s="56">
        <v>0.995504468</v>
      </c>
      <c r="X187" s="56">
        <v>0.70783347</v>
      </c>
      <c r="Y187" s="56">
        <v>0.996283205</v>
      </c>
      <c r="Z187" s="56">
        <v>0.933340896</v>
      </c>
      <c r="AA187" s="56">
        <v>0.614249665</v>
      </c>
      <c r="AB187" s="56">
        <v>0.578554948</v>
      </c>
      <c r="AC187" s="56">
        <v>0.408997955</v>
      </c>
      <c r="AD187" s="56">
        <v>0.896860987</v>
      </c>
      <c r="AE187" s="56">
        <v>0.561797753</v>
      </c>
      <c r="AF187" s="56">
        <v>0.946437997</v>
      </c>
      <c r="AG187" s="56">
        <v>0.427474403</v>
      </c>
      <c r="AH187" s="56">
        <v>0.828099174</v>
      </c>
      <c r="AI187" s="56">
        <v>0.563871694</v>
      </c>
      <c r="AJ187" s="56">
        <v>0.90868176</v>
      </c>
      <c r="AK187" s="56">
        <v>0.999631703</v>
      </c>
      <c r="AL187" s="56">
        <v>0.996036697</v>
      </c>
      <c r="AM187" s="56">
        <v>0.997830962</v>
      </c>
      <c r="AN187" s="56">
        <v>0.945402852</v>
      </c>
      <c r="AO187" s="58"/>
      <c r="AP187" s="58"/>
      <c r="AQ187" s="58"/>
    </row>
    <row r="188">
      <c r="A188" s="13"/>
      <c r="B188" s="59" t="s">
        <v>26</v>
      </c>
      <c r="C188" s="54">
        <v>1.0</v>
      </c>
      <c r="D188" s="55">
        <v>1.0</v>
      </c>
      <c r="E188" s="55">
        <v>1.0</v>
      </c>
      <c r="F188" s="67">
        <v>1.0</v>
      </c>
      <c r="G188" s="67">
        <v>0.012615</v>
      </c>
      <c r="H188" s="67">
        <v>0.998952</v>
      </c>
      <c r="I188" s="67">
        <v>3.5E-4</v>
      </c>
      <c r="J188" s="67">
        <v>0.571691</v>
      </c>
      <c r="K188" s="56">
        <v>1.0</v>
      </c>
      <c r="L188" s="57">
        <v>0.5</v>
      </c>
      <c r="M188" s="57">
        <v>0.215445</v>
      </c>
      <c r="N188" s="57">
        <f t="shared" si="1"/>
        <v>0.6018551335</v>
      </c>
      <c r="O188" s="57">
        <f t="shared" si="2"/>
        <v>39.90522366</v>
      </c>
      <c r="P188" s="54">
        <v>4064.099923</v>
      </c>
      <c r="Q188" s="54">
        <v>0.054962</v>
      </c>
      <c r="R188" s="54">
        <v>0.991258</v>
      </c>
      <c r="S188" s="54">
        <v>0.650417</v>
      </c>
      <c r="T188" s="54">
        <v>0.452001</v>
      </c>
      <c r="U188" s="54">
        <v>0.995359</v>
      </c>
      <c r="V188" s="54">
        <v>0.650417</v>
      </c>
      <c r="W188" s="54">
        <v>0.991258</v>
      </c>
      <c r="X188" s="54">
        <v>0.492936</v>
      </c>
      <c r="Y188" s="54">
        <v>0.993121</v>
      </c>
      <c r="Z188" s="54">
        <v>0.682486</v>
      </c>
      <c r="AA188" s="54">
        <v>0.292132</v>
      </c>
      <c r="AB188" s="54">
        <v>0.266889</v>
      </c>
      <c r="AC188" s="54">
        <v>0.129003</v>
      </c>
      <c r="AD188" s="54">
        <v>0.632287</v>
      </c>
      <c r="AE188" s="54">
        <v>0.214286</v>
      </c>
      <c r="AF188" s="54">
        <v>0.793533</v>
      </c>
      <c r="AG188" s="54">
        <v>0.228804</v>
      </c>
      <c r="AH188" s="54">
        <v>0.32562</v>
      </c>
      <c r="AI188" s="54">
        <v>0.268759</v>
      </c>
      <c r="AJ188" s="54">
        <v>0.569813</v>
      </c>
      <c r="AK188" s="54">
        <v>0.998195</v>
      </c>
      <c r="AL188" s="54">
        <v>0.993343</v>
      </c>
      <c r="AM188" s="54">
        <v>0.995763</v>
      </c>
      <c r="AN188" s="54">
        <v>0.703045</v>
      </c>
      <c r="AO188" s="69"/>
      <c r="AP188" s="69"/>
      <c r="AQ188" s="69"/>
    </row>
    <row r="189">
      <c r="A189" s="13"/>
      <c r="B189" s="13"/>
      <c r="C189" s="54">
        <v>2.0</v>
      </c>
      <c r="D189" s="55">
        <v>1.0</v>
      </c>
      <c r="E189" s="55">
        <v>1.0</v>
      </c>
      <c r="F189" s="67">
        <v>1.0</v>
      </c>
      <c r="G189" s="67">
        <v>0.012299</v>
      </c>
      <c r="H189" s="67">
        <v>0.999005</v>
      </c>
      <c r="I189" s="67">
        <v>1.73E-4</v>
      </c>
      <c r="J189" s="67">
        <v>0.571068</v>
      </c>
      <c r="K189" s="56">
        <v>1.0</v>
      </c>
      <c r="L189" s="57">
        <v>0.5</v>
      </c>
      <c r="M189" s="57">
        <v>0.191442</v>
      </c>
      <c r="N189" s="57">
        <f t="shared" si="1"/>
        <v>0.6347353839</v>
      </c>
      <c r="O189" s="57">
        <f t="shared" si="2"/>
        <v>39.29800599</v>
      </c>
      <c r="P189" s="54">
        <v>4064.099923</v>
      </c>
      <c r="Q189" s="54">
        <v>0.054789</v>
      </c>
      <c r="R189" s="54">
        <v>0.991968</v>
      </c>
      <c r="S189" s="54">
        <v>0.698248</v>
      </c>
      <c r="T189" s="54">
        <v>0.480368</v>
      </c>
      <c r="U189" s="54">
        <v>0.995772</v>
      </c>
      <c r="V189" s="54">
        <v>0.698248</v>
      </c>
      <c r="W189" s="54">
        <v>0.991968</v>
      </c>
      <c r="X189" s="54">
        <v>0.527042</v>
      </c>
      <c r="Y189" s="54">
        <v>0.99367</v>
      </c>
      <c r="Z189" s="54">
        <v>0.734342</v>
      </c>
      <c r="AA189" s="54">
        <v>0.342336</v>
      </c>
      <c r="AB189" s="54">
        <v>0.314361</v>
      </c>
      <c r="AC189" s="54">
        <v>0.143527</v>
      </c>
      <c r="AD189" s="54">
        <v>0.686099</v>
      </c>
      <c r="AE189" s="54">
        <v>0.237393</v>
      </c>
      <c r="AF189" s="54">
        <v>0.826681</v>
      </c>
      <c r="AG189" s="54">
        <v>0.299166</v>
      </c>
      <c r="AH189" s="54">
        <v>0.414876</v>
      </c>
      <c r="AI189" s="54">
        <v>0.347645</v>
      </c>
      <c r="AJ189" s="54">
        <v>0.643291</v>
      </c>
      <c r="AK189" s="54">
        <v>0.998412</v>
      </c>
      <c r="AL189" s="54">
        <v>0.99377</v>
      </c>
      <c r="AM189" s="54">
        <v>0.996086</v>
      </c>
      <c r="AN189" s="54">
        <v>0.744644</v>
      </c>
      <c r="AO189" s="69"/>
      <c r="AP189" s="69"/>
      <c r="AQ189" s="69"/>
    </row>
    <row r="190">
      <c r="A190" s="13"/>
      <c r="B190" s="13"/>
      <c r="C190" s="54">
        <v>3.0</v>
      </c>
      <c r="D190" s="55">
        <v>1.0</v>
      </c>
      <c r="E190" s="55">
        <v>1.0</v>
      </c>
      <c r="F190" s="67">
        <v>1.0</v>
      </c>
      <c r="G190" s="67">
        <v>0.010602</v>
      </c>
      <c r="H190" s="67">
        <v>0.999262</v>
      </c>
      <c r="I190" s="67">
        <v>5.5E-5</v>
      </c>
      <c r="J190" s="67">
        <v>0.567645</v>
      </c>
      <c r="K190" s="56">
        <v>1.0</v>
      </c>
      <c r="L190" s="57">
        <v>0.5</v>
      </c>
      <c r="M190" s="57">
        <v>0.157916</v>
      </c>
      <c r="N190" s="57">
        <f t="shared" si="1"/>
        <v>0.6909460813</v>
      </c>
      <c r="O190" s="57">
        <f t="shared" si="2"/>
        <v>38.28573145</v>
      </c>
      <c r="P190" s="54">
        <v>4064.099923</v>
      </c>
      <c r="Q190" s="54">
        <v>0.054835</v>
      </c>
      <c r="R190" s="54">
        <v>0.993693</v>
      </c>
      <c r="S190" s="54">
        <v>0.773467</v>
      </c>
      <c r="T190" s="54">
        <v>0.536037</v>
      </c>
      <c r="U190" s="54">
        <v>0.996372</v>
      </c>
      <c r="V190" s="54">
        <v>0.773467</v>
      </c>
      <c r="W190" s="54">
        <v>0.993693</v>
      </c>
      <c r="X190" s="54">
        <v>0.588151</v>
      </c>
      <c r="Y190" s="54">
        <v>0.994833</v>
      </c>
      <c r="Z190" s="54">
        <v>0.795395</v>
      </c>
      <c r="AA190" s="54">
        <v>0.427701</v>
      </c>
      <c r="AB190" s="54">
        <v>0.403682</v>
      </c>
      <c r="AC190" s="54">
        <v>0.204104</v>
      </c>
      <c r="AD190" s="54">
        <v>0.847534</v>
      </c>
      <c r="AE190" s="54">
        <v>0.328982</v>
      </c>
      <c r="AF190" s="54">
        <v>0.919154</v>
      </c>
      <c r="AG190" s="54">
        <v>0.40533</v>
      </c>
      <c r="AH190" s="54">
        <v>0.477686</v>
      </c>
      <c r="AI190" s="54">
        <v>0.438543</v>
      </c>
      <c r="AJ190" s="54">
        <v>0.690516</v>
      </c>
      <c r="AK190" s="54">
        <v>0.998679</v>
      </c>
      <c r="AL190" s="54">
        <v>0.995182</v>
      </c>
      <c r="AM190" s="54">
        <v>0.996927</v>
      </c>
      <c r="AN190" s="54">
        <v>0.792842</v>
      </c>
      <c r="AO190" s="69"/>
      <c r="AP190" s="69"/>
      <c r="AQ190" s="69"/>
    </row>
    <row r="191">
      <c r="A191" s="13"/>
      <c r="B191" s="16"/>
      <c r="C191" s="54">
        <v>4.0</v>
      </c>
      <c r="D191" s="55">
        <v>1.0</v>
      </c>
      <c r="E191" s="55">
        <v>1.0</v>
      </c>
      <c r="F191" s="67">
        <v>1.0</v>
      </c>
      <c r="G191" s="67">
        <v>0.011525</v>
      </c>
      <c r="H191" s="67">
        <v>0.999439</v>
      </c>
      <c r="I191" s="67">
        <v>4.0E-5</v>
      </c>
      <c r="J191" s="67">
        <v>0.5689</v>
      </c>
      <c r="K191" s="56">
        <v>1.0</v>
      </c>
      <c r="L191" s="57">
        <v>0.5</v>
      </c>
      <c r="M191" s="57">
        <v>0.149995</v>
      </c>
      <c r="N191" s="57">
        <f t="shared" si="1"/>
        <v>0.7969419191</v>
      </c>
      <c r="O191" s="57">
        <f t="shared" si="2"/>
        <v>40.85890426</v>
      </c>
      <c r="P191" s="54">
        <v>4064.099923</v>
      </c>
      <c r="Q191" s="54">
        <v>0.055112</v>
      </c>
      <c r="R191" s="54">
        <v>0.995079</v>
      </c>
      <c r="S191" s="54">
        <v>0.914705</v>
      </c>
      <c r="T191" s="54">
        <v>0.606908</v>
      </c>
      <c r="U191" s="54">
        <v>0.997549</v>
      </c>
      <c r="V191" s="54">
        <v>0.914705</v>
      </c>
      <c r="W191" s="54">
        <v>0.995079</v>
      </c>
      <c r="X191" s="54">
        <v>0.704949</v>
      </c>
      <c r="Y191" s="54">
        <v>0.996006</v>
      </c>
      <c r="Z191" s="54">
        <v>0.939909</v>
      </c>
      <c r="AA191" s="54">
        <v>0.603173</v>
      </c>
      <c r="AB191" s="54">
        <v>0.560801</v>
      </c>
      <c r="AC191" s="54">
        <v>0.429806</v>
      </c>
      <c r="AD191" s="54">
        <v>0.892377</v>
      </c>
      <c r="AE191" s="54">
        <v>0.580175</v>
      </c>
      <c r="AF191" s="54">
        <v>0.94412</v>
      </c>
      <c r="AG191" s="54">
        <v>0.391239</v>
      </c>
      <c r="AH191" s="54">
        <v>0.856198</v>
      </c>
      <c r="AI191" s="54">
        <v>0.537066</v>
      </c>
      <c r="AJ191" s="54">
        <v>0.9237</v>
      </c>
      <c r="AK191" s="54">
        <v>0.999679</v>
      </c>
      <c r="AL191" s="54">
        <v>0.99554</v>
      </c>
      <c r="AM191" s="54">
        <v>0.997605</v>
      </c>
      <c r="AN191" s="54">
        <v>0.952138</v>
      </c>
      <c r="AO191" s="69"/>
      <c r="AP191" s="69"/>
      <c r="AQ191" s="69"/>
    </row>
    <row r="192">
      <c r="A192" s="13"/>
      <c r="B192" s="59" t="s">
        <v>27</v>
      </c>
      <c r="C192" s="54">
        <v>1.0</v>
      </c>
      <c r="D192" s="55">
        <v>1.0</v>
      </c>
      <c r="E192" s="55">
        <v>1.0</v>
      </c>
      <c r="F192" s="67">
        <v>1.0</v>
      </c>
      <c r="G192" s="67">
        <v>0.003484575</v>
      </c>
      <c r="H192" s="67">
        <v>0.998509617</v>
      </c>
      <c r="I192" s="67">
        <v>4.88E-10</v>
      </c>
      <c r="J192" s="67">
        <v>0.550395771</v>
      </c>
      <c r="K192" s="56">
        <v>1.0</v>
      </c>
      <c r="L192" s="67">
        <v>0.5</v>
      </c>
      <c r="M192" s="67">
        <v>0.022625943</v>
      </c>
      <c r="N192" s="57">
        <f t="shared" si="1"/>
        <v>0.5099793732</v>
      </c>
      <c r="O192" s="57">
        <f t="shared" si="2"/>
        <v>14.66811283</v>
      </c>
      <c r="P192" s="54">
        <v>4548.413986</v>
      </c>
      <c r="Q192" s="54">
        <v>0.155776</v>
      </c>
      <c r="R192" s="54">
        <v>0.9951</v>
      </c>
      <c r="S192" s="54">
        <v>0.476245</v>
      </c>
      <c r="T192" s="54">
        <v>0.391704</v>
      </c>
      <c r="U192" s="54">
        <v>0.993623</v>
      </c>
      <c r="V192" s="54">
        <v>0.476245</v>
      </c>
      <c r="W192" s="54">
        <v>0.9951</v>
      </c>
      <c r="X192" s="54">
        <v>0.41653</v>
      </c>
      <c r="Y192" s="54">
        <v>0.994311</v>
      </c>
      <c r="Z192" s="54">
        <v>0.0</v>
      </c>
      <c r="AA192" s="54">
        <v>0.169848</v>
      </c>
      <c r="AB192" s="54">
        <v>0.165908</v>
      </c>
      <c r="AC192" s="54">
        <v>0.178108</v>
      </c>
      <c r="AD192" s="54">
        <v>0.430493</v>
      </c>
      <c r="AE192" s="54">
        <v>0.251969</v>
      </c>
      <c r="AF192" s="54">
        <v>0.655494</v>
      </c>
      <c r="AG192" s="54">
        <v>0.0</v>
      </c>
      <c r="AH192" s="54">
        <v>0.0</v>
      </c>
      <c r="AI192" s="54">
        <v>0.0</v>
      </c>
      <c r="AJ192" s="54">
        <v>0.0</v>
      </c>
      <c r="AK192" s="54">
        <v>0.997003</v>
      </c>
      <c r="AL192" s="54">
        <v>0.998243</v>
      </c>
      <c r="AM192" s="54">
        <v>0.997623</v>
      </c>
      <c r="AN192" s="54">
        <v>0.400432</v>
      </c>
      <c r="AO192" s="60"/>
      <c r="AP192" s="60"/>
      <c r="AQ192" s="60"/>
    </row>
    <row r="193">
      <c r="A193" s="13"/>
      <c r="B193" s="13"/>
      <c r="C193" s="54">
        <v>2.0</v>
      </c>
      <c r="D193" s="55">
        <v>1.0</v>
      </c>
      <c r="E193" s="55">
        <v>1.0</v>
      </c>
      <c r="F193" s="67">
        <v>1.0</v>
      </c>
      <c r="G193" s="67">
        <v>0.001006655</v>
      </c>
      <c r="H193" s="67">
        <v>0.998837531</v>
      </c>
      <c r="I193" s="67">
        <v>8.55E-9</v>
      </c>
      <c r="J193" s="67">
        <v>0.544341417</v>
      </c>
      <c r="K193" s="56">
        <v>1.0</v>
      </c>
      <c r="L193" s="67">
        <v>0.5</v>
      </c>
      <c r="M193" s="67">
        <v>0.036392261</v>
      </c>
      <c r="N193" s="57">
        <f t="shared" si="1"/>
        <v>0.5562825772</v>
      </c>
      <c r="O193" s="57">
        <f t="shared" si="2"/>
        <v>18.68877736</v>
      </c>
      <c r="P193" s="54">
        <v>4548.413986</v>
      </c>
      <c r="Q193" s="54">
        <v>0.155854</v>
      </c>
      <c r="R193" s="54">
        <v>0.996718</v>
      </c>
      <c r="S193" s="54">
        <v>0.472772</v>
      </c>
      <c r="T193" s="54">
        <v>0.77288</v>
      </c>
      <c r="U193" s="54">
        <v>0.995815</v>
      </c>
      <c r="V193" s="54">
        <v>0.472772</v>
      </c>
      <c r="W193" s="54">
        <v>0.996718</v>
      </c>
      <c r="X193" s="54">
        <v>0.506445</v>
      </c>
      <c r="Y193" s="54">
        <v>0.995396</v>
      </c>
      <c r="Z193" s="54">
        <v>0.309811</v>
      </c>
      <c r="AA193" s="54">
        <v>0.306981</v>
      </c>
      <c r="AB193" s="54">
        <v>0.22402</v>
      </c>
      <c r="AC193" s="54">
        <v>0.629371</v>
      </c>
      <c r="AD193" s="54">
        <v>0.403587</v>
      </c>
      <c r="AE193" s="54">
        <v>0.491803</v>
      </c>
      <c r="AF193" s="54">
        <v>0.635213</v>
      </c>
      <c r="AG193" s="54">
        <v>0.692308</v>
      </c>
      <c r="AH193" s="54">
        <v>0.014876</v>
      </c>
      <c r="AI193" s="54">
        <v>0.029126</v>
      </c>
      <c r="AJ193" s="54">
        <v>0.121966</v>
      </c>
      <c r="AK193" s="54">
        <v>0.996961</v>
      </c>
      <c r="AL193" s="54">
        <v>0.999853</v>
      </c>
      <c r="AM193" s="54">
        <v>0.998405</v>
      </c>
      <c r="AN193" s="54">
        <v>0.383825</v>
      </c>
      <c r="AO193" s="60"/>
      <c r="AP193" s="60"/>
      <c r="AQ193" s="60"/>
    </row>
    <row r="194">
      <c r="A194" s="13"/>
      <c r="B194" s="13"/>
      <c r="C194" s="54">
        <v>3.0</v>
      </c>
      <c r="D194" s="55">
        <v>1.0</v>
      </c>
      <c r="E194" s="55">
        <v>1.0</v>
      </c>
      <c r="F194" s="67">
        <v>1.0</v>
      </c>
      <c r="G194" s="67">
        <v>0.001800364</v>
      </c>
      <c r="H194" s="67">
        <v>0.999483079</v>
      </c>
      <c r="I194" s="67">
        <v>8.21E-9</v>
      </c>
      <c r="J194" s="67">
        <v>0.546941049</v>
      </c>
      <c r="K194" s="56">
        <v>1.0</v>
      </c>
      <c r="L194" s="67">
        <v>0.5</v>
      </c>
      <c r="M194" s="67">
        <v>0.036182726</v>
      </c>
      <c r="N194" s="57">
        <f t="shared" si="1"/>
        <v>0.655806361</v>
      </c>
      <c r="O194" s="57">
        <f t="shared" si="2"/>
        <v>20.5809723</v>
      </c>
      <c r="P194" s="54">
        <v>4548.413986</v>
      </c>
      <c r="Q194" s="54">
        <v>0.155782</v>
      </c>
      <c r="R194" s="54">
        <v>0.997204</v>
      </c>
      <c r="S194" s="54">
        <v>0.560275</v>
      </c>
      <c r="T194" s="54">
        <v>0.846367</v>
      </c>
      <c r="U194" s="54">
        <v>0.996576</v>
      </c>
      <c r="V194" s="54">
        <v>0.560275</v>
      </c>
      <c r="W194" s="54">
        <v>0.997204</v>
      </c>
      <c r="X194" s="54">
        <v>0.634157</v>
      </c>
      <c r="Y194" s="54">
        <v>0.996408</v>
      </c>
      <c r="Z194" s="54">
        <v>0.540388</v>
      </c>
      <c r="AA194" s="54">
        <v>0.474752</v>
      </c>
      <c r="AB194" s="54">
        <v>0.412035</v>
      </c>
      <c r="AC194" s="54">
        <v>0.827338</v>
      </c>
      <c r="AD194" s="54">
        <v>0.515695</v>
      </c>
      <c r="AE194" s="54">
        <v>0.635359</v>
      </c>
      <c r="AF194" s="54">
        <v>0.718082</v>
      </c>
      <c r="AG194" s="54">
        <v>0.714286</v>
      </c>
      <c r="AH194" s="54">
        <v>0.165289</v>
      </c>
      <c r="AI194" s="54">
        <v>0.268456</v>
      </c>
      <c r="AJ194" s="54">
        <v>0.406523</v>
      </c>
      <c r="AK194" s="54">
        <v>0.997476</v>
      </c>
      <c r="AL194" s="54">
        <v>0.99984</v>
      </c>
      <c r="AM194" s="54">
        <v>0.998657</v>
      </c>
      <c r="AN194" s="54">
        <v>0.540577</v>
      </c>
      <c r="AO194" s="60"/>
      <c r="AP194" s="60"/>
      <c r="AQ194" s="60"/>
    </row>
    <row r="195">
      <c r="A195" s="16"/>
      <c r="B195" s="16"/>
      <c r="C195" s="54">
        <v>4.0</v>
      </c>
      <c r="D195" s="55">
        <v>1.0</v>
      </c>
      <c r="E195" s="55">
        <v>1.0</v>
      </c>
      <c r="F195" s="67">
        <v>1.0</v>
      </c>
      <c r="G195" s="67">
        <v>0.010208515</v>
      </c>
      <c r="H195" s="67">
        <v>0.99962525</v>
      </c>
      <c r="I195" s="67">
        <v>1.75E-5</v>
      </c>
      <c r="J195" s="67">
        <v>0.566395299</v>
      </c>
      <c r="K195" s="56">
        <v>1.0</v>
      </c>
      <c r="L195" s="67">
        <v>0.5</v>
      </c>
      <c r="M195" s="67">
        <v>0.130611037</v>
      </c>
      <c r="N195" s="57">
        <f t="shared" si="1"/>
        <v>0.7999787581</v>
      </c>
      <c r="O195" s="57">
        <f t="shared" si="2"/>
        <v>38.747084</v>
      </c>
      <c r="P195" s="54">
        <v>4548.413986</v>
      </c>
      <c r="Q195" s="54">
        <v>0.155854</v>
      </c>
      <c r="R195" s="54">
        <v>0.995724</v>
      </c>
      <c r="S195" s="54">
        <v>0.893561</v>
      </c>
      <c r="T195" s="54">
        <v>0.622914</v>
      </c>
      <c r="U195" s="54">
        <v>0.997561</v>
      </c>
      <c r="V195" s="54">
        <v>0.893561</v>
      </c>
      <c r="W195" s="54">
        <v>0.995724</v>
      </c>
      <c r="X195" s="54">
        <v>0.714785</v>
      </c>
      <c r="Y195" s="54">
        <v>0.99642</v>
      </c>
      <c r="Z195" s="54">
        <v>0.923555</v>
      </c>
      <c r="AA195" s="54">
        <v>0.617225</v>
      </c>
      <c r="AB195" s="54">
        <v>0.586002</v>
      </c>
      <c r="AC195" s="54">
        <v>0.438202</v>
      </c>
      <c r="AD195" s="54">
        <v>0.874439</v>
      </c>
      <c r="AE195" s="54">
        <v>0.583832</v>
      </c>
      <c r="AF195" s="54">
        <v>0.934611</v>
      </c>
      <c r="AG195" s="54">
        <v>0.430959</v>
      </c>
      <c r="AH195" s="54">
        <v>0.809917</v>
      </c>
      <c r="AI195" s="54">
        <v>0.562572</v>
      </c>
      <c r="AJ195" s="54">
        <v>0.898697</v>
      </c>
      <c r="AK195" s="54">
        <v>0.99958</v>
      </c>
      <c r="AL195" s="54">
        <v>0.996326</v>
      </c>
      <c r="AM195" s="54">
        <v>0.99795</v>
      </c>
      <c r="AN195" s="54">
        <v>0.937873</v>
      </c>
      <c r="AO195" s="60"/>
      <c r="AP195" s="60"/>
      <c r="AQ195" s="60"/>
    </row>
    <row r="196">
      <c r="A196" s="44" t="s">
        <v>105</v>
      </c>
      <c r="B196" s="61" t="s">
        <v>22</v>
      </c>
      <c r="C196" s="46">
        <v>1.0</v>
      </c>
      <c r="D196" s="47">
        <v>1.0</v>
      </c>
      <c r="E196" s="47">
        <v>1.0</v>
      </c>
      <c r="F196" s="62">
        <v>1.0</v>
      </c>
      <c r="G196" s="62">
        <v>0.0</v>
      </c>
      <c r="H196" s="62">
        <v>0.998217</v>
      </c>
      <c r="I196" s="62">
        <v>0.005417</v>
      </c>
      <c r="J196" s="62">
        <v>0.540852</v>
      </c>
      <c r="K196" s="62">
        <v>1.0</v>
      </c>
      <c r="L196" s="62">
        <v>0.5</v>
      </c>
      <c r="M196" s="62">
        <v>0.336905</v>
      </c>
      <c r="N196" s="48">
        <f t="shared" si="1"/>
        <v>0.40806609</v>
      </c>
      <c r="O196" s="48">
        <f t="shared" si="2"/>
        <v>37.7956037</v>
      </c>
      <c r="P196" s="46">
        <v>122.632504</v>
      </c>
      <c r="Q196" s="46">
        <v>0.821147</v>
      </c>
      <c r="R196" s="46">
        <v>0.996438</v>
      </c>
      <c r="S196" s="46">
        <v>0.333333</v>
      </c>
      <c r="T196" s="46">
        <v>0.332146</v>
      </c>
      <c r="U196" s="46">
        <v>0.992889</v>
      </c>
      <c r="V196" s="46">
        <v>0.333333</v>
      </c>
      <c r="W196" s="46">
        <v>0.996438</v>
      </c>
      <c r="X196" s="46">
        <v>0.332739</v>
      </c>
      <c r="Y196" s="46">
        <v>0.99466</v>
      </c>
      <c r="Z196" s="46">
        <v>0.0</v>
      </c>
      <c r="AA196" s="46">
        <v>0.0</v>
      </c>
      <c r="AB196" s="46">
        <v>0.0</v>
      </c>
      <c r="AC196" s="46">
        <v>0.0</v>
      </c>
      <c r="AD196" s="46">
        <v>0.0</v>
      </c>
      <c r="AE196" s="46">
        <v>0.0</v>
      </c>
      <c r="AF196" s="46">
        <v>0.0</v>
      </c>
      <c r="AG196" s="46">
        <v>0.0</v>
      </c>
      <c r="AH196" s="46">
        <v>0.0</v>
      </c>
      <c r="AI196" s="46">
        <v>0.0</v>
      </c>
      <c r="AJ196" s="46">
        <v>0.0</v>
      </c>
      <c r="AK196" s="46">
        <v>0.996438</v>
      </c>
      <c r="AL196" s="46">
        <v>1.0</v>
      </c>
      <c r="AM196" s="46">
        <v>0.998216</v>
      </c>
      <c r="AN196" s="46">
        <v>0.0</v>
      </c>
      <c r="AO196" s="64"/>
      <c r="AP196" s="64"/>
      <c r="AQ196" s="64"/>
    </row>
    <row r="197">
      <c r="A197" s="13"/>
      <c r="B197" s="13"/>
      <c r="C197" s="46">
        <v>2.0</v>
      </c>
      <c r="D197" s="47">
        <v>1.0</v>
      </c>
      <c r="E197" s="47">
        <v>1.0</v>
      </c>
      <c r="F197" s="62">
        <v>1.0</v>
      </c>
      <c r="G197" s="62">
        <v>1.3E-5</v>
      </c>
      <c r="H197" s="62">
        <v>0.998254</v>
      </c>
      <c r="I197" s="62">
        <v>0.015456</v>
      </c>
      <c r="J197" s="62">
        <v>0.540922</v>
      </c>
      <c r="K197" s="62">
        <v>1.0</v>
      </c>
      <c r="L197" s="62">
        <v>0.5</v>
      </c>
      <c r="M197" s="62">
        <v>0.401245</v>
      </c>
      <c r="N197" s="48">
        <f t="shared" si="1"/>
        <v>0.412646131</v>
      </c>
      <c r="O197" s="48">
        <f t="shared" si="2"/>
        <v>40.80473107</v>
      </c>
      <c r="P197" s="46">
        <v>122.632504</v>
      </c>
      <c r="Q197" s="46">
        <v>0.958436</v>
      </c>
      <c r="R197" s="46">
        <v>0.996442</v>
      </c>
      <c r="S197" s="46">
        <v>0.333884</v>
      </c>
      <c r="T197" s="46">
        <v>0.498816</v>
      </c>
      <c r="U197" s="46">
        <v>0.994199</v>
      </c>
      <c r="V197" s="46">
        <v>0.333884</v>
      </c>
      <c r="W197" s="46">
        <v>0.996442</v>
      </c>
      <c r="X197" s="46">
        <v>0.333838</v>
      </c>
      <c r="Y197" s="46">
        <v>0.994673</v>
      </c>
      <c r="Z197" s="46">
        <v>0.0</v>
      </c>
      <c r="AA197" s="46">
        <v>0.036762</v>
      </c>
      <c r="AB197" s="46">
        <v>0.0036</v>
      </c>
      <c r="AC197" s="46">
        <v>0.0</v>
      </c>
      <c r="AD197" s="46">
        <v>0.0</v>
      </c>
      <c r="AE197" s="46">
        <v>0.0</v>
      </c>
      <c r="AF197" s="46">
        <v>0.0</v>
      </c>
      <c r="AG197" s="46">
        <v>0.5</v>
      </c>
      <c r="AH197" s="46">
        <v>0.001653</v>
      </c>
      <c r="AI197" s="46">
        <v>0.003295</v>
      </c>
      <c r="AJ197" s="46">
        <v>0.040656</v>
      </c>
      <c r="AK197" s="46">
        <v>0.996447</v>
      </c>
      <c r="AL197" s="46">
        <v>1.0</v>
      </c>
      <c r="AM197" s="46">
        <v>0.99822</v>
      </c>
      <c r="AN197" s="46">
        <v>0.049147</v>
      </c>
      <c r="AO197" s="64"/>
      <c r="AP197" s="64"/>
      <c r="AQ197" s="64"/>
    </row>
    <row r="198">
      <c r="A198" s="13"/>
      <c r="B198" s="13"/>
      <c r="C198" s="46">
        <v>3.0</v>
      </c>
      <c r="D198" s="47">
        <v>1.0</v>
      </c>
      <c r="E198" s="47">
        <v>1.0</v>
      </c>
      <c r="F198" s="62">
        <v>1.0</v>
      </c>
      <c r="G198" s="62">
        <v>0.002994</v>
      </c>
      <c r="H198" s="62">
        <v>0.999821</v>
      </c>
      <c r="I198" s="62">
        <v>0.029872</v>
      </c>
      <c r="J198" s="62">
        <v>0.55019</v>
      </c>
      <c r="K198" s="62">
        <v>1.0</v>
      </c>
      <c r="L198" s="62">
        <v>0.5</v>
      </c>
      <c r="M198" s="62">
        <v>0.449205</v>
      </c>
      <c r="N198" s="48">
        <f t="shared" si="1"/>
        <v>0.6728755422</v>
      </c>
      <c r="O198" s="48">
        <f t="shared" si="2"/>
        <v>57.24514745</v>
      </c>
      <c r="P198" s="46">
        <v>122.632504</v>
      </c>
      <c r="Q198" s="46">
        <v>0.985774</v>
      </c>
      <c r="R198" s="46">
        <v>0.997006</v>
      </c>
      <c r="S198" s="46">
        <v>0.588927</v>
      </c>
      <c r="T198" s="46">
        <v>0.741455</v>
      </c>
      <c r="U198" s="46">
        <v>0.996374</v>
      </c>
      <c r="V198" s="46">
        <v>0.588927</v>
      </c>
      <c r="W198" s="46">
        <v>0.997006</v>
      </c>
      <c r="X198" s="46">
        <v>0.644366</v>
      </c>
      <c r="Y198" s="46">
        <v>0.996546</v>
      </c>
      <c r="Z198" s="46">
        <v>0.61177</v>
      </c>
      <c r="AA198" s="46">
        <v>0.479744</v>
      </c>
      <c r="AB198" s="46">
        <v>0.46022</v>
      </c>
      <c r="AC198" s="46">
        <v>0.640719</v>
      </c>
      <c r="AD198" s="46">
        <v>0.479821</v>
      </c>
      <c r="AE198" s="46">
        <v>0.548718</v>
      </c>
      <c r="AF198" s="46">
        <v>0.692601</v>
      </c>
      <c r="AG198" s="46">
        <v>0.585859</v>
      </c>
      <c r="AH198" s="46">
        <v>0.287603</v>
      </c>
      <c r="AI198" s="46">
        <v>0.385809</v>
      </c>
      <c r="AJ198" s="46">
        <v>0.536144</v>
      </c>
      <c r="AK198" s="46">
        <v>0.997789</v>
      </c>
      <c r="AL198" s="46">
        <v>0.999357</v>
      </c>
      <c r="AM198" s="46">
        <v>0.998572</v>
      </c>
      <c r="AN198" s="46">
        <v>0.616596</v>
      </c>
      <c r="AO198" s="64"/>
      <c r="AP198" s="64"/>
      <c r="AQ198" s="64"/>
    </row>
    <row r="199">
      <c r="A199" s="13"/>
      <c r="B199" s="16"/>
      <c r="C199" s="46">
        <v>4.0</v>
      </c>
      <c r="D199" s="47">
        <v>1.0</v>
      </c>
      <c r="E199" s="47">
        <v>1.0</v>
      </c>
      <c r="F199" s="62">
        <v>1.0</v>
      </c>
      <c r="G199" s="62">
        <v>0.007511</v>
      </c>
      <c r="H199" s="62">
        <v>0.99991</v>
      </c>
      <c r="I199" s="62">
        <v>0.002499</v>
      </c>
      <c r="J199" s="62">
        <v>0.560779</v>
      </c>
      <c r="K199" s="62">
        <v>1.0</v>
      </c>
      <c r="L199" s="62">
        <v>0.5</v>
      </c>
      <c r="M199" s="62">
        <v>0.298017</v>
      </c>
      <c r="N199" s="48">
        <f t="shared" si="1"/>
        <v>0.8235822431</v>
      </c>
      <c r="O199" s="48">
        <f t="shared" si="2"/>
        <v>54.84292382</v>
      </c>
      <c r="P199" s="46">
        <v>122.632504</v>
      </c>
      <c r="Q199" s="46">
        <v>1.045887</v>
      </c>
      <c r="R199" s="46">
        <v>0.997247</v>
      </c>
      <c r="S199" s="46">
        <v>0.854719</v>
      </c>
      <c r="T199" s="46">
        <v>0.69565</v>
      </c>
      <c r="U199" s="46">
        <v>0.997905</v>
      </c>
      <c r="V199" s="46">
        <v>0.854719</v>
      </c>
      <c r="W199" s="46">
        <v>0.997247</v>
      </c>
      <c r="X199" s="46">
        <v>0.760511</v>
      </c>
      <c r="Y199" s="46">
        <v>0.997508</v>
      </c>
      <c r="Z199" s="46">
        <v>0.899094</v>
      </c>
      <c r="AA199" s="46">
        <v>0.68756</v>
      </c>
      <c r="AB199" s="46">
        <v>0.677644</v>
      </c>
      <c r="AC199" s="46">
        <v>0.54142</v>
      </c>
      <c r="AD199" s="46">
        <v>0.820628</v>
      </c>
      <c r="AE199" s="46">
        <v>0.652406</v>
      </c>
      <c r="AF199" s="46">
        <v>0.905583</v>
      </c>
      <c r="AG199" s="46">
        <v>0.546005</v>
      </c>
      <c r="AH199" s="46">
        <v>0.745455</v>
      </c>
      <c r="AI199" s="46">
        <v>0.630328</v>
      </c>
      <c r="AJ199" s="46">
        <v>0.862699</v>
      </c>
      <c r="AK199" s="46">
        <v>0.999524</v>
      </c>
      <c r="AL199" s="46">
        <v>0.998074</v>
      </c>
      <c r="AM199" s="46">
        <v>0.998799</v>
      </c>
      <c r="AN199" s="46">
        <v>0.930312</v>
      </c>
      <c r="AO199" s="64"/>
      <c r="AP199" s="64"/>
      <c r="AQ199" s="64"/>
    </row>
    <row r="200">
      <c r="A200" s="13"/>
      <c r="B200" s="51" t="s">
        <v>23</v>
      </c>
      <c r="C200" s="46">
        <v>1.0</v>
      </c>
      <c r="D200" s="47">
        <v>1.0</v>
      </c>
      <c r="E200" s="47">
        <v>1.0</v>
      </c>
      <c r="F200" s="62">
        <v>1.0</v>
      </c>
      <c r="G200" s="62">
        <v>3.61363E-4</v>
      </c>
      <c r="H200" s="62">
        <v>0.998691705</v>
      </c>
      <c r="I200" s="62">
        <v>0.334872934</v>
      </c>
      <c r="J200" s="62">
        <v>0.54223278</v>
      </c>
      <c r="K200" s="62">
        <v>1.0</v>
      </c>
      <c r="L200" s="62">
        <v>0.5</v>
      </c>
      <c r="M200" s="62">
        <v>0.670261916</v>
      </c>
      <c r="N200" s="48">
        <f t="shared" si="1"/>
        <v>0.4133440068</v>
      </c>
      <c r="O200" s="48">
        <f t="shared" si="2"/>
        <v>50.15160133</v>
      </c>
      <c r="P200" s="62">
        <v>637.3866432</v>
      </c>
      <c r="Q200" s="62">
        <v>0.671938419</v>
      </c>
      <c r="R200" s="62">
        <v>0.9962401</v>
      </c>
      <c r="S200" s="62">
        <v>0.335465235</v>
      </c>
      <c r="T200" s="62">
        <v>0.35596384</v>
      </c>
      <c r="U200" s="62">
        <v>0.993099443</v>
      </c>
      <c r="V200" s="62">
        <v>0.335465235</v>
      </c>
      <c r="W200" s="62">
        <v>0.9962401</v>
      </c>
      <c r="X200" s="62">
        <v>0.336741218</v>
      </c>
      <c r="Y200" s="62">
        <v>0.994596962</v>
      </c>
      <c r="Z200" s="62">
        <v>0.0</v>
      </c>
      <c r="AA200" s="62">
        <v>0.022453165</v>
      </c>
      <c r="AB200" s="62">
        <v>0.010925961</v>
      </c>
      <c r="AC200" s="62">
        <v>0.0</v>
      </c>
      <c r="AD200" s="62">
        <v>0.0</v>
      </c>
      <c r="AE200" s="62">
        <v>0.0</v>
      </c>
      <c r="AF200" s="62">
        <v>0.0</v>
      </c>
      <c r="AG200" s="62">
        <v>0.071428571</v>
      </c>
      <c r="AH200" s="62">
        <v>0.00661157</v>
      </c>
      <c r="AI200" s="62">
        <v>0.012102874</v>
      </c>
      <c r="AJ200" s="62">
        <v>0.081302444</v>
      </c>
      <c r="AK200" s="62">
        <v>0.996462949</v>
      </c>
      <c r="AL200" s="62">
        <v>0.999784134</v>
      </c>
      <c r="AM200" s="62">
        <v>0.998120779</v>
      </c>
      <c r="AN200" s="62">
        <v>0.085116465</v>
      </c>
      <c r="AO200" s="49"/>
      <c r="AP200" s="49"/>
      <c r="AQ200" s="49"/>
    </row>
    <row r="201">
      <c r="A201" s="13"/>
      <c r="B201" s="13"/>
      <c r="C201" s="46">
        <v>2.0</v>
      </c>
      <c r="D201" s="47">
        <v>1.0</v>
      </c>
      <c r="E201" s="47">
        <v>1.0</v>
      </c>
      <c r="F201" s="62">
        <v>1.0</v>
      </c>
      <c r="G201" s="62">
        <v>0.004729988</v>
      </c>
      <c r="H201" s="62">
        <v>0.999533027</v>
      </c>
      <c r="I201" s="62">
        <v>0.343282108</v>
      </c>
      <c r="J201" s="62">
        <v>0.55312636</v>
      </c>
      <c r="K201" s="62">
        <v>1.0</v>
      </c>
      <c r="L201" s="62">
        <v>0.5</v>
      </c>
      <c r="M201" s="62">
        <v>0.675367948</v>
      </c>
      <c r="N201" s="48">
        <f t="shared" si="1"/>
        <v>0.4190339483</v>
      </c>
      <c r="O201" s="48">
        <f t="shared" si="2"/>
        <v>50.71841859</v>
      </c>
      <c r="P201" s="62">
        <v>637.3866432</v>
      </c>
      <c r="Q201" s="62">
        <v>0.602390528</v>
      </c>
      <c r="R201" s="62">
        <v>0.99345244</v>
      </c>
      <c r="S201" s="62">
        <v>0.342465077</v>
      </c>
      <c r="T201" s="62">
        <v>0.671438051</v>
      </c>
      <c r="U201" s="62">
        <v>0.993986263</v>
      </c>
      <c r="V201" s="62">
        <v>0.342465077</v>
      </c>
      <c r="W201" s="62">
        <v>0.99345244</v>
      </c>
      <c r="X201" s="62">
        <v>0.344657823</v>
      </c>
      <c r="Y201" s="62">
        <v>0.993251941</v>
      </c>
      <c r="Z201" s="62">
        <v>0.133066662</v>
      </c>
      <c r="AA201" s="62">
        <v>0.022199019</v>
      </c>
      <c r="AB201" s="62">
        <v>0.022155421</v>
      </c>
      <c r="AC201" s="62">
        <v>1.0</v>
      </c>
      <c r="AD201" s="62">
        <v>0.00896861</v>
      </c>
      <c r="AE201" s="62">
        <v>0.017777778</v>
      </c>
      <c r="AF201" s="62">
        <v>0.094702745</v>
      </c>
      <c r="AG201" s="62">
        <v>0.017783858</v>
      </c>
      <c r="AH201" s="62">
        <v>0.021487603</v>
      </c>
      <c r="AI201" s="62">
        <v>0.019461078</v>
      </c>
      <c r="AJ201" s="62">
        <v>0.14635935</v>
      </c>
      <c r="AK201" s="62">
        <v>0.996530295</v>
      </c>
      <c r="AL201" s="62">
        <v>0.996939018</v>
      </c>
      <c r="AM201" s="62">
        <v>0.996734615</v>
      </c>
      <c r="AN201" s="62">
        <v>0.169990538</v>
      </c>
      <c r="AO201" s="49"/>
      <c r="AP201" s="49"/>
      <c r="AQ201" s="49"/>
    </row>
    <row r="202">
      <c r="A202" s="13"/>
      <c r="B202" s="13"/>
      <c r="C202" s="46">
        <v>3.0</v>
      </c>
      <c r="D202" s="47">
        <v>1.0</v>
      </c>
      <c r="E202" s="47">
        <v>1.0</v>
      </c>
      <c r="F202" s="62">
        <v>1.0</v>
      </c>
      <c r="G202" s="62">
        <v>0.002677961</v>
      </c>
      <c r="H202" s="62">
        <v>0.999474543</v>
      </c>
      <c r="I202" s="62">
        <v>0.483342012</v>
      </c>
      <c r="J202" s="62">
        <v>0.549308885</v>
      </c>
      <c r="K202" s="62">
        <v>1.0</v>
      </c>
      <c r="L202" s="62">
        <v>0.5</v>
      </c>
      <c r="M202" s="62">
        <v>0.714170903</v>
      </c>
      <c r="N202" s="48">
        <f t="shared" si="1"/>
        <v>0.5726293942</v>
      </c>
      <c r="O202" s="48">
        <f t="shared" si="2"/>
        <v>62.55255354</v>
      </c>
      <c r="P202" s="62">
        <v>637.3866432</v>
      </c>
      <c r="Q202" s="62">
        <v>0.640105009</v>
      </c>
      <c r="R202" s="62">
        <v>0.996123948</v>
      </c>
      <c r="S202" s="62">
        <v>0.509165108</v>
      </c>
      <c r="T202" s="62">
        <v>0.601672796</v>
      </c>
      <c r="U202" s="62">
        <v>0.995229468</v>
      </c>
      <c r="V202" s="62">
        <v>0.509165108</v>
      </c>
      <c r="W202" s="62">
        <v>0.996123948</v>
      </c>
      <c r="X202" s="62">
        <v>0.51378296</v>
      </c>
      <c r="Y202" s="62">
        <v>0.995359871</v>
      </c>
      <c r="Z202" s="62">
        <v>0.462076293</v>
      </c>
      <c r="AA202" s="62">
        <v>0.290548703</v>
      </c>
      <c r="AB202" s="62">
        <v>0.273918989</v>
      </c>
      <c r="AC202" s="62">
        <v>0.334507042</v>
      </c>
      <c r="AD202" s="62">
        <v>0.426008969</v>
      </c>
      <c r="AE202" s="62">
        <v>0.374753452</v>
      </c>
      <c r="AF202" s="62">
        <v>0.652427975</v>
      </c>
      <c r="AG202" s="62">
        <v>0.473282443</v>
      </c>
      <c r="AH202" s="62">
        <v>0.102479339</v>
      </c>
      <c r="AI202" s="62">
        <v>0.168478261</v>
      </c>
      <c r="AJ202" s="62">
        <v>0.320076304</v>
      </c>
      <c r="AK202" s="62">
        <v>0.997228902</v>
      </c>
      <c r="AL202" s="62">
        <v>0.999007016</v>
      </c>
      <c r="AM202" s="62">
        <v>0.998117167</v>
      </c>
      <c r="AN202" s="62">
        <v>0.472449034</v>
      </c>
      <c r="AO202" s="49"/>
      <c r="AP202" s="49"/>
      <c r="AQ202" s="49"/>
    </row>
    <row r="203">
      <c r="A203" s="13"/>
      <c r="B203" s="16"/>
      <c r="C203" s="46">
        <v>4.0</v>
      </c>
      <c r="D203" s="47">
        <v>1.0</v>
      </c>
      <c r="E203" s="47">
        <v>1.0</v>
      </c>
      <c r="F203" s="62">
        <v>1.0</v>
      </c>
      <c r="G203" s="62">
        <v>0.00548498</v>
      </c>
      <c r="H203" s="62">
        <v>0.999994751</v>
      </c>
      <c r="I203" s="62">
        <v>0.0</v>
      </c>
      <c r="J203" s="62">
        <v>0.556270267</v>
      </c>
      <c r="K203" s="62">
        <v>1.0</v>
      </c>
      <c r="L203" s="62">
        <v>0.5</v>
      </c>
      <c r="M203" s="62">
        <v>0.017406399</v>
      </c>
      <c r="N203" s="48">
        <f t="shared" si="1"/>
        <v>0.8224183197</v>
      </c>
      <c r="O203" s="48">
        <f t="shared" si="2"/>
        <v>17.59297313</v>
      </c>
      <c r="P203" s="62">
        <v>637.3866432</v>
      </c>
      <c r="Q203" s="62">
        <v>0.896378279</v>
      </c>
      <c r="R203" s="62">
        <v>0.997874839</v>
      </c>
      <c r="S203" s="62">
        <v>0.802149987</v>
      </c>
      <c r="T203" s="62">
        <v>0.770838687</v>
      </c>
      <c r="U203" s="62">
        <v>0.997910056</v>
      </c>
      <c r="V203" s="62">
        <v>0.802149987</v>
      </c>
      <c r="W203" s="62">
        <v>0.997874839</v>
      </c>
      <c r="X203" s="62">
        <v>0.784937855</v>
      </c>
      <c r="Y203" s="62">
        <v>0.997887746</v>
      </c>
      <c r="Z203" s="62">
        <v>0.846906234</v>
      </c>
      <c r="AA203" s="62">
        <v>0.704818272</v>
      </c>
      <c r="AB203" s="62">
        <v>0.704755688</v>
      </c>
      <c r="AC203" s="62">
        <v>0.645038168</v>
      </c>
      <c r="AD203" s="62">
        <v>0.757847534</v>
      </c>
      <c r="AE203" s="62">
        <v>0.696907217</v>
      </c>
      <c r="AF203" s="62">
        <v>0.870370061</v>
      </c>
      <c r="AG203" s="62">
        <v>0.668367347</v>
      </c>
      <c r="AH203" s="62">
        <v>0.649586777</v>
      </c>
      <c r="AI203" s="62">
        <v>0.658843252</v>
      </c>
      <c r="AJ203" s="62">
        <v>0.805630455</v>
      </c>
      <c r="AK203" s="62">
        <v>0.999110547</v>
      </c>
      <c r="AL203" s="62">
        <v>0.99901565</v>
      </c>
      <c r="AM203" s="62">
        <v>0.999063096</v>
      </c>
      <c r="AN203" s="62">
        <v>0.866295722</v>
      </c>
      <c r="AO203" s="49"/>
      <c r="AP203" s="49"/>
      <c r="AQ203" s="49"/>
    </row>
    <row r="204">
      <c r="A204" s="13"/>
      <c r="B204" s="51" t="s">
        <v>24</v>
      </c>
      <c r="C204" s="46">
        <v>1.0</v>
      </c>
      <c r="D204" s="47">
        <v>1.0</v>
      </c>
      <c r="E204" s="47">
        <v>1.0</v>
      </c>
      <c r="F204" s="62">
        <v>1.0</v>
      </c>
      <c r="G204" s="62">
        <v>0.129303558</v>
      </c>
      <c r="H204" s="62">
        <v>0.964524996</v>
      </c>
      <c r="I204" s="62">
        <v>0.282544177</v>
      </c>
      <c r="J204" s="62">
        <v>0.700572965</v>
      </c>
      <c r="K204" s="62">
        <v>1.0</v>
      </c>
      <c r="L204" s="62">
        <v>0.5</v>
      </c>
      <c r="M204" s="62">
        <v>0.676037112</v>
      </c>
      <c r="N204" s="48">
        <f t="shared" si="1"/>
        <v>0.5364413764</v>
      </c>
      <c r="O204" s="48">
        <f t="shared" si="2"/>
        <v>58.84391724</v>
      </c>
      <c r="P204" s="62">
        <v>3938.88568</v>
      </c>
      <c r="Q204" s="62">
        <v>0.019679212</v>
      </c>
      <c r="R204" s="62">
        <v>0.915169948</v>
      </c>
      <c r="S204" s="62">
        <v>0.758248749</v>
      </c>
      <c r="T204" s="62">
        <v>0.359212156</v>
      </c>
      <c r="U204" s="62">
        <v>0.995617312</v>
      </c>
      <c r="V204" s="62">
        <v>0.758248749</v>
      </c>
      <c r="W204" s="62">
        <v>0.915169948</v>
      </c>
      <c r="X204" s="62">
        <v>0.367863231</v>
      </c>
      <c r="Y204" s="62">
        <v>0.952646602</v>
      </c>
      <c r="Z204" s="62">
        <v>0.811613363</v>
      </c>
      <c r="AA204" s="62">
        <v>0.131460459</v>
      </c>
      <c r="AB204" s="62">
        <v>0.04957046</v>
      </c>
      <c r="AC204" s="62">
        <v>0.058629776</v>
      </c>
      <c r="AD204" s="62">
        <v>0.798206278</v>
      </c>
      <c r="AE204" s="62">
        <v>0.109235962</v>
      </c>
      <c r="AF204" s="62">
        <v>0.887909309</v>
      </c>
      <c r="AG204" s="62">
        <v>0.019938831</v>
      </c>
      <c r="AH204" s="62">
        <v>0.560330579</v>
      </c>
      <c r="AI204" s="62">
        <v>0.038507412</v>
      </c>
      <c r="AJ204" s="62">
        <v>0.721151452</v>
      </c>
      <c r="AK204" s="62">
        <v>0.999067862</v>
      </c>
      <c r="AL204" s="62">
        <v>0.91620939</v>
      </c>
      <c r="AM204" s="62">
        <v>0.95584632</v>
      </c>
      <c r="AN204" s="62">
        <v>0.834934632</v>
      </c>
      <c r="AO204" s="49"/>
      <c r="AP204" s="49"/>
      <c r="AQ204" s="49"/>
    </row>
    <row r="205">
      <c r="A205" s="13"/>
      <c r="B205" s="13"/>
      <c r="C205" s="46">
        <v>2.0</v>
      </c>
      <c r="D205" s="47">
        <v>1.0</v>
      </c>
      <c r="E205" s="47">
        <v>1.0</v>
      </c>
      <c r="F205" s="62">
        <v>1.0</v>
      </c>
      <c r="G205" s="62">
        <v>0.072156522</v>
      </c>
      <c r="H205" s="62">
        <v>0.983119756</v>
      </c>
      <c r="I205" s="62">
        <v>0.15918923</v>
      </c>
      <c r="J205" s="62">
        <v>0.656186649</v>
      </c>
      <c r="K205" s="62">
        <v>1.0</v>
      </c>
      <c r="L205" s="62">
        <v>0.5</v>
      </c>
      <c r="M205" s="62">
        <v>0.609657962</v>
      </c>
      <c r="N205" s="48">
        <f t="shared" si="1"/>
        <v>0.5538240067</v>
      </c>
      <c r="O205" s="48">
        <f t="shared" si="2"/>
        <v>57.55162178</v>
      </c>
      <c r="P205" s="62">
        <v>3938.88568</v>
      </c>
      <c r="Q205" s="62">
        <v>0.01965007</v>
      </c>
      <c r="R205" s="62">
        <v>0.953156122</v>
      </c>
      <c r="S205" s="62">
        <v>0.76798174</v>
      </c>
      <c r="T205" s="62">
        <v>0.363428524</v>
      </c>
      <c r="U205" s="62">
        <v>0.995651467</v>
      </c>
      <c r="V205" s="62">
        <v>0.76798174</v>
      </c>
      <c r="W205" s="62">
        <v>0.953156122</v>
      </c>
      <c r="X205" s="62">
        <v>0.3822712</v>
      </c>
      <c r="Y205" s="62">
        <v>0.973029627</v>
      </c>
      <c r="Z205" s="62">
        <v>0.815948185</v>
      </c>
      <c r="AA205" s="62">
        <v>0.177501888</v>
      </c>
      <c r="AB205" s="62">
        <v>0.088586676</v>
      </c>
      <c r="AC205" s="62">
        <v>0.047643843</v>
      </c>
      <c r="AD205" s="62">
        <v>0.820627803</v>
      </c>
      <c r="AE205" s="62">
        <v>0.090059055</v>
      </c>
      <c r="AF205" s="62">
        <v>0.898722193</v>
      </c>
      <c r="AG205" s="62">
        <v>0.043590791</v>
      </c>
      <c r="AH205" s="62">
        <v>0.52892562</v>
      </c>
      <c r="AI205" s="62">
        <v>0.08054367</v>
      </c>
      <c r="AJ205" s="62">
        <v>0.716176156</v>
      </c>
      <c r="AK205" s="62">
        <v>0.999050938</v>
      </c>
      <c r="AL205" s="62">
        <v>0.954391797</v>
      </c>
      <c r="AM205" s="62">
        <v>0.976210874</v>
      </c>
      <c r="AN205" s="62">
        <v>0.843999945</v>
      </c>
      <c r="AO205" s="49"/>
      <c r="AP205" s="49"/>
      <c r="AQ205" s="49"/>
    </row>
    <row r="206">
      <c r="A206" s="13"/>
      <c r="B206" s="13"/>
      <c r="C206" s="46">
        <v>3.0</v>
      </c>
      <c r="D206" s="47">
        <v>1.0</v>
      </c>
      <c r="E206" s="47">
        <v>1.0</v>
      </c>
      <c r="F206" s="62">
        <v>1.0</v>
      </c>
      <c r="G206" s="62">
        <v>0.091612068</v>
      </c>
      <c r="H206" s="62">
        <v>0.97692348</v>
      </c>
      <c r="I206" s="62">
        <v>0.190545544</v>
      </c>
      <c r="J206" s="62">
        <v>0.669046475</v>
      </c>
      <c r="K206" s="62">
        <v>1.0</v>
      </c>
      <c r="L206" s="62">
        <v>0.5</v>
      </c>
      <c r="M206" s="62">
        <v>0.629575191</v>
      </c>
      <c r="N206" s="48">
        <f t="shared" si="1"/>
        <v>0.5639847984</v>
      </c>
      <c r="O206" s="48">
        <f t="shared" si="2"/>
        <v>58.93584047</v>
      </c>
      <c r="P206" s="62">
        <v>3938.88568</v>
      </c>
      <c r="Q206" s="62">
        <v>0.019876885</v>
      </c>
      <c r="R206" s="62">
        <v>0.940908485</v>
      </c>
      <c r="S206" s="62">
        <v>0.808312345</v>
      </c>
      <c r="T206" s="62">
        <v>0.370519484</v>
      </c>
      <c r="U206" s="62">
        <v>0.996017767</v>
      </c>
      <c r="V206" s="62">
        <v>0.808312345</v>
      </c>
      <c r="W206" s="62">
        <v>0.940908485</v>
      </c>
      <c r="X206" s="62">
        <v>0.392338565</v>
      </c>
      <c r="Y206" s="62">
        <v>0.966566614</v>
      </c>
      <c r="Z206" s="62">
        <v>0.86161423</v>
      </c>
      <c r="AA206" s="62">
        <v>0.180856217</v>
      </c>
      <c r="AB206" s="62">
        <v>0.080668152</v>
      </c>
      <c r="AC206" s="62">
        <v>0.077720207</v>
      </c>
      <c r="AD206" s="62">
        <v>0.807174888</v>
      </c>
      <c r="AE206" s="62">
        <v>0.141788106</v>
      </c>
      <c r="AF206" s="62">
        <v>0.894287802</v>
      </c>
      <c r="AG206" s="62">
        <v>0.034424712</v>
      </c>
      <c r="AH206" s="62">
        <v>0.676033058</v>
      </c>
      <c r="AI206" s="62">
        <v>0.065513375</v>
      </c>
      <c r="AJ206" s="62">
        <v>0.801612421</v>
      </c>
      <c r="AK206" s="62">
        <v>0.999413533</v>
      </c>
      <c r="AL206" s="62">
        <v>0.941729088</v>
      </c>
      <c r="AM206" s="62">
        <v>0.969714213</v>
      </c>
      <c r="AN206" s="62">
        <v>0.892271136</v>
      </c>
      <c r="AO206" s="49"/>
      <c r="AP206" s="49"/>
      <c r="AQ206" s="49"/>
    </row>
    <row r="207">
      <c r="A207" s="13"/>
      <c r="B207" s="16"/>
      <c r="C207" s="46">
        <v>4.0</v>
      </c>
      <c r="D207" s="47">
        <v>1.0</v>
      </c>
      <c r="E207" s="47">
        <v>1.0</v>
      </c>
      <c r="F207" s="62">
        <v>1.0</v>
      </c>
      <c r="G207" s="62">
        <v>0.010873166</v>
      </c>
      <c r="H207" s="62">
        <v>0.999527557</v>
      </c>
      <c r="I207" s="62">
        <v>1.3155E-4</v>
      </c>
      <c r="J207" s="62">
        <v>0.567444055</v>
      </c>
      <c r="K207" s="62">
        <v>1.0</v>
      </c>
      <c r="L207" s="62">
        <v>0.5</v>
      </c>
      <c r="M207" s="62">
        <v>0.182794603</v>
      </c>
      <c r="N207" s="48">
        <f t="shared" si="1"/>
        <v>0.7744760947</v>
      </c>
      <c r="O207" s="48">
        <f t="shared" si="2"/>
        <v>43.47005182</v>
      </c>
      <c r="P207" s="62">
        <v>3938.88568</v>
      </c>
      <c r="Q207" s="62">
        <v>0.019615807</v>
      </c>
      <c r="R207" s="62">
        <v>0.995224841</v>
      </c>
      <c r="S207" s="62">
        <v>0.847817882</v>
      </c>
      <c r="T207" s="62">
        <v>0.601640254</v>
      </c>
      <c r="U207" s="62">
        <v>0.997509591</v>
      </c>
      <c r="V207" s="62">
        <v>0.847817882</v>
      </c>
      <c r="W207" s="62">
        <v>0.995224841</v>
      </c>
      <c r="X207" s="62">
        <v>0.684810882</v>
      </c>
      <c r="Y207" s="62">
        <v>0.996123493</v>
      </c>
      <c r="Z207" s="62">
        <v>0.903312868</v>
      </c>
      <c r="AA207" s="62">
        <v>0.59238638</v>
      </c>
      <c r="AB207" s="62">
        <v>0.556576181</v>
      </c>
      <c r="AC207" s="62">
        <v>0.439276486</v>
      </c>
      <c r="AD207" s="62">
        <v>0.762331839</v>
      </c>
      <c r="AE207" s="62">
        <v>0.557377049</v>
      </c>
      <c r="AF207" s="62">
        <v>0.872708142</v>
      </c>
      <c r="AG207" s="62">
        <v>0.365947612</v>
      </c>
      <c r="AH207" s="62">
        <v>0.785123967</v>
      </c>
      <c r="AI207" s="62">
        <v>0.499211771</v>
      </c>
      <c r="AJ207" s="62">
        <v>0.884498152</v>
      </c>
      <c r="AK207" s="62">
        <v>0.999696665</v>
      </c>
      <c r="AL207" s="62">
        <v>0.995997841</v>
      </c>
      <c r="AM207" s="62">
        <v>0.997843826</v>
      </c>
      <c r="AN207" s="62">
        <v>0.954879639</v>
      </c>
      <c r="AO207" s="49"/>
      <c r="AP207" s="49"/>
      <c r="AQ207" s="49"/>
    </row>
    <row r="208">
      <c r="A208" s="13"/>
      <c r="B208" s="51" t="s">
        <v>25</v>
      </c>
      <c r="C208" s="46">
        <v>1.0</v>
      </c>
      <c r="D208" s="47">
        <v>1.0</v>
      </c>
      <c r="E208" s="47">
        <v>1.0</v>
      </c>
      <c r="F208" s="62">
        <v>1.0</v>
      </c>
      <c r="G208" s="62">
        <v>0.003974997</v>
      </c>
      <c r="H208" s="62">
        <v>0.999948042</v>
      </c>
      <c r="I208" s="62">
        <v>0.002547022</v>
      </c>
      <c r="J208" s="62">
        <v>0.552502749</v>
      </c>
      <c r="K208" s="62">
        <v>1.0</v>
      </c>
      <c r="L208" s="62">
        <v>0.5</v>
      </c>
      <c r="M208" s="62">
        <v>0.298230754</v>
      </c>
      <c r="N208" s="48">
        <f t="shared" si="1"/>
        <v>0.5494759001</v>
      </c>
      <c r="O208" s="48">
        <f t="shared" si="2"/>
        <v>43.03186413</v>
      </c>
      <c r="P208" s="62">
        <v>4212.982883</v>
      </c>
      <c r="Q208" s="62">
        <v>0.080060551</v>
      </c>
      <c r="R208" s="62">
        <v>0.995375409</v>
      </c>
      <c r="S208" s="62">
        <v>0.469883586</v>
      </c>
      <c r="T208" s="62">
        <v>0.524311039</v>
      </c>
      <c r="U208" s="62">
        <v>0.994731026</v>
      </c>
      <c r="V208" s="62">
        <v>0.469883586</v>
      </c>
      <c r="W208" s="62">
        <v>0.995375409</v>
      </c>
      <c r="X208" s="62">
        <v>0.492224089</v>
      </c>
      <c r="Y208" s="62">
        <v>0.995032607</v>
      </c>
      <c r="Z208" s="62">
        <v>0.462279832</v>
      </c>
      <c r="AA208" s="62">
        <v>0.25698291</v>
      </c>
      <c r="AB208" s="62">
        <v>0.254215248</v>
      </c>
      <c r="AC208" s="62">
        <v>0.289655172</v>
      </c>
      <c r="AD208" s="62">
        <v>0.188340807</v>
      </c>
      <c r="AE208" s="62">
        <v>0.22826087</v>
      </c>
      <c r="AF208" s="62">
        <v>0.433886245</v>
      </c>
      <c r="AG208" s="62">
        <v>0.286016949</v>
      </c>
      <c r="AH208" s="62">
        <v>0.223140496</v>
      </c>
      <c r="AI208" s="62">
        <v>0.250696379</v>
      </c>
      <c r="AJ208" s="62">
        <v>0.472034059</v>
      </c>
      <c r="AK208" s="62">
        <v>0.997260995</v>
      </c>
      <c r="AL208" s="62">
        <v>0.998169455</v>
      </c>
      <c r="AM208" s="62">
        <v>0.997715018</v>
      </c>
      <c r="AN208" s="62">
        <v>0.482353711</v>
      </c>
      <c r="AO208" s="49"/>
      <c r="AP208" s="49"/>
      <c r="AQ208" s="49"/>
    </row>
    <row r="209">
      <c r="A209" s="13"/>
      <c r="B209" s="13"/>
      <c r="C209" s="46">
        <v>2.0</v>
      </c>
      <c r="D209" s="47">
        <v>1.0</v>
      </c>
      <c r="E209" s="47">
        <v>1.0</v>
      </c>
      <c r="F209" s="62">
        <v>1.0</v>
      </c>
      <c r="G209" s="62">
        <v>0.009660017</v>
      </c>
      <c r="H209" s="62">
        <v>0.99963485</v>
      </c>
      <c r="I209" s="62">
        <v>0.013255183</v>
      </c>
      <c r="J209" s="62">
        <v>0.564563793</v>
      </c>
      <c r="K209" s="62">
        <v>1.0</v>
      </c>
      <c r="L209" s="62">
        <v>0.5</v>
      </c>
      <c r="M209" s="62">
        <v>0.393989843</v>
      </c>
      <c r="N209" s="48">
        <f t="shared" si="1"/>
        <v>0.5981795193</v>
      </c>
      <c r="O209" s="48">
        <f t="shared" si="2"/>
        <v>50.61659586</v>
      </c>
      <c r="P209" s="62">
        <v>4212.982883</v>
      </c>
      <c r="Q209" s="62">
        <v>0.079981784</v>
      </c>
      <c r="R209" s="62">
        <v>0.992682392</v>
      </c>
      <c r="S209" s="62">
        <v>0.584003529</v>
      </c>
      <c r="T209" s="62">
        <v>0.518834998</v>
      </c>
      <c r="U209" s="62">
        <v>0.995097438</v>
      </c>
      <c r="V209" s="62">
        <v>0.584003529</v>
      </c>
      <c r="W209" s="62">
        <v>0.992682392</v>
      </c>
      <c r="X209" s="62">
        <v>0.540993582</v>
      </c>
      <c r="Y209" s="62">
        <v>0.993806949</v>
      </c>
      <c r="Z209" s="62">
        <v>0.618778357</v>
      </c>
      <c r="AA209" s="62">
        <v>0.279218637</v>
      </c>
      <c r="AB209" s="62">
        <v>0.267166802</v>
      </c>
      <c r="AC209" s="62">
        <v>0.398305085</v>
      </c>
      <c r="AD209" s="62">
        <v>0.421524664</v>
      </c>
      <c r="AE209" s="62">
        <v>0.409586057</v>
      </c>
      <c r="AF209" s="62">
        <v>0.649050782</v>
      </c>
      <c r="AG209" s="62">
        <v>0.160347551</v>
      </c>
      <c r="AH209" s="62">
        <v>0.33553719</v>
      </c>
      <c r="AI209" s="62">
        <v>0.216996259</v>
      </c>
      <c r="AJ209" s="62">
        <v>0.57792628</v>
      </c>
      <c r="AK209" s="62">
        <v>0.997852358</v>
      </c>
      <c r="AL209" s="62">
        <v>0.994948732</v>
      </c>
      <c r="AM209" s="62">
        <v>0.99639843</v>
      </c>
      <c r="AN209" s="62">
        <v>0.631617603</v>
      </c>
      <c r="AO209" s="49"/>
      <c r="AP209" s="49"/>
      <c r="AQ209" s="49"/>
    </row>
    <row r="210">
      <c r="A210" s="13"/>
      <c r="B210" s="13"/>
      <c r="C210" s="46">
        <v>3.0</v>
      </c>
      <c r="D210" s="47">
        <v>1.0</v>
      </c>
      <c r="E210" s="47">
        <v>1.0</v>
      </c>
      <c r="F210" s="62">
        <v>1.0</v>
      </c>
      <c r="G210" s="62">
        <v>0.005297845</v>
      </c>
      <c r="H210" s="62">
        <v>0.999986865</v>
      </c>
      <c r="I210" s="62">
        <v>7.95E-5</v>
      </c>
      <c r="J210" s="62">
        <v>0.55588302</v>
      </c>
      <c r="K210" s="62">
        <v>1.0</v>
      </c>
      <c r="L210" s="62">
        <v>0.5</v>
      </c>
      <c r="M210" s="62">
        <v>0.167504638</v>
      </c>
      <c r="N210" s="48">
        <f t="shared" si="1"/>
        <v>0.7293672805</v>
      </c>
      <c r="O210" s="48">
        <f t="shared" si="2"/>
        <v>40.49286455</v>
      </c>
      <c r="P210" s="62">
        <v>4212.982883</v>
      </c>
      <c r="Q210" s="62">
        <v>0.079750322</v>
      </c>
      <c r="R210" s="62">
        <v>0.996825165</v>
      </c>
      <c r="S210" s="62">
        <v>0.692620747</v>
      </c>
      <c r="T210" s="62">
        <v>0.671713588</v>
      </c>
      <c r="U210" s="62">
        <v>0.996812871</v>
      </c>
      <c r="V210" s="62">
        <v>0.692620747</v>
      </c>
      <c r="W210" s="62">
        <v>0.996825165</v>
      </c>
      <c r="X210" s="62">
        <v>0.67969451</v>
      </c>
      <c r="Y210" s="62">
        <v>0.996809605</v>
      </c>
      <c r="Z210" s="62">
        <v>0.743221339</v>
      </c>
      <c r="AA210" s="62">
        <v>0.550671135</v>
      </c>
      <c r="AB210" s="62">
        <v>0.550658406</v>
      </c>
      <c r="AC210" s="62">
        <v>0.494545455</v>
      </c>
      <c r="AD210" s="62">
        <v>0.609865471</v>
      </c>
      <c r="AE210" s="62">
        <v>0.546184739</v>
      </c>
      <c r="AF210" s="62">
        <v>0.780705091</v>
      </c>
      <c r="AG210" s="62">
        <v>0.522058824</v>
      </c>
      <c r="AH210" s="62">
        <v>0.469421488</v>
      </c>
      <c r="AI210" s="62">
        <v>0.494342907</v>
      </c>
      <c r="AJ210" s="62">
        <v>0.684759131</v>
      </c>
      <c r="AK210" s="62">
        <v>0.998536484</v>
      </c>
      <c r="AL210" s="62">
        <v>0.998575283</v>
      </c>
      <c r="AM210" s="62">
        <v>0.998555883</v>
      </c>
      <c r="AN210" s="62">
        <v>0.767944205</v>
      </c>
      <c r="AO210" s="49"/>
      <c r="AP210" s="49"/>
      <c r="AQ210" s="49"/>
    </row>
    <row r="211">
      <c r="A211" s="13"/>
      <c r="B211" s="16"/>
      <c r="C211" s="46">
        <v>4.0</v>
      </c>
      <c r="D211" s="47">
        <v>1.0</v>
      </c>
      <c r="E211" s="47">
        <v>1.0</v>
      </c>
      <c r="F211" s="62">
        <v>1.0</v>
      </c>
      <c r="G211" s="62">
        <v>0.007943541</v>
      </c>
      <c r="H211" s="62">
        <v>0.999875865</v>
      </c>
      <c r="I211" s="62">
        <v>9.46E-5</v>
      </c>
      <c r="J211" s="62">
        <v>0.561598441</v>
      </c>
      <c r="K211" s="62">
        <v>1.0</v>
      </c>
      <c r="L211" s="62">
        <v>0.5</v>
      </c>
      <c r="M211" s="62">
        <v>0.172723187</v>
      </c>
      <c r="N211" s="48">
        <f t="shared" si="1"/>
        <v>0.8006698689</v>
      </c>
      <c r="O211" s="48">
        <f t="shared" si="2"/>
        <v>43.35232046</v>
      </c>
      <c r="P211" s="62">
        <v>4212.982883</v>
      </c>
      <c r="Q211" s="62">
        <v>0.079578006</v>
      </c>
      <c r="R211" s="62">
        <v>0.996760636</v>
      </c>
      <c r="S211" s="62">
        <v>0.830591595</v>
      </c>
      <c r="T211" s="62">
        <v>0.672818787</v>
      </c>
      <c r="U211" s="62">
        <v>0.997631834</v>
      </c>
      <c r="V211" s="62">
        <v>0.830591595</v>
      </c>
      <c r="W211" s="62">
        <v>0.996760636</v>
      </c>
      <c r="X211" s="62">
        <v>0.736674562</v>
      </c>
      <c r="Y211" s="62">
        <v>0.997111711</v>
      </c>
      <c r="Z211" s="62">
        <v>0.880221385</v>
      </c>
      <c r="AA211" s="62">
        <v>0.645371678</v>
      </c>
      <c r="AB211" s="62">
        <v>0.632851575</v>
      </c>
      <c r="AC211" s="62">
        <v>0.536050157</v>
      </c>
      <c r="AD211" s="62">
        <v>0.766816144</v>
      </c>
      <c r="AE211" s="62">
        <v>0.63099631</v>
      </c>
      <c r="AF211" s="62">
        <v>0.875401309</v>
      </c>
      <c r="AG211" s="62">
        <v>0.48298573</v>
      </c>
      <c r="AH211" s="62">
        <v>0.727272727</v>
      </c>
      <c r="AI211" s="62">
        <v>0.580474934</v>
      </c>
      <c r="AJ211" s="62">
        <v>0.851936189</v>
      </c>
      <c r="AK211" s="62">
        <v>0.999420473</v>
      </c>
      <c r="AL211" s="62">
        <v>0.997685915</v>
      </c>
      <c r="AM211" s="62">
        <v>0.998552441</v>
      </c>
      <c r="AN211" s="62">
        <v>0.914453207</v>
      </c>
      <c r="AO211" s="49"/>
      <c r="AP211" s="49"/>
      <c r="AQ211" s="49"/>
    </row>
    <row r="212">
      <c r="A212" s="13"/>
      <c r="B212" s="51" t="s">
        <v>26</v>
      </c>
      <c r="C212" s="46">
        <v>1.0</v>
      </c>
      <c r="D212" s="47">
        <v>1.0</v>
      </c>
      <c r="E212" s="47">
        <v>1.0</v>
      </c>
      <c r="F212" s="62">
        <v>1.0</v>
      </c>
      <c r="G212" s="62">
        <v>0.013958</v>
      </c>
      <c r="H212" s="62">
        <v>0.998251</v>
      </c>
      <c r="I212" s="62">
        <v>0.002788</v>
      </c>
      <c r="J212" s="62">
        <v>0.573685</v>
      </c>
      <c r="K212" s="62">
        <v>1.0</v>
      </c>
      <c r="L212" s="62">
        <v>0.5</v>
      </c>
      <c r="M212" s="62">
        <v>0.304568</v>
      </c>
      <c r="N212" s="48">
        <f t="shared" si="1"/>
        <v>0.5885247854</v>
      </c>
      <c r="O212" s="48">
        <f t="shared" si="2"/>
        <v>45.22020878</v>
      </c>
      <c r="P212" s="46">
        <v>4268.454389</v>
      </c>
      <c r="Q212" s="46">
        <v>0.054955</v>
      </c>
      <c r="R212" s="46">
        <v>0.990179</v>
      </c>
      <c r="S212" s="46">
        <v>0.643079</v>
      </c>
      <c r="T212" s="46">
        <v>0.456452</v>
      </c>
      <c r="U212" s="46">
        <v>0.995367</v>
      </c>
      <c r="V212" s="46">
        <v>0.643079</v>
      </c>
      <c r="W212" s="46">
        <v>0.990179</v>
      </c>
      <c r="X212" s="46">
        <v>0.479239</v>
      </c>
      <c r="Y212" s="46">
        <v>0.992561</v>
      </c>
      <c r="Z212" s="46">
        <v>0.663776</v>
      </c>
      <c r="AA212" s="46">
        <v>0.261842</v>
      </c>
      <c r="AB212" s="46">
        <v>0.23395</v>
      </c>
      <c r="AC212" s="46">
        <v>0.094473</v>
      </c>
      <c r="AD212" s="46">
        <v>0.659193</v>
      </c>
      <c r="AE212" s="46">
        <v>0.165261</v>
      </c>
      <c r="AF212" s="46">
        <v>0.80944</v>
      </c>
      <c r="AG212" s="46">
        <v>0.276771</v>
      </c>
      <c r="AH212" s="46">
        <v>0.277686</v>
      </c>
      <c r="AI212" s="46">
        <v>0.277228</v>
      </c>
      <c r="AJ212" s="46">
        <v>0.52646</v>
      </c>
      <c r="AK212" s="46">
        <v>0.998111</v>
      </c>
      <c r="AL212" s="46">
        <v>0.992358</v>
      </c>
      <c r="AM212" s="46">
        <v>0.995226</v>
      </c>
      <c r="AN212" s="46">
        <v>0.686302</v>
      </c>
      <c r="AO212" s="70"/>
      <c r="AP212" s="70"/>
      <c r="AQ212" s="70"/>
    </row>
    <row r="213">
      <c r="A213" s="13"/>
      <c r="B213" s="13"/>
      <c r="C213" s="46">
        <v>2.0</v>
      </c>
      <c r="D213" s="47">
        <v>1.0</v>
      </c>
      <c r="E213" s="47">
        <v>1.0</v>
      </c>
      <c r="F213" s="62">
        <v>1.0</v>
      </c>
      <c r="G213" s="62">
        <v>0.012764</v>
      </c>
      <c r="H213" s="62">
        <v>0.99879</v>
      </c>
      <c r="I213" s="62">
        <v>0.002974</v>
      </c>
      <c r="J213" s="62">
        <v>0.571856</v>
      </c>
      <c r="K213" s="62">
        <v>1.0</v>
      </c>
      <c r="L213" s="62">
        <v>0.5</v>
      </c>
      <c r="M213" s="62">
        <v>0.307745</v>
      </c>
      <c r="N213" s="48">
        <f t="shared" si="1"/>
        <v>0.6169468106</v>
      </c>
      <c r="O213" s="48">
        <f t="shared" si="2"/>
        <v>46.71163151</v>
      </c>
      <c r="P213" s="46">
        <v>4268.454389</v>
      </c>
      <c r="Q213" s="46">
        <v>0.054998</v>
      </c>
      <c r="R213" s="46">
        <v>0.991443</v>
      </c>
      <c r="S213" s="46">
        <v>0.670895</v>
      </c>
      <c r="T213" s="46">
        <v>0.471709</v>
      </c>
      <c r="U213" s="46">
        <v>0.995682</v>
      </c>
      <c r="V213" s="46">
        <v>0.670895</v>
      </c>
      <c r="W213" s="46">
        <v>0.991443</v>
      </c>
      <c r="X213" s="46">
        <v>0.509093</v>
      </c>
      <c r="Y213" s="46">
        <v>0.993371</v>
      </c>
      <c r="Z213" s="46">
        <v>0.710339</v>
      </c>
      <c r="AA213" s="46">
        <v>0.316704</v>
      </c>
      <c r="AB213" s="46">
        <v>0.288579</v>
      </c>
      <c r="AC213" s="46">
        <v>0.11784</v>
      </c>
      <c r="AD213" s="46">
        <v>0.64574</v>
      </c>
      <c r="AE213" s="46">
        <v>0.199308</v>
      </c>
      <c r="AF213" s="46">
        <v>0.801712</v>
      </c>
      <c r="AG213" s="46">
        <v>0.298942</v>
      </c>
      <c r="AH213" s="46">
        <v>0.373554</v>
      </c>
      <c r="AI213" s="46">
        <v>0.332109</v>
      </c>
      <c r="AJ213" s="46">
        <v>0.610491</v>
      </c>
      <c r="AK213" s="46">
        <v>0.998347</v>
      </c>
      <c r="AL213" s="46">
        <v>0.99339</v>
      </c>
      <c r="AM213" s="46">
        <v>0.995862</v>
      </c>
      <c r="AN213" s="46">
        <v>0.732316</v>
      </c>
      <c r="AO213" s="70"/>
      <c r="AP213" s="70"/>
      <c r="AQ213" s="70"/>
    </row>
    <row r="214">
      <c r="A214" s="13"/>
      <c r="B214" s="13"/>
      <c r="C214" s="46">
        <v>3.0</v>
      </c>
      <c r="D214" s="47">
        <v>1.0</v>
      </c>
      <c r="E214" s="47">
        <v>1.0</v>
      </c>
      <c r="F214" s="62">
        <v>1.0</v>
      </c>
      <c r="G214" s="62">
        <v>0.006679</v>
      </c>
      <c r="H214" s="62">
        <v>0.9999</v>
      </c>
      <c r="I214" s="62">
        <v>5.09E-4</v>
      </c>
      <c r="J214" s="62">
        <v>0.559186</v>
      </c>
      <c r="K214" s="62">
        <v>1.0</v>
      </c>
      <c r="L214" s="62">
        <v>0.5</v>
      </c>
      <c r="M214" s="62">
        <v>0.22852</v>
      </c>
      <c r="N214" s="48">
        <f t="shared" si="1"/>
        <v>0.7330586282</v>
      </c>
      <c r="O214" s="48">
        <f t="shared" si="2"/>
        <v>45.98888837</v>
      </c>
      <c r="P214" s="46">
        <v>4268.454389</v>
      </c>
      <c r="Q214" s="46">
        <v>0.054972</v>
      </c>
      <c r="R214" s="46">
        <v>0.996309</v>
      </c>
      <c r="S214" s="46">
        <v>0.73487</v>
      </c>
      <c r="T214" s="46">
        <v>0.624765</v>
      </c>
      <c r="U214" s="46">
        <v>0.996878</v>
      </c>
      <c r="V214" s="46">
        <v>0.73487</v>
      </c>
      <c r="W214" s="46">
        <v>0.996309</v>
      </c>
      <c r="X214" s="46">
        <v>0.66277</v>
      </c>
      <c r="Y214" s="46">
        <v>0.996544</v>
      </c>
      <c r="Z214" s="46">
        <v>0.783338</v>
      </c>
      <c r="AA214" s="46">
        <v>0.541711</v>
      </c>
      <c r="AB214" s="46">
        <v>0.538291</v>
      </c>
      <c r="AC214" s="46">
        <v>0.359155</v>
      </c>
      <c r="AD214" s="46">
        <v>0.686099</v>
      </c>
      <c r="AE214" s="46">
        <v>0.471495</v>
      </c>
      <c r="AF214" s="46">
        <v>0.827824</v>
      </c>
      <c r="AG214" s="46">
        <v>0.516393</v>
      </c>
      <c r="AH214" s="46">
        <v>0.520661</v>
      </c>
      <c r="AI214" s="46">
        <v>0.518519</v>
      </c>
      <c r="AJ214" s="46">
        <v>0.721109</v>
      </c>
      <c r="AK214" s="46">
        <v>0.998747</v>
      </c>
      <c r="AL214" s="46">
        <v>0.99785</v>
      </c>
      <c r="AM214" s="46">
        <v>0.998298</v>
      </c>
      <c r="AN214" s="46">
        <v>0.805209</v>
      </c>
      <c r="AO214" s="70"/>
      <c r="AP214" s="70"/>
      <c r="AQ214" s="70"/>
    </row>
    <row r="215">
      <c r="A215" s="13"/>
      <c r="B215" s="16"/>
      <c r="C215" s="46">
        <v>4.0</v>
      </c>
      <c r="D215" s="47">
        <v>1.0</v>
      </c>
      <c r="E215" s="47">
        <v>1.0</v>
      </c>
      <c r="F215" s="62">
        <v>1.0</v>
      </c>
      <c r="G215" s="62">
        <v>0.008279</v>
      </c>
      <c r="H215" s="62">
        <v>0.999846</v>
      </c>
      <c r="I215" s="62">
        <v>4.6E-5</v>
      </c>
      <c r="J215" s="62">
        <v>0.562383</v>
      </c>
      <c r="K215" s="62">
        <v>1.0</v>
      </c>
      <c r="L215" s="62">
        <v>0.5</v>
      </c>
      <c r="M215" s="62">
        <v>0.153157</v>
      </c>
      <c r="N215" s="48">
        <f t="shared" si="1"/>
        <v>0.8033897201</v>
      </c>
      <c r="O215" s="48">
        <f t="shared" si="2"/>
        <v>41.40096867</v>
      </c>
      <c r="P215" s="46">
        <v>4268.454389</v>
      </c>
      <c r="Q215" s="46">
        <v>0.055166</v>
      </c>
      <c r="R215" s="46">
        <v>0.996619</v>
      </c>
      <c r="S215" s="46">
        <v>0.848858</v>
      </c>
      <c r="T215" s="46">
        <v>0.662935</v>
      </c>
      <c r="U215" s="46">
        <v>0.997625</v>
      </c>
      <c r="V215" s="46">
        <v>0.848858</v>
      </c>
      <c r="W215" s="46">
        <v>0.996619</v>
      </c>
      <c r="X215" s="46">
        <v>0.735286</v>
      </c>
      <c r="Y215" s="46">
        <v>0.997018</v>
      </c>
      <c r="Z215" s="46">
        <v>0.892219</v>
      </c>
      <c r="AA215" s="46">
        <v>0.641553</v>
      </c>
      <c r="AB215" s="46">
        <v>0.626368</v>
      </c>
      <c r="AC215" s="46">
        <v>0.516854</v>
      </c>
      <c r="AD215" s="46">
        <v>0.825112</v>
      </c>
      <c r="AE215" s="46">
        <v>0.635579</v>
      </c>
      <c r="AF215" s="46">
        <v>0.90802</v>
      </c>
      <c r="AG215" s="46">
        <v>0.472492</v>
      </c>
      <c r="AH215" s="46">
        <v>0.723967</v>
      </c>
      <c r="AI215" s="46">
        <v>0.571802</v>
      </c>
      <c r="AJ215" s="46">
        <v>0.849965</v>
      </c>
      <c r="AK215" s="46">
        <v>0.999459</v>
      </c>
      <c r="AL215" s="46">
        <v>0.997496</v>
      </c>
      <c r="AM215" s="46">
        <v>0.998477</v>
      </c>
      <c r="AN215" s="46">
        <v>0.920276</v>
      </c>
      <c r="AO215" s="70"/>
      <c r="AP215" s="70"/>
      <c r="AQ215" s="70"/>
    </row>
    <row r="216">
      <c r="A216" s="13"/>
      <c r="B216" s="51" t="s">
        <v>27</v>
      </c>
      <c r="C216" s="46">
        <v>1.0</v>
      </c>
      <c r="D216" s="47">
        <v>1.0</v>
      </c>
      <c r="E216" s="47">
        <v>1.0</v>
      </c>
      <c r="F216" s="62">
        <v>1.0</v>
      </c>
      <c r="G216" s="62">
        <v>0.004465419</v>
      </c>
      <c r="H216" s="62">
        <v>0.999845917</v>
      </c>
      <c r="I216" s="62">
        <v>2.23306E-4</v>
      </c>
      <c r="J216" s="62">
        <v>0.554006193</v>
      </c>
      <c r="K216" s="62">
        <v>1.0</v>
      </c>
      <c r="L216" s="62">
        <v>0.5</v>
      </c>
      <c r="M216" s="65">
        <v>0.198862578</v>
      </c>
      <c r="N216" s="48">
        <f t="shared" si="1"/>
        <v>0.5934592</v>
      </c>
      <c r="O216" s="48">
        <f t="shared" si="2"/>
        <v>38.32266883</v>
      </c>
      <c r="P216" s="46">
        <v>4115.694271</v>
      </c>
      <c r="Q216" s="46">
        <v>0.155913</v>
      </c>
      <c r="R216" s="46">
        <v>0.995573</v>
      </c>
      <c r="S216" s="46">
        <v>0.535572</v>
      </c>
      <c r="T216" s="46">
        <v>0.550419</v>
      </c>
      <c r="U216" s="46">
        <v>0.995326</v>
      </c>
      <c r="V216" s="46">
        <v>0.535572</v>
      </c>
      <c r="W216" s="46">
        <v>0.995573</v>
      </c>
      <c r="X216" s="46">
        <v>0.530048</v>
      </c>
      <c r="Y216" s="46">
        <v>0.995372</v>
      </c>
      <c r="Z216" s="46">
        <v>0.551209</v>
      </c>
      <c r="AA216" s="46">
        <v>0.322708</v>
      </c>
      <c r="AB216" s="46">
        <v>0.321376</v>
      </c>
      <c r="AC216" s="46">
        <v>0.239193</v>
      </c>
      <c r="AD216" s="46">
        <v>0.372197</v>
      </c>
      <c r="AE216" s="46">
        <v>0.291228</v>
      </c>
      <c r="AF216" s="46">
        <v>0.609733</v>
      </c>
      <c r="AG216" s="46">
        <v>0.414493</v>
      </c>
      <c r="AH216" s="46">
        <v>0.236364</v>
      </c>
      <c r="AI216" s="46">
        <v>0.301053</v>
      </c>
      <c r="AJ216" s="46">
        <v>0.485961</v>
      </c>
      <c r="AK216" s="46">
        <v>0.997571</v>
      </c>
      <c r="AL216" s="46">
        <v>0.998157</v>
      </c>
      <c r="AM216" s="46">
        <v>0.997864</v>
      </c>
      <c r="AN216" s="46">
        <v>0.565206</v>
      </c>
      <c r="AO216" s="49"/>
      <c r="AP216" s="49"/>
      <c r="AQ216" s="49"/>
    </row>
    <row r="217">
      <c r="A217" s="13"/>
      <c r="B217" s="13"/>
      <c r="C217" s="46">
        <v>2.0</v>
      </c>
      <c r="D217" s="47">
        <v>1.0</v>
      </c>
      <c r="E217" s="47">
        <v>1.0</v>
      </c>
      <c r="F217" s="62">
        <v>1.0</v>
      </c>
      <c r="G217" s="62">
        <v>0.004749347</v>
      </c>
      <c r="H217" s="62">
        <v>0.999777384</v>
      </c>
      <c r="I217" s="62">
        <v>1.175E-4</v>
      </c>
      <c r="J217" s="62">
        <v>0.55468578</v>
      </c>
      <c r="K217" s="62">
        <v>1.0</v>
      </c>
      <c r="L217" s="62">
        <v>0.5</v>
      </c>
      <c r="M217" s="65">
        <v>0.17871436</v>
      </c>
      <c r="N217" s="48">
        <f t="shared" si="1"/>
        <v>0.6604505543</v>
      </c>
      <c r="O217" s="48">
        <f t="shared" si="2"/>
        <v>39.15326335</v>
      </c>
      <c r="P217" s="46">
        <v>4115.694271</v>
      </c>
      <c r="Q217" s="46">
        <v>0.155878</v>
      </c>
      <c r="R217" s="46">
        <v>0.996128</v>
      </c>
      <c r="S217" s="46">
        <v>0.627615</v>
      </c>
      <c r="T217" s="46">
        <v>0.621291</v>
      </c>
      <c r="U217" s="46">
        <v>0.996137</v>
      </c>
      <c r="V217" s="46">
        <v>0.627615</v>
      </c>
      <c r="W217" s="46">
        <v>0.996128</v>
      </c>
      <c r="X217" s="46">
        <v>0.598103</v>
      </c>
      <c r="Y217" s="46">
        <v>0.995994</v>
      </c>
      <c r="Z217" s="46">
        <v>0.648234</v>
      </c>
      <c r="AA217" s="46">
        <v>0.424281</v>
      </c>
      <c r="AB217" s="46">
        <v>0.423496</v>
      </c>
      <c r="AC217" s="46">
        <v>0.319613</v>
      </c>
      <c r="AD217" s="46">
        <v>0.591928</v>
      </c>
      <c r="AE217" s="46">
        <v>0.415094</v>
      </c>
      <c r="AF217" s="46">
        <v>0.768903</v>
      </c>
      <c r="AG217" s="46">
        <v>0.546296</v>
      </c>
      <c r="AH217" s="46">
        <v>0.292562</v>
      </c>
      <c r="AI217" s="46">
        <v>0.381055</v>
      </c>
      <c r="AJ217" s="46">
        <v>0.540718</v>
      </c>
      <c r="AK217" s="46">
        <v>0.997963</v>
      </c>
      <c r="AL217" s="46">
        <v>0.998355</v>
      </c>
      <c r="AM217" s="46">
        <v>0.998159</v>
      </c>
      <c r="AN217" s="46">
        <v>0.655168</v>
      </c>
      <c r="AO217" s="49"/>
      <c r="AP217" s="49"/>
      <c r="AQ217" s="49"/>
    </row>
    <row r="218">
      <c r="A218" s="13"/>
      <c r="B218" s="13"/>
      <c r="C218" s="46">
        <v>3.0</v>
      </c>
      <c r="D218" s="47">
        <v>1.0</v>
      </c>
      <c r="E218" s="47">
        <v>1.0</v>
      </c>
      <c r="F218" s="62">
        <v>1.0</v>
      </c>
      <c r="G218" s="62">
        <v>0.014770728</v>
      </c>
      <c r="H218" s="62">
        <v>0.998345645</v>
      </c>
      <c r="I218" s="62">
        <v>4.7778E-4</v>
      </c>
      <c r="J218" s="62">
        <v>0.575605389</v>
      </c>
      <c r="K218" s="62">
        <v>1.0</v>
      </c>
      <c r="L218" s="62">
        <v>0.5</v>
      </c>
      <c r="M218" s="65">
        <v>0.227126209</v>
      </c>
      <c r="N218" s="48">
        <f t="shared" si="1"/>
        <v>0.684368876</v>
      </c>
      <c r="O218" s="48">
        <f t="shared" si="2"/>
        <v>44.02314356</v>
      </c>
      <c r="P218" s="46">
        <v>4115.694271</v>
      </c>
      <c r="Q218" s="46">
        <v>0.155824</v>
      </c>
      <c r="R218" s="46">
        <v>0.991706</v>
      </c>
      <c r="S218" s="46">
        <v>0.796432</v>
      </c>
      <c r="T218" s="46">
        <v>0.512002</v>
      </c>
      <c r="U218" s="46">
        <v>0.996829</v>
      </c>
      <c r="V218" s="46">
        <v>0.796432</v>
      </c>
      <c r="W218" s="46">
        <v>0.991706</v>
      </c>
      <c r="X218" s="46">
        <v>0.563039</v>
      </c>
      <c r="Y218" s="46">
        <v>0.993978</v>
      </c>
      <c r="Z218" s="46">
        <v>0.842283</v>
      </c>
      <c r="AA218" s="46">
        <v>0.423587</v>
      </c>
      <c r="AB218" s="46">
        <v>0.374516</v>
      </c>
      <c r="AC218" s="46">
        <v>0.130435</v>
      </c>
      <c r="AD218" s="46">
        <v>0.847534</v>
      </c>
      <c r="AE218" s="46">
        <v>0.226077</v>
      </c>
      <c r="AF218" s="46">
        <v>0.918115</v>
      </c>
      <c r="AG218" s="46">
        <v>0.406365</v>
      </c>
      <c r="AH218" s="46">
        <v>0.54876</v>
      </c>
      <c r="AI218" s="46">
        <v>0.466948</v>
      </c>
      <c r="AJ218" s="46">
        <v>0.740008</v>
      </c>
      <c r="AK218" s="46">
        <v>0.999205</v>
      </c>
      <c r="AL218" s="46">
        <v>0.993002</v>
      </c>
      <c r="AM218" s="46">
        <v>0.996094</v>
      </c>
      <c r="AN218" s="46">
        <v>0.879508</v>
      </c>
      <c r="AO218" s="49"/>
      <c r="AP218" s="49"/>
      <c r="AQ218" s="49"/>
    </row>
    <row r="219">
      <c r="A219" s="16"/>
      <c r="B219" s="16"/>
      <c r="C219" s="46">
        <v>4.0</v>
      </c>
      <c r="D219" s="47">
        <v>1.0</v>
      </c>
      <c r="E219" s="47">
        <v>1.0</v>
      </c>
      <c r="F219" s="62">
        <v>1.0</v>
      </c>
      <c r="G219" s="62">
        <v>0.00776286</v>
      </c>
      <c r="H219" s="62">
        <v>0.999890868</v>
      </c>
      <c r="I219" s="62">
        <v>3.55E-5</v>
      </c>
      <c r="J219" s="62">
        <v>0.561203156</v>
      </c>
      <c r="K219" s="62">
        <v>1.0</v>
      </c>
      <c r="L219" s="62">
        <v>0.5</v>
      </c>
      <c r="M219" s="65">
        <v>0.146671052</v>
      </c>
      <c r="N219" s="48">
        <f t="shared" si="1"/>
        <v>0.7969793494</v>
      </c>
      <c r="O219" s="48">
        <f t="shared" si="2"/>
        <v>40.49542898</v>
      </c>
      <c r="P219" s="46">
        <v>4115.694271</v>
      </c>
      <c r="Q219" s="46">
        <v>0.15596</v>
      </c>
      <c r="R219" s="46">
        <v>0.996765</v>
      </c>
      <c r="S219" s="46">
        <v>0.821717</v>
      </c>
      <c r="T219" s="46">
        <v>0.675244</v>
      </c>
      <c r="U219" s="46">
        <v>0.997578</v>
      </c>
      <c r="V219" s="46">
        <v>0.821717</v>
      </c>
      <c r="W219" s="46">
        <v>0.996765</v>
      </c>
      <c r="X219" s="46">
        <v>0.735376</v>
      </c>
      <c r="Y219" s="46">
        <v>0.997096</v>
      </c>
      <c r="Z219" s="46">
        <v>0.871999</v>
      </c>
      <c r="AA219" s="46">
        <v>0.639784</v>
      </c>
      <c r="AB219" s="46">
        <v>0.628658</v>
      </c>
      <c r="AC219" s="46">
        <v>0.543689</v>
      </c>
      <c r="AD219" s="46">
        <v>0.753363</v>
      </c>
      <c r="AE219" s="46">
        <v>0.631579</v>
      </c>
      <c r="AF219" s="46">
        <v>0.867701</v>
      </c>
      <c r="AG219" s="46">
        <v>0.482682</v>
      </c>
      <c r="AH219" s="46">
        <v>0.71405</v>
      </c>
      <c r="AI219" s="46">
        <v>0.576</v>
      </c>
      <c r="AJ219" s="46">
        <v>0.84417</v>
      </c>
      <c r="AK219" s="46">
        <v>0.99936</v>
      </c>
      <c r="AL219" s="46">
        <v>0.997738</v>
      </c>
      <c r="AM219" s="46">
        <v>0.998548</v>
      </c>
      <c r="AN219" s="46">
        <v>0.905206</v>
      </c>
      <c r="AO219" s="49"/>
      <c r="AP219" s="49"/>
      <c r="AQ219" s="49"/>
    </row>
    <row r="220">
      <c r="A220" s="52" t="s">
        <v>106</v>
      </c>
      <c r="B220" s="53" t="s">
        <v>22</v>
      </c>
      <c r="C220" s="54">
        <v>1.0</v>
      </c>
      <c r="D220" s="55">
        <v>1.0</v>
      </c>
      <c r="E220" s="54">
        <v>1.0</v>
      </c>
      <c r="F220" s="54">
        <v>1.0</v>
      </c>
      <c r="G220" s="54">
        <v>5.1E-4</v>
      </c>
      <c r="H220" s="54">
        <v>0.998807</v>
      </c>
      <c r="I220" s="54">
        <v>0.0</v>
      </c>
      <c r="J220" s="54">
        <v>0.998807</v>
      </c>
      <c r="K220" s="56">
        <v>1.0</v>
      </c>
      <c r="L220" s="54">
        <v>0.5</v>
      </c>
      <c r="M220" s="54">
        <v>0.019186</v>
      </c>
      <c r="N220" s="57">
        <f t="shared" si="1"/>
        <v>0.411451737</v>
      </c>
      <c r="O220" s="57">
        <f t="shared" si="2"/>
        <v>12.07216371</v>
      </c>
      <c r="P220" s="54">
        <v>26.529241</v>
      </c>
      <c r="Q220" s="54">
        <v>0.641627</v>
      </c>
      <c r="R220" s="54">
        <v>0.996128</v>
      </c>
      <c r="S220" s="54">
        <v>0.334878</v>
      </c>
      <c r="T220" s="54">
        <v>0.34481</v>
      </c>
      <c r="U220" s="54">
        <v>0.993003</v>
      </c>
      <c r="V220" s="54">
        <v>0.334878</v>
      </c>
      <c r="W220" s="54">
        <v>0.996128</v>
      </c>
      <c r="X220" s="54">
        <v>0.335611</v>
      </c>
      <c r="Y220" s="54">
        <v>0.99453</v>
      </c>
      <c r="Z220" s="54">
        <v>0.0</v>
      </c>
      <c r="AA220" s="54">
        <v>0.012753</v>
      </c>
      <c r="AB220" s="54">
        <v>0.007185</v>
      </c>
      <c r="AC220" s="54">
        <v>0.0</v>
      </c>
      <c r="AD220" s="54">
        <v>0.0</v>
      </c>
      <c r="AE220" s="54">
        <v>0.0</v>
      </c>
      <c r="AF220" s="54">
        <v>0.0</v>
      </c>
      <c r="AG220" s="54">
        <v>0.037975</v>
      </c>
      <c r="AH220" s="54">
        <v>0.004959</v>
      </c>
      <c r="AI220" s="54">
        <v>0.008772</v>
      </c>
      <c r="AJ220" s="54">
        <v>0.070406</v>
      </c>
      <c r="AK220" s="54">
        <v>0.996454</v>
      </c>
      <c r="AL220" s="54">
        <v>0.999676</v>
      </c>
      <c r="AM220" s="54">
        <v>0.998062</v>
      </c>
      <c r="AN220" s="54">
        <v>0.069494</v>
      </c>
      <c r="AO220" s="69"/>
      <c r="AP220" s="69"/>
      <c r="AQ220" s="69"/>
    </row>
    <row r="221">
      <c r="A221" s="13"/>
      <c r="B221" s="13"/>
      <c r="C221" s="54">
        <v>2.0</v>
      </c>
      <c r="D221" s="55">
        <v>1.0</v>
      </c>
      <c r="E221" s="54">
        <v>1.0</v>
      </c>
      <c r="F221" s="57">
        <v>1.0</v>
      </c>
      <c r="G221" s="57">
        <v>0.025773</v>
      </c>
      <c r="H221" s="57">
        <v>0.99515</v>
      </c>
      <c r="I221" s="57">
        <v>0.0</v>
      </c>
      <c r="J221" s="57">
        <v>0.99515</v>
      </c>
      <c r="K221" s="56">
        <v>1.0</v>
      </c>
      <c r="L221" s="57">
        <v>0.5</v>
      </c>
      <c r="M221" s="54">
        <v>0.019163</v>
      </c>
      <c r="N221" s="57">
        <f t="shared" si="1"/>
        <v>0.4450457525</v>
      </c>
      <c r="O221" s="57">
        <f t="shared" si="2"/>
        <v>12.64818462</v>
      </c>
      <c r="P221" s="54">
        <v>26.529241</v>
      </c>
      <c r="Q221" s="54">
        <v>0.79799</v>
      </c>
      <c r="R221" s="54">
        <v>0.980478</v>
      </c>
      <c r="S221" s="54">
        <v>0.398333</v>
      </c>
      <c r="T221" s="54">
        <v>0.343036</v>
      </c>
      <c r="U221" s="54">
        <v>0.99359</v>
      </c>
      <c r="V221" s="54">
        <v>0.398333</v>
      </c>
      <c r="W221" s="54">
        <v>0.980478</v>
      </c>
      <c r="X221" s="54">
        <v>0.348621</v>
      </c>
      <c r="Y221" s="54">
        <v>0.986815</v>
      </c>
      <c r="Z221" s="54">
        <v>0.0</v>
      </c>
      <c r="AA221" s="54">
        <v>0.072039</v>
      </c>
      <c r="AB221" s="54">
        <v>0.054067</v>
      </c>
      <c r="AC221" s="54">
        <v>0.0</v>
      </c>
      <c r="AD221" s="54">
        <v>0.0</v>
      </c>
      <c r="AE221" s="54">
        <v>0.0</v>
      </c>
      <c r="AF221" s="54">
        <v>0.0</v>
      </c>
      <c r="AG221" s="54">
        <v>0.032048</v>
      </c>
      <c r="AH221" s="54">
        <v>0.21157</v>
      </c>
      <c r="AI221" s="54">
        <v>0.055664</v>
      </c>
      <c r="AJ221" s="54">
        <v>0.456117</v>
      </c>
      <c r="AK221" s="54">
        <v>0.997059</v>
      </c>
      <c r="AL221" s="54">
        <v>0.98343</v>
      </c>
      <c r="AM221" s="54">
        <v>0.990197</v>
      </c>
      <c r="AN221" s="54">
        <v>0.430446</v>
      </c>
      <c r="AO221" s="69"/>
      <c r="AP221" s="69"/>
      <c r="AQ221" s="69"/>
    </row>
    <row r="222">
      <c r="A222" s="13"/>
      <c r="B222" s="13"/>
      <c r="C222" s="54">
        <v>3.0</v>
      </c>
      <c r="D222" s="55">
        <v>1.0</v>
      </c>
      <c r="E222" s="54">
        <v>1.0</v>
      </c>
      <c r="F222" s="57">
        <v>1.0</v>
      </c>
      <c r="G222" s="57">
        <v>0.074867</v>
      </c>
      <c r="H222" s="57">
        <v>0.982307</v>
      </c>
      <c r="I222" s="57">
        <v>7.0E-5</v>
      </c>
      <c r="J222" s="57">
        <v>0.982306</v>
      </c>
      <c r="K222" s="56">
        <v>1.0</v>
      </c>
      <c r="L222" s="57">
        <v>0.5</v>
      </c>
      <c r="M222" s="54">
        <v>0.179596</v>
      </c>
      <c r="N222" s="57">
        <f t="shared" si="1"/>
        <v>0.5348642579</v>
      </c>
      <c r="O222" s="57">
        <f t="shared" si="2"/>
        <v>34.56724838</v>
      </c>
      <c r="P222" s="54">
        <v>26.529241</v>
      </c>
      <c r="Q222" s="54">
        <v>1.040888</v>
      </c>
      <c r="R222" s="54">
        <v>0.950824</v>
      </c>
      <c r="S222" s="54">
        <v>0.701185</v>
      </c>
      <c r="T222" s="54">
        <v>0.360387</v>
      </c>
      <c r="U222" s="54">
        <v>0.995296</v>
      </c>
      <c r="V222" s="54">
        <v>0.701185</v>
      </c>
      <c r="W222" s="54">
        <v>0.950824</v>
      </c>
      <c r="X222" s="54">
        <v>0.376269</v>
      </c>
      <c r="Y222" s="54">
        <v>0.971722</v>
      </c>
      <c r="Z222" s="54">
        <v>0.761853</v>
      </c>
      <c r="AA222" s="54">
        <v>0.153776</v>
      </c>
      <c r="AB222" s="54">
        <v>0.075429</v>
      </c>
      <c r="AC222" s="54">
        <v>0.045528</v>
      </c>
      <c r="AD222" s="54">
        <v>0.632287</v>
      </c>
      <c r="AE222" s="54">
        <v>0.08494</v>
      </c>
      <c r="AF222" s="54">
        <v>0.790088</v>
      </c>
      <c r="AG222" s="54">
        <v>0.036919</v>
      </c>
      <c r="AH222" s="54">
        <v>0.519008</v>
      </c>
      <c r="AI222" s="54">
        <v>0.068935</v>
      </c>
      <c r="AJ222" s="54">
        <v>0.707582</v>
      </c>
      <c r="AK222" s="54">
        <v>0.998714</v>
      </c>
      <c r="AL222" s="54">
        <v>0.952259</v>
      </c>
      <c r="AM222" s="54">
        <v>0.974933</v>
      </c>
      <c r="AN222" s="54">
        <v>0.790973</v>
      </c>
      <c r="AO222" s="69"/>
      <c r="AP222" s="69"/>
      <c r="AQ222" s="69"/>
    </row>
    <row r="223">
      <c r="A223" s="13"/>
      <c r="B223" s="16"/>
      <c r="C223" s="54">
        <v>4.0</v>
      </c>
      <c r="D223" s="55">
        <v>1.0</v>
      </c>
      <c r="E223" s="54">
        <v>1.0</v>
      </c>
      <c r="F223" s="57">
        <v>1.0</v>
      </c>
      <c r="G223" s="57">
        <v>0.005582</v>
      </c>
      <c r="H223" s="57">
        <v>0.999989</v>
      </c>
      <c r="I223" s="57">
        <v>5.6E-5</v>
      </c>
      <c r="J223" s="57">
        <v>0.999989</v>
      </c>
      <c r="K223" s="56">
        <v>1.0</v>
      </c>
      <c r="L223" s="57">
        <v>0.5</v>
      </c>
      <c r="M223" s="54">
        <v>0.174034</v>
      </c>
      <c r="N223" s="57">
        <f t="shared" si="1"/>
        <v>0.8334310829</v>
      </c>
      <c r="O223" s="57">
        <f t="shared" si="2"/>
        <v>44.54258905</v>
      </c>
      <c r="P223" s="54">
        <v>26.529241</v>
      </c>
      <c r="Q223" s="54">
        <v>1.171004</v>
      </c>
      <c r="R223" s="54">
        <v>0.998017</v>
      </c>
      <c r="S223" s="54">
        <v>0.817513</v>
      </c>
      <c r="T223" s="54">
        <v>0.771987</v>
      </c>
      <c r="U223" s="54">
        <v>0.998087</v>
      </c>
      <c r="V223" s="54">
        <v>0.817513</v>
      </c>
      <c r="W223" s="54">
        <v>0.998017</v>
      </c>
      <c r="X223" s="54">
        <v>0.79151</v>
      </c>
      <c r="Y223" s="54">
        <v>0.998042</v>
      </c>
      <c r="Z223" s="54">
        <v>0.862333</v>
      </c>
      <c r="AA223" s="54">
        <v>0.727095</v>
      </c>
      <c r="AB223" s="54">
        <v>0.726917</v>
      </c>
      <c r="AC223" s="54">
        <v>0.613475</v>
      </c>
      <c r="AD223" s="54">
        <v>0.775785</v>
      </c>
      <c r="AE223" s="54">
        <v>0.685149</v>
      </c>
      <c r="AF223" s="54">
        <v>0.88058</v>
      </c>
      <c r="AG223" s="54">
        <v>0.703259</v>
      </c>
      <c r="AH223" s="54">
        <v>0.677686</v>
      </c>
      <c r="AI223" s="54">
        <v>0.690236</v>
      </c>
      <c r="AJ223" s="54">
        <v>0.82291</v>
      </c>
      <c r="AK223" s="54">
        <v>0.999227</v>
      </c>
      <c r="AL223" s="54">
        <v>0.999067</v>
      </c>
      <c r="AM223" s="54">
        <v>0.999147</v>
      </c>
      <c r="AN223" s="54">
        <v>0.884921</v>
      </c>
      <c r="AO223" s="69"/>
      <c r="AP223" s="69"/>
      <c r="AQ223" s="69"/>
    </row>
    <row r="224">
      <c r="A224" s="13"/>
      <c r="B224" s="59" t="s">
        <v>23</v>
      </c>
      <c r="C224" s="54">
        <v>1.0</v>
      </c>
      <c r="D224" s="55">
        <v>1.0</v>
      </c>
      <c r="E224" s="55">
        <v>1.0</v>
      </c>
      <c r="F224" s="57">
        <v>1.0</v>
      </c>
      <c r="G224" s="57">
        <v>0.0</v>
      </c>
      <c r="H224" s="57">
        <v>0.998216703</v>
      </c>
      <c r="I224" s="57">
        <v>0.519205206</v>
      </c>
      <c r="J224" s="57">
        <v>0.998217237</v>
      </c>
      <c r="K224" s="56">
        <v>1.0</v>
      </c>
      <c r="L224" s="57">
        <v>0.5</v>
      </c>
      <c r="M224" s="57">
        <v>0.79822714</v>
      </c>
      <c r="N224" s="57">
        <f t="shared" si="1"/>
        <v>0.4080660711</v>
      </c>
      <c r="O224" s="57">
        <f t="shared" si="2"/>
        <v>53.3689782</v>
      </c>
      <c r="P224" s="56">
        <v>229.7691061</v>
      </c>
      <c r="Q224" s="56">
        <v>0.5598979</v>
      </c>
      <c r="R224" s="57">
        <v>0.99643799</v>
      </c>
      <c r="S224" s="56">
        <v>0.333333333</v>
      </c>
      <c r="T224" s="56">
        <v>0.332145997</v>
      </c>
      <c r="U224" s="56">
        <v>0.992888667</v>
      </c>
      <c r="V224" s="56">
        <v>0.333333333</v>
      </c>
      <c r="W224" s="56">
        <v>0.99643799</v>
      </c>
      <c r="X224" s="56">
        <v>0.332738606</v>
      </c>
      <c r="Y224" s="56">
        <v>0.994660162</v>
      </c>
      <c r="Z224" s="56">
        <v>0.0</v>
      </c>
      <c r="AA224" s="56">
        <v>0.0</v>
      </c>
      <c r="AB224" s="56">
        <v>0.0</v>
      </c>
      <c r="AC224" s="56">
        <v>0.0</v>
      </c>
      <c r="AD224" s="56">
        <v>0.0</v>
      </c>
      <c r="AE224" s="56">
        <v>0.0</v>
      </c>
      <c r="AF224" s="56">
        <v>0.0</v>
      </c>
      <c r="AG224" s="56">
        <v>0.0</v>
      </c>
      <c r="AH224" s="56">
        <v>0.0</v>
      </c>
      <c r="AI224" s="56">
        <v>0.0</v>
      </c>
      <c r="AJ224" s="56">
        <v>0.0</v>
      </c>
      <c r="AK224" s="56">
        <v>0.99643799</v>
      </c>
      <c r="AL224" s="56">
        <v>1.0</v>
      </c>
      <c r="AM224" s="56">
        <v>0.998215817</v>
      </c>
      <c r="AN224" s="56">
        <v>0.0</v>
      </c>
      <c r="AO224" s="58"/>
      <c r="AP224" s="58"/>
      <c r="AQ224" s="58"/>
    </row>
    <row r="225">
      <c r="A225" s="13"/>
      <c r="B225" s="13"/>
      <c r="C225" s="54">
        <v>2.0</v>
      </c>
      <c r="D225" s="55">
        <v>1.0</v>
      </c>
      <c r="E225" s="55">
        <v>1.0</v>
      </c>
      <c r="F225" s="57">
        <v>1.0</v>
      </c>
      <c r="G225" s="57">
        <v>1.94E-5</v>
      </c>
      <c r="H225" s="57">
        <v>0.998259749</v>
      </c>
      <c r="I225" s="57">
        <v>0.619802931</v>
      </c>
      <c r="J225" s="57">
        <v>0.998260278</v>
      </c>
      <c r="K225" s="56">
        <v>1.0</v>
      </c>
      <c r="L225" s="57">
        <v>0.5</v>
      </c>
      <c r="M225" s="57">
        <v>0.822151456</v>
      </c>
      <c r="N225" s="57">
        <f t="shared" si="1"/>
        <v>0.4189406267</v>
      </c>
      <c r="O225" s="57">
        <f t="shared" si="2"/>
        <v>54.86207366</v>
      </c>
      <c r="P225" s="56">
        <v>229.7691061</v>
      </c>
      <c r="Q225" s="56">
        <v>0.57895565</v>
      </c>
      <c r="R225" s="56">
        <v>0.996450895</v>
      </c>
      <c r="S225" s="56">
        <v>0.337817638</v>
      </c>
      <c r="T225" s="56">
        <v>0.665483617</v>
      </c>
      <c r="U225" s="56">
        <v>0.993860815</v>
      </c>
      <c r="V225" s="56">
        <v>0.337817638</v>
      </c>
      <c r="W225" s="56">
        <v>0.996450895</v>
      </c>
      <c r="X225" s="56">
        <v>0.341590314</v>
      </c>
      <c r="Y225" s="56">
        <v>0.994692061</v>
      </c>
      <c r="Z225" s="56">
        <v>0.0</v>
      </c>
      <c r="AA225" s="56">
        <v>0.060143336</v>
      </c>
      <c r="AB225" s="56">
        <v>0.007204012</v>
      </c>
      <c r="AC225" s="56">
        <v>1.0</v>
      </c>
      <c r="AD225" s="56">
        <v>0.013452915</v>
      </c>
      <c r="AE225" s="56">
        <v>0.026548673</v>
      </c>
      <c r="AF225" s="56">
        <v>0.115986701</v>
      </c>
      <c r="AG225" s="56">
        <v>0.0</v>
      </c>
      <c r="AH225" s="56">
        <v>0.0</v>
      </c>
      <c r="AI225" s="56">
        <v>0.0</v>
      </c>
      <c r="AJ225" s="56">
        <v>0.0</v>
      </c>
      <c r="AK225" s="56">
        <v>0.99645085</v>
      </c>
      <c r="AL225" s="56">
        <v>1.0</v>
      </c>
      <c r="AM225" s="56">
        <v>0.99822227</v>
      </c>
      <c r="AN225" s="56">
        <v>0.060192927</v>
      </c>
      <c r="AO225" s="58"/>
      <c r="AP225" s="58"/>
      <c r="AQ225" s="58"/>
    </row>
    <row r="226">
      <c r="A226" s="13"/>
      <c r="B226" s="13"/>
      <c r="C226" s="54">
        <v>3.0</v>
      </c>
      <c r="D226" s="55">
        <v>1.0</v>
      </c>
      <c r="E226" s="55">
        <v>1.0</v>
      </c>
      <c r="F226" s="57">
        <v>1.0</v>
      </c>
      <c r="G226" s="57">
        <v>0.001400283</v>
      </c>
      <c r="H226" s="57">
        <v>0.999407469</v>
      </c>
      <c r="I226" s="57">
        <v>0.615196091</v>
      </c>
      <c r="J226" s="57">
        <v>0.999407822</v>
      </c>
      <c r="K226" s="56">
        <v>1.0</v>
      </c>
      <c r="L226" s="57">
        <v>0.5</v>
      </c>
      <c r="M226" s="57">
        <v>0.821444358</v>
      </c>
      <c r="N226" s="57">
        <f t="shared" si="1"/>
        <v>0.6310661692</v>
      </c>
      <c r="O226" s="57">
        <f t="shared" si="2"/>
        <v>70.12553695</v>
      </c>
      <c r="P226" s="56">
        <v>229.7691061</v>
      </c>
      <c r="Q226" s="56">
        <v>0.613439798</v>
      </c>
      <c r="R226" s="56">
        <v>0.997319888</v>
      </c>
      <c r="S226" s="56">
        <v>0.502670206</v>
      </c>
      <c r="T226" s="56">
        <v>0.973145606</v>
      </c>
      <c r="U226" s="56">
        <v>0.997217535</v>
      </c>
      <c r="V226" s="56">
        <v>0.502670206</v>
      </c>
      <c r="W226" s="56">
        <v>0.997319888</v>
      </c>
      <c r="X226" s="56">
        <v>0.60075488</v>
      </c>
      <c r="Y226" s="56">
        <v>0.996530489</v>
      </c>
      <c r="Z226" s="56">
        <v>0.505401658</v>
      </c>
      <c r="AA226" s="56">
        <v>0.497215532</v>
      </c>
      <c r="AB226" s="56">
        <v>0.403119985</v>
      </c>
      <c r="AC226" s="56">
        <v>0.966666667</v>
      </c>
      <c r="AD226" s="56">
        <v>0.260089686</v>
      </c>
      <c r="AE226" s="56">
        <v>0.409893993</v>
      </c>
      <c r="AF226" s="56">
        <v>0.509987692</v>
      </c>
      <c r="AG226" s="56">
        <v>0.955414013</v>
      </c>
      <c r="AH226" s="56">
        <v>0.247933884</v>
      </c>
      <c r="AI226" s="56">
        <v>0.393700787</v>
      </c>
      <c r="AJ226" s="56">
        <v>0.497922081</v>
      </c>
      <c r="AK226" s="56">
        <v>0.997356138</v>
      </c>
      <c r="AL226" s="56">
        <v>0.999987048</v>
      </c>
      <c r="AM226" s="56">
        <v>0.99866986</v>
      </c>
      <c r="AN226" s="56">
        <v>0.508380526</v>
      </c>
      <c r="AO226" s="58"/>
      <c r="AP226" s="58"/>
      <c r="AQ226" s="58"/>
    </row>
    <row r="227">
      <c r="A227" s="13"/>
      <c r="B227" s="16"/>
      <c r="C227" s="54">
        <v>4.0</v>
      </c>
      <c r="D227" s="55">
        <v>1.0</v>
      </c>
      <c r="E227" s="55">
        <v>1.0</v>
      </c>
      <c r="F227" s="57">
        <v>1.0</v>
      </c>
      <c r="G227" s="57">
        <v>0.004226661</v>
      </c>
      <c r="H227" s="57">
        <v>0.99996213</v>
      </c>
      <c r="I227" s="57">
        <v>2.88E-5</v>
      </c>
      <c r="J227" s="57">
        <v>0.999962197</v>
      </c>
      <c r="K227" s="56">
        <v>1.0</v>
      </c>
      <c r="L227" s="57">
        <v>0.5</v>
      </c>
      <c r="M227" s="57">
        <v>0.155953249</v>
      </c>
      <c r="N227" s="57">
        <f t="shared" si="1"/>
        <v>0.8723499412</v>
      </c>
      <c r="O227" s="57">
        <f t="shared" si="2"/>
        <v>43.81393024</v>
      </c>
      <c r="P227" s="56">
        <v>229.7691061</v>
      </c>
      <c r="Q227" s="56">
        <v>1.032258272</v>
      </c>
      <c r="R227" s="56">
        <v>0.998743832</v>
      </c>
      <c r="S227" s="56">
        <v>0.822164458</v>
      </c>
      <c r="T227" s="56">
        <v>0.919023406</v>
      </c>
      <c r="U227" s="56">
        <v>0.99866285</v>
      </c>
      <c r="V227" s="56">
        <v>0.822164458</v>
      </c>
      <c r="W227" s="56">
        <v>0.998743832</v>
      </c>
      <c r="X227" s="56">
        <v>0.864421023</v>
      </c>
      <c r="Y227" s="56">
        <v>0.998656669</v>
      </c>
      <c r="Z227" s="56">
        <v>0.855947684</v>
      </c>
      <c r="AA227" s="56">
        <v>0.808161311</v>
      </c>
      <c r="AB227" s="56">
        <v>0.802609869</v>
      </c>
      <c r="AC227" s="56">
        <v>0.865384615</v>
      </c>
      <c r="AD227" s="56">
        <v>0.807174888</v>
      </c>
      <c r="AE227" s="56">
        <v>0.835266821</v>
      </c>
      <c r="AF227" s="56">
        <v>0.898374959</v>
      </c>
      <c r="AG227" s="56">
        <v>0.89261745</v>
      </c>
      <c r="AH227" s="56">
        <v>0.659504132</v>
      </c>
      <c r="AI227" s="56">
        <v>0.758555133</v>
      </c>
      <c r="AJ227" s="56">
        <v>0.812014528</v>
      </c>
      <c r="AK227" s="56">
        <v>0.999068154</v>
      </c>
      <c r="AL227" s="56">
        <v>0.999814355</v>
      </c>
      <c r="AM227" s="56">
        <v>0.999441115</v>
      </c>
      <c r="AN227" s="56">
        <v>0.859647148</v>
      </c>
      <c r="AO227" s="58"/>
      <c r="AP227" s="58"/>
      <c r="AQ227" s="58"/>
    </row>
    <row r="228">
      <c r="A228" s="13"/>
      <c r="B228" s="59" t="s">
        <v>24</v>
      </c>
      <c r="C228" s="54">
        <v>1.0</v>
      </c>
      <c r="D228" s="55">
        <v>1.0</v>
      </c>
      <c r="E228" s="55">
        <v>1.0</v>
      </c>
      <c r="F228" s="57">
        <v>1.0</v>
      </c>
      <c r="G228" s="57">
        <v>0.015893535</v>
      </c>
      <c r="H228" s="57">
        <v>0.997639069</v>
      </c>
      <c r="I228" s="57">
        <v>0.017658822</v>
      </c>
      <c r="J228" s="57">
        <v>0.997638978</v>
      </c>
      <c r="K228" s="56">
        <v>1.0</v>
      </c>
      <c r="L228" s="57">
        <v>0.5</v>
      </c>
      <c r="M228" s="57">
        <v>0.454268998</v>
      </c>
      <c r="N228" s="57">
        <f t="shared" si="1"/>
        <v>0.4785987844</v>
      </c>
      <c r="O228" s="57">
        <f t="shared" si="2"/>
        <v>46.871429</v>
      </c>
      <c r="P228" s="56">
        <v>1047.195813</v>
      </c>
      <c r="Q228" s="56">
        <v>0.019791431</v>
      </c>
      <c r="R228" s="56">
        <v>0.987769571</v>
      </c>
      <c r="S228" s="56">
        <v>0.432645196</v>
      </c>
      <c r="T228" s="56">
        <v>0.357685562</v>
      </c>
      <c r="U228" s="56">
        <v>0.994182327</v>
      </c>
      <c r="V228" s="56">
        <v>0.432645196</v>
      </c>
      <c r="W228" s="56">
        <v>0.987769571</v>
      </c>
      <c r="X228" s="56">
        <v>0.371752486</v>
      </c>
      <c r="Y228" s="56">
        <v>0.990780747</v>
      </c>
      <c r="Z228" s="56">
        <v>0.0</v>
      </c>
      <c r="AA228" s="56">
        <v>0.15256734</v>
      </c>
      <c r="AB228" s="56">
        <v>0.132124737</v>
      </c>
      <c r="AC228" s="56">
        <v>0.0</v>
      </c>
      <c r="AD228" s="56">
        <v>0.0</v>
      </c>
      <c r="AE228" s="56">
        <v>0.0</v>
      </c>
      <c r="AF228" s="56">
        <v>0.0</v>
      </c>
      <c r="AG228" s="56">
        <v>0.075517661</v>
      </c>
      <c r="AH228" s="56">
        <v>0.307438017</v>
      </c>
      <c r="AI228" s="56">
        <v>0.12125163</v>
      </c>
      <c r="AJ228" s="56">
        <v>0.551741461</v>
      </c>
      <c r="AK228" s="56">
        <v>0.997539023</v>
      </c>
      <c r="AL228" s="56">
        <v>0.990497572</v>
      </c>
      <c r="AM228" s="56">
        <v>0.994005827</v>
      </c>
      <c r="AN228" s="56">
        <v>0.559837757</v>
      </c>
      <c r="AO228" s="58"/>
      <c r="AP228" s="58"/>
      <c r="AQ228" s="58"/>
    </row>
    <row r="229">
      <c r="A229" s="13"/>
      <c r="B229" s="13"/>
      <c r="C229" s="54">
        <v>2.0</v>
      </c>
      <c r="D229" s="55">
        <v>1.0</v>
      </c>
      <c r="E229" s="55">
        <v>1.0</v>
      </c>
      <c r="F229" s="57">
        <v>1.0</v>
      </c>
      <c r="G229" s="57">
        <v>0.005897966</v>
      </c>
      <c r="H229" s="57">
        <v>0.999422094</v>
      </c>
      <c r="I229" s="57">
        <v>0.007535313</v>
      </c>
      <c r="J229" s="57">
        <v>0.999422275</v>
      </c>
      <c r="K229" s="56">
        <v>1.0</v>
      </c>
      <c r="L229" s="57">
        <v>0.5</v>
      </c>
      <c r="M229" s="57">
        <v>0.394392104</v>
      </c>
      <c r="N229" s="57">
        <f t="shared" si="1"/>
        <v>0.5155112871</v>
      </c>
      <c r="O229" s="57">
        <f t="shared" si="2"/>
        <v>46.31420267</v>
      </c>
      <c r="P229" s="56">
        <v>1047.195813</v>
      </c>
      <c r="Q229" s="56">
        <v>0.019655637</v>
      </c>
      <c r="R229" s="56">
        <v>0.994502114</v>
      </c>
      <c r="S229" s="56">
        <v>0.430501199</v>
      </c>
      <c r="T229" s="56">
        <v>0.397469167</v>
      </c>
      <c r="U229" s="56">
        <v>0.994612336</v>
      </c>
      <c r="V229" s="56">
        <v>0.430501199</v>
      </c>
      <c r="W229" s="56">
        <v>0.994502114</v>
      </c>
      <c r="X229" s="56">
        <v>0.41061287</v>
      </c>
      <c r="Y229" s="56">
        <v>0.99453086</v>
      </c>
      <c r="Z229" s="56">
        <v>0.0</v>
      </c>
      <c r="AA229" s="56">
        <v>0.26434512</v>
      </c>
      <c r="AB229" s="56">
        <v>0.263979837</v>
      </c>
      <c r="AC229" s="56">
        <v>0.0</v>
      </c>
      <c r="AD229" s="56">
        <v>0.0</v>
      </c>
      <c r="AE229" s="56">
        <v>0.0</v>
      </c>
      <c r="AF229" s="56">
        <v>0.0</v>
      </c>
      <c r="AG229" s="56">
        <v>0.194748359</v>
      </c>
      <c r="AH229" s="56">
        <v>0.294214876</v>
      </c>
      <c r="AI229" s="56">
        <v>0.234364714</v>
      </c>
      <c r="AJ229" s="56">
        <v>0.541554146</v>
      </c>
      <c r="AK229" s="56">
        <v>0.997659142</v>
      </c>
      <c r="AL229" s="56">
        <v>0.997288721</v>
      </c>
      <c r="AM229" s="56">
        <v>0.997473897</v>
      </c>
      <c r="AN229" s="56">
        <v>0.58691918</v>
      </c>
      <c r="AO229" s="58"/>
      <c r="AP229" s="58"/>
      <c r="AQ229" s="58"/>
    </row>
    <row r="230">
      <c r="A230" s="13"/>
      <c r="B230" s="13"/>
      <c r="C230" s="54">
        <v>3.0</v>
      </c>
      <c r="D230" s="55">
        <v>1.0</v>
      </c>
      <c r="E230" s="55">
        <v>1.0</v>
      </c>
      <c r="F230" s="57">
        <v>1.0</v>
      </c>
      <c r="G230" s="57">
        <v>0.003536199</v>
      </c>
      <c r="H230" s="57">
        <v>0.999908812</v>
      </c>
      <c r="I230" s="57">
        <v>0.00331081</v>
      </c>
      <c r="J230" s="57">
        <v>0.999908965</v>
      </c>
      <c r="K230" s="56">
        <v>1.0</v>
      </c>
      <c r="L230" s="57">
        <v>0.5</v>
      </c>
      <c r="M230" s="57">
        <v>0.343930625</v>
      </c>
      <c r="N230" s="57">
        <f t="shared" si="1"/>
        <v>0.6482018177</v>
      </c>
      <c r="O230" s="57">
        <f t="shared" si="2"/>
        <v>50.30538606</v>
      </c>
      <c r="P230" s="56">
        <v>1047.195813</v>
      </c>
      <c r="Q230" s="56">
        <v>0.019756196</v>
      </c>
      <c r="R230" s="56">
        <v>0.996567048</v>
      </c>
      <c r="S230" s="56">
        <v>0.564815369</v>
      </c>
      <c r="T230" s="56">
        <v>0.701622082</v>
      </c>
      <c r="U230" s="56">
        <v>0.995962735</v>
      </c>
      <c r="V230" s="56">
        <v>0.564815369</v>
      </c>
      <c r="W230" s="56">
        <v>0.996567048</v>
      </c>
      <c r="X230" s="56">
        <v>0.617242631</v>
      </c>
      <c r="Y230" s="56">
        <v>0.99619967</v>
      </c>
      <c r="Z230" s="56">
        <v>0.594748364</v>
      </c>
      <c r="AA230" s="56">
        <v>0.42771272</v>
      </c>
      <c r="AB230" s="56">
        <v>0.418723365</v>
      </c>
      <c r="AC230" s="56">
        <v>0.714285714</v>
      </c>
      <c r="AD230" s="56">
        <v>0.426008969</v>
      </c>
      <c r="AE230" s="56">
        <v>0.533707865</v>
      </c>
      <c r="AF230" s="56">
        <v>0.652640223</v>
      </c>
      <c r="AG230" s="56">
        <v>0.392771084</v>
      </c>
      <c r="AH230" s="56">
        <v>0.269421488</v>
      </c>
      <c r="AI230" s="56">
        <v>0.319607843</v>
      </c>
      <c r="AJ230" s="56">
        <v>0.518776106</v>
      </c>
      <c r="AK230" s="56">
        <v>0.997809448</v>
      </c>
      <c r="AL230" s="56">
        <v>0.99901565</v>
      </c>
      <c r="AM230" s="56">
        <v>0.998412185</v>
      </c>
      <c r="AN230" s="56">
        <v>0.621363827</v>
      </c>
      <c r="AO230" s="58"/>
      <c r="AP230" s="58"/>
      <c r="AQ230" s="58"/>
    </row>
    <row r="231">
      <c r="A231" s="13"/>
      <c r="B231" s="16"/>
      <c r="C231" s="54">
        <v>4.0</v>
      </c>
      <c r="D231" s="55">
        <v>1.0</v>
      </c>
      <c r="E231" s="55">
        <v>1.0</v>
      </c>
      <c r="F231" s="57">
        <v>1.0</v>
      </c>
      <c r="G231" s="57">
        <v>0.004394437</v>
      </c>
      <c r="H231" s="57">
        <v>0.999977312</v>
      </c>
      <c r="I231" s="57">
        <v>2.65E-5</v>
      </c>
      <c r="J231" s="57">
        <v>0.999977379</v>
      </c>
      <c r="K231" s="56">
        <v>1.0</v>
      </c>
      <c r="L231" s="57">
        <v>0.5</v>
      </c>
      <c r="M231" s="57">
        <v>0.153856611</v>
      </c>
      <c r="N231" s="57">
        <f t="shared" si="1"/>
        <v>0.8487010208</v>
      </c>
      <c r="O231" s="57">
        <f t="shared" si="2"/>
        <v>42.86465173</v>
      </c>
      <c r="P231" s="56">
        <v>1047.195813</v>
      </c>
      <c r="Q231" s="56">
        <v>0.019712633</v>
      </c>
      <c r="R231" s="56">
        <v>0.998507225</v>
      </c>
      <c r="S231" s="56">
        <v>0.792852036</v>
      </c>
      <c r="T231" s="56">
        <v>0.884149873</v>
      </c>
      <c r="U231" s="56">
        <v>0.998388703</v>
      </c>
      <c r="V231" s="56">
        <v>0.792852036</v>
      </c>
      <c r="W231" s="56">
        <v>0.998507225</v>
      </c>
      <c r="X231" s="56">
        <v>0.834261582</v>
      </c>
      <c r="Y231" s="56">
        <v>0.99842254</v>
      </c>
      <c r="Z231" s="56">
        <v>0.838235739</v>
      </c>
      <c r="AA231" s="56">
        <v>0.77315002</v>
      </c>
      <c r="AB231" s="56">
        <v>0.769452944</v>
      </c>
      <c r="AC231" s="56">
        <v>0.853403141</v>
      </c>
      <c r="AD231" s="56">
        <v>0.730941704</v>
      </c>
      <c r="AE231" s="56">
        <v>0.787439614</v>
      </c>
      <c r="AF231" s="56">
        <v>0.854899745</v>
      </c>
      <c r="AG231" s="56">
        <v>0.8</v>
      </c>
      <c r="AH231" s="56">
        <v>0.647933884</v>
      </c>
      <c r="AI231" s="56">
        <v>0.715981735</v>
      </c>
      <c r="AJ231" s="56">
        <v>0.804773265</v>
      </c>
      <c r="AK231" s="56">
        <v>0.999046477</v>
      </c>
      <c r="AL231" s="56">
        <v>0.999680518</v>
      </c>
      <c r="AM231" s="56">
        <v>0.999363397</v>
      </c>
      <c r="AN231" s="56">
        <v>0.856071012</v>
      </c>
      <c r="AO231" s="58"/>
      <c r="AP231" s="58"/>
      <c r="AQ231" s="58"/>
    </row>
    <row r="232">
      <c r="A232" s="13"/>
      <c r="B232" s="59" t="s">
        <v>25</v>
      </c>
      <c r="C232" s="54">
        <v>1.0</v>
      </c>
      <c r="D232" s="55">
        <v>1.0</v>
      </c>
      <c r="E232" s="55">
        <v>1.0</v>
      </c>
      <c r="F232" s="57">
        <v>1.0</v>
      </c>
      <c r="G232" s="57">
        <v>0.004484778</v>
      </c>
      <c r="H232" s="57">
        <v>0.999960182</v>
      </c>
      <c r="I232" s="57">
        <v>0.001647672</v>
      </c>
      <c r="J232" s="57">
        <v>0.999960284</v>
      </c>
      <c r="K232" s="56">
        <v>1.0</v>
      </c>
      <c r="L232" s="57">
        <v>0.5</v>
      </c>
      <c r="M232" s="57">
        <v>0.306173577</v>
      </c>
      <c r="N232" s="57">
        <f t="shared" si="1"/>
        <v>0.4748990905</v>
      </c>
      <c r="O232" s="57">
        <f t="shared" si="2"/>
        <v>39.84261969</v>
      </c>
      <c r="P232" s="56">
        <v>1465.620857</v>
      </c>
      <c r="Q232" s="56">
        <v>0.080114337</v>
      </c>
      <c r="R232" s="56">
        <v>0.994166563</v>
      </c>
      <c r="S232" s="56">
        <v>0.40170771</v>
      </c>
      <c r="T232" s="56">
        <v>0.43556763</v>
      </c>
      <c r="U232" s="56">
        <v>0.993690657</v>
      </c>
      <c r="V232" s="56">
        <v>0.40170771</v>
      </c>
      <c r="W232" s="56">
        <v>0.994166563</v>
      </c>
      <c r="X232" s="56">
        <v>0.414250794</v>
      </c>
      <c r="Y232" s="56">
        <v>0.993915736</v>
      </c>
      <c r="Z232" s="56">
        <v>0.319717602</v>
      </c>
      <c r="AA232" s="56">
        <v>0.105935768</v>
      </c>
      <c r="AB232" s="56">
        <v>0.105508082</v>
      </c>
      <c r="AC232" s="56">
        <v>0.2265625</v>
      </c>
      <c r="AD232" s="56">
        <v>0.130044843</v>
      </c>
      <c r="AE232" s="56">
        <v>0.165242165</v>
      </c>
      <c r="AF232" s="56">
        <v>0.360540434</v>
      </c>
      <c r="AG232" s="56">
        <v>0.083333333</v>
      </c>
      <c r="AH232" s="56">
        <v>0.07768595</v>
      </c>
      <c r="AI232" s="56">
        <v>0.080410607</v>
      </c>
      <c r="AJ232" s="56">
        <v>0.278411059</v>
      </c>
      <c r="AK232" s="56">
        <v>0.996807056</v>
      </c>
      <c r="AL232" s="56">
        <v>0.997392337</v>
      </c>
      <c r="AM232" s="56">
        <v>0.99709961</v>
      </c>
      <c r="AN232" s="56">
        <v>0.325581096</v>
      </c>
      <c r="AO232" s="58"/>
      <c r="AP232" s="58"/>
      <c r="AQ232" s="58"/>
    </row>
    <row r="233">
      <c r="A233" s="13"/>
      <c r="B233" s="13"/>
      <c r="C233" s="54">
        <v>2.0</v>
      </c>
      <c r="D233" s="55">
        <v>1.0</v>
      </c>
      <c r="E233" s="55">
        <v>1.0</v>
      </c>
      <c r="F233" s="57">
        <v>1.0</v>
      </c>
      <c r="G233" s="57">
        <v>0.01163461</v>
      </c>
      <c r="H233" s="57">
        <v>0.998630485</v>
      </c>
      <c r="I233" s="57">
        <v>9.79E-5</v>
      </c>
      <c r="J233" s="57">
        <v>0.998630045</v>
      </c>
      <c r="K233" s="56">
        <v>1.0</v>
      </c>
      <c r="L233" s="57">
        <v>0.5</v>
      </c>
      <c r="M233" s="57">
        <v>0.191168393</v>
      </c>
      <c r="N233" s="57">
        <f t="shared" si="1"/>
        <v>0.5946773379</v>
      </c>
      <c r="O233" s="57">
        <f t="shared" si="2"/>
        <v>37.7689811</v>
      </c>
      <c r="P233" s="56">
        <v>1465.620857</v>
      </c>
      <c r="Q233" s="56">
        <v>0.079701713</v>
      </c>
      <c r="R233" s="56">
        <v>0.991723058</v>
      </c>
      <c r="S233" s="56">
        <v>0.600252147</v>
      </c>
      <c r="T233" s="56">
        <v>0.513433736</v>
      </c>
      <c r="U233" s="56">
        <v>0.995801738</v>
      </c>
      <c r="V233" s="56">
        <v>0.600252147</v>
      </c>
      <c r="W233" s="56">
        <v>0.991723058</v>
      </c>
      <c r="X233" s="56">
        <v>0.512147812</v>
      </c>
      <c r="Y233" s="56">
        <v>0.993620214</v>
      </c>
      <c r="Z233" s="56">
        <v>0.647512521</v>
      </c>
      <c r="AA233" s="56">
        <v>0.285974895</v>
      </c>
      <c r="AB233" s="56">
        <v>0.265388874</v>
      </c>
      <c r="AC233" s="56">
        <v>0.073484849</v>
      </c>
      <c r="AD233" s="56">
        <v>0.434977579</v>
      </c>
      <c r="AE233" s="56">
        <v>0.125729099</v>
      </c>
      <c r="AF233" s="56">
        <v>0.65778936</v>
      </c>
      <c r="AG233" s="56">
        <v>0.46875</v>
      </c>
      <c r="AH233" s="56">
        <v>0.371900826</v>
      </c>
      <c r="AI233" s="56">
        <v>0.414746544</v>
      </c>
      <c r="AJ233" s="56">
        <v>0.609501262</v>
      </c>
      <c r="AK233" s="56">
        <v>0.998066359</v>
      </c>
      <c r="AL233" s="56">
        <v>0.993878036</v>
      </c>
      <c r="AM233" s="56">
        <v>0.995967794</v>
      </c>
      <c r="AN233" s="56">
        <v>0.677147157</v>
      </c>
      <c r="AO233" s="58"/>
      <c r="AP233" s="58"/>
      <c r="AQ233" s="58"/>
    </row>
    <row r="234">
      <c r="A234" s="13"/>
      <c r="B234" s="13"/>
      <c r="C234" s="54">
        <v>3.0</v>
      </c>
      <c r="D234" s="55">
        <v>1.0</v>
      </c>
      <c r="E234" s="55">
        <v>1.0</v>
      </c>
      <c r="F234" s="57">
        <v>1.0</v>
      </c>
      <c r="G234" s="57">
        <v>0.021030058</v>
      </c>
      <c r="H234" s="57">
        <v>0.997572515</v>
      </c>
      <c r="I234" s="57">
        <v>1.86E-5</v>
      </c>
      <c r="J234" s="57">
        <v>0.99757179</v>
      </c>
      <c r="K234" s="56">
        <v>1.0</v>
      </c>
      <c r="L234" s="57">
        <v>0.5</v>
      </c>
      <c r="M234" s="57">
        <v>0.144879797</v>
      </c>
      <c r="N234" s="57">
        <f t="shared" si="1"/>
        <v>0.6312773532</v>
      </c>
      <c r="O234" s="57">
        <f t="shared" si="2"/>
        <v>35.03767317</v>
      </c>
      <c r="P234" s="56">
        <v>1465.620857</v>
      </c>
      <c r="Q234" s="56">
        <v>0.079669904</v>
      </c>
      <c r="R234" s="56">
        <v>0.987098467</v>
      </c>
      <c r="S234" s="56">
        <v>0.760531677</v>
      </c>
      <c r="T234" s="56">
        <v>0.437670922</v>
      </c>
      <c r="U234" s="56">
        <v>0.995874994</v>
      </c>
      <c r="V234" s="56">
        <v>0.760531677</v>
      </c>
      <c r="W234" s="56">
        <v>0.987098467</v>
      </c>
      <c r="X234" s="56">
        <v>0.499438187</v>
      </c>
      <c r="Y234" s="56">
        <v>0.990972419</v>
      </c>
      <c r="Z234" s="56">
        <v>0.807942627</v>
      </c>
      <c r="AA234" s="56">
        <v>0.325788986</v>
      </c>
      <c r="AB234" s="56">
        <v>0.26144224</v>
      </c>
      <c r="AC234" s="56">
        <v>0.157581764</v>
      </c>
      <c r="AD234" s="56">
        <v>0.713004484</v>
      </c>
      <c r="AE234" s="56">
        <v>0.258116883</v>
      </c>
      <c r="AF234" s="56">
        <v>0.842849198</v>
      </c>
      <c r="AG234" s="56">
        <v>0.156556646</v>
      </c>
      <c r="AH234" s="56">
        <v>0.580165289</v>
      </c>
      <c r="AI234" s="56">
        <v>0.246575343</v>
      </c>
      <c r="AJ234" s="56">
        <v>0.758573228</v>
      </c>
      <c r="AK234" s="56">
        <v>0.998874355</v>
      </c>
      <c r="AL234" s="56">
        <v>0.988425256</v>
      </c>
      <c r="AM234" s="56">
        <v>0.993622336</v>
      </c>
      <c r="AN234" s="56">
        <v>0.824886463</v>
      </c>
      <c r="AO234" s="58"/>
      <c r="AP234" s="58"/>
      <c r="AQ234" s="58"/>
    </row>
    <row r="235">
      <c r="A235" s="13"/>
      <c r="B235" s="16"/>
      <c r="C235" s="54">
        <v>4.0</v>
      </c>
      <c r="D235" s="55">
        <v>1.0</v>
      </c>
      <c r="E235" s="55">
        <v>1.0</v>
      </c>
      <c r="F235" s="57">
        <v>1.0</v>
      </c>
      <c r="G235" s="57">
        <v>0.005078446</v>
      </c>
      <c r="H235" s="57">
        <v>0.999997386</v>
      </c>
      <c r="I235" s="57">
        <v>3.91E-8</v>
      </c>
      <c r="J235" s="57">
        <v>0.999997398</v>
      </c>
      <c r="K235" s="56">
        <v>1.0</v>
      </c>
      <c r="L235" s="57">
        <v>0.5</v>
      </c>
      <c r="M235" s="57">
        <v>0.051897359</v>
      </c>
      <c r="N235" s="57">
        <f t="shared" si="1"/>
        <v>0.8855422638</v>
      </c>
      <c r="O235" s="57">
        <f t="shared" si="2"/>
        <v>28.46975168</v>
      </c>
      <c r="P235" s="56">
        <v>1465.620857</v>
      </c>
      <c r="Q235" s="56">
        <v>0.079744572</v>
      </c>
      <c r="R235" s="56">
        <v>0.998657793</v>
      </c>
      <c r="S235" s="56">
        <v>0.864629009</v>
      </c>
      <c r="T235" s="56">
        <v>0.879797408</v>
      </c>
      <c r="U235" s="56">
        <v>0.99861931</v>
      </c>
      <c r="V235" s="56">
        <v>0.864629009</v>
      </c>
      <c r="W235" s="56">
        <v>0.998657793</v>
      </c>
      <c r="X235" s="56">
        <v>0.871840849</v>
      </c>
      <c r="Y235" s="56">
        <v>0.998635699</v>
      </c>
      <c r="Z235" s="56">
        <v>0.893587866</v>
      </c>
      <c r="AA235" s="56">
        <v>0.806535851</v>
      </c>
      <c r="AB235" s="56">
        <v>0.806273724</v>
      </c>
      <c r="AC235" s="56">
        <v>0.853982301</v>
      </c>
      <c r="AD235" s="56">
        <v>0.865470852</v>
      </c>
      <c r="AE235" s="56">
        <v>0.859688196</v>
      </c>
      <c r="AF235" s="56">
        <v>0.930240758</v>
      </c>
      <c r="AG235" s="56">
        <v>0.786096257</v>
      </c>
      <c r="AH235" s="56">
        <v>0.72892562</v>
      </c>
      <c r="AI235" s="56">
        <v>0.756432247</v>
      </c>
      <c r="AJ235" s="56">
        <v>0.853550433</v>
      </c>
      <c r="AK235" s="56">
        <v>0.999313667</v>
      </c>
      <c r="AL235" s="56">
        <v>0.999490556</v>
      </c>
      <c r="AM235" s="56">
        <v>0.999402104</v>
      </c>
      <c r="AN235" s="56">
        <v>0.898643087</v>
      </c>
      <c r="AO235" s="58"/>
      <c r="AP235" s="58"/>
      <c r="AQ235" s="58"/>
    </row>
    <row r="236">
      <c r="A236" s="13"/>
      <c r="B236" s="59" t="s">
        <v>26</v>
      </c>
      <c r="C236" s="54">
        <v>1.0</v>
      </c>
      <c r="D236" s="55">
        <v>1.0</v>
      </c>
      <c r="E236" s="55">
        <v>1.0</v>
      </c>
      <c r="F236" s="57">
        <v>1.0</v>
      </c>
      <c r="G236" s="57">
        <v>0.053875</v>
      </c>
      <c r="H236" s="57">
        <v>0.988649</v>
      </c>
      <c r="I236" s="57">
        <v>0.022094</v>
      </c>
      <c r="J236" s="57">
        <v>0.988648</v>
      </c>
      <c r="K236" s="56">
        <v>1.0</v>
      </c>
      <c r="L236" s="57">
        <v>0.5</v>
      </c>
      <c r="M236" s="57">
        <v>0.470134</v>
      </c>
      <c r="N236" s="57">
        <f t="shared" si="1"/>
        <v>0.5489444109</v>
      </c>
      <c r="O236" s="57">
        <f t="shared" si="2"/>
        <v>51.59477047</v>
      </c>
      <c r="P236" s="54">
        <v>1313.831398</v>
      </c>
      <c r="Q236" s="54">
        <v>0.055236</v>
      </c>
      <c r="R236" s="54">
        <v>0.96466</v>
      </c>
      <c r="S236" s="54">
        <v>0.689554</v>
      </c>
      <c r="T236" s="54">
        <v>0.376852</v>
      </c>
      <c r="U236" s="54">
        <v>0.995369</v>
      </c>
      <c r="V236" s="54">
        <v>0.689554</v>
      </c>
      <c r="W236" s="54">
        <v>0.96466</v>
      </c>
      <c r="X236" s="54">
        <v>0.405497</v>
      </c>
      <c r="Y236" s="54">
        <v>0.979071</v>
      </c>
      <c r="Z236" s="54">
        <v>0.754083</v>
      </c>
      <c r="AA236" s="54">
        <v>0.179328</v>
      </c>
      <c r="AB236" s="54">
        <v>0.101496</v>
      </c>
      <c r="AC236" s="54">
        <v>0.08814</v>
      </c>
      <c r="AD236" s="54">
        <v>0.609865</v>
      </c>
      <c r="AE236" s="54">
        <v>0.15402</v>
      </c>
      <c r="AF236" s="54">
        <v>0.77857</v>
      </c>
      <c r="AG236" s="54">
        <v>0.043689</v>
      </c>
      <c r="AH236" s="54">
        <v>0.492562</v>
      </c>
      <c r="AI236" s="54">
        <v>0.080259</v>
      </c>
      <c r="AJ236" s="54">
        <v>0.691884</v>
      </c>
      <c r="AK236" s="54">
        <v>0.998728</v>
      </c>
      <c r="AL236" s="54">
        <v>0.966234</v>
      </c>
      <c r="AM236" s="54">
        <v>0.982213</v>
      </c>
      <c r="AN236" s="54">
        <v>0.796024</v>
      </c>
      <c r="AO236" s="69"/>
      <c r="AP236" s="69"/>
      <c r="AQ236" s="69"/>
    </row>
    <row r="237">
      <c r="A237" s="13"/>
      <c r="B237" s="13"/>
      <c r="C237" s="54">
        <v>2.0</v>
      </c>
      <c r="D237" s="55">
        <v>1.0</v>
      </c>
      <c r="E237" s="55">
        <v>1.0</v>
      </c>
      <c r="F237" s="57">
        <v>1.0</v>
      </c>
      <c r="G237" s="57">
        <v>0.027289</v>
      </c>
      <c r="H237" s="57">
        <v>0.99603</v>
      </c>
      <c r="I237" s="57">
        <v>0.00519</v>
      </c>
      <c r="J237" s="57">
        <v>0.996029</v>
      </c>
      <c r="K237" s="56">
        <v>1.0</v>
      </c>
      <c r="L237" s="57">
        <v>0.5</v>
      </c>
      <c r="M237" s="57">
        <v>0.370207</v>
      </c>
      <c r="N237" s="57">
        <f t="shared" si="1"/>
        <v>0.5834803594</v>
      </c>
      <c r="O237" s="57">
        <f t="shared" si="2"/>
        <v>48.64000328</v>
      </c>
      <c r="P237" s="54">
        <v>1313.831398</v>
      </c>
      <c r="Q237" s="54">
        <v>0.055222</v>
      </c>
      <c r="R237" s="54">
        <v>0.982332</v>
      </c>
      <c r="S237" s="54">
        <v>0.70537</v>
      </c>
      <c r="T237" s="54">
        <v>0.400518</v>
      </c>
      <c r="U237" s="54">
        <v>0.995423</v>
      </c>
      <c r="V237" s="54">
        <v>0.70537</v>
      </c>
      <c r="W237" s="54">
        <v>0.982332</v>
      </c>
      <c r="X237" s="54">
        <v>0.444346</v>
      </c>
      <c r="Y237" s="54">
        <v>0.988314</v>
      </c>
      <c r="Z237" s="54">
        <v>0.756417</v>
      </c>
      <c r="AA237" s="54">
        <v>0.249424</v>
      </c>
      <c r="AB237" s="54">
        <v>0.183905</v>
      </c>
      <c r="AC237" s="54">
        <v>0.091549</v>
      </c>
      <c r="AD237" s="54">
        <v>0.641256</v>
      </c>
      <c r="AE237" s="54">
        <v>0.160224</v>
      </c>
      <c r="AF237" s="54">
        <v>0.798334</v>
      </c>
      <c r="AG237" s="54">
        <v>0.111403</v>
      </c>
      <c r="AH237" s="54">
        <v>0.490909</v>
      </c>
      <c r="AI237" s="54">
        <v>0.181596</v>
      </c>
      <c r="AJ237" s="54">
        <v>0.69706</v>
      </c>
      <c r="AK237" s="54">
        <v>0.998602</v>
      </c>
      <c r="AL237" s="54">
        <v>0.983944</v>
      </c>
      <c r="AM237" s="54">
        <v>0.991219</v>
      </c>
      <c r="AN237" s="54">
        <v>0.77773</v>
      </c>
      <c r="AO237" s="69"/>
      <c r="AP237" s="69"/>
      <c r="AQ237" s="69"/>
    </row>
    <row r="238">
      <c r="A238" s="13"/>
      <c r="B238" s="13"/>
      <c r="C238" s="54">
        <v>3.0</v>
      </c>
      <c r="D238" s="55">
        <v>1.0</v>
      </c>
      <c r="E238" s="55">
        <v>1.0</v>
      </c>
      <c r="F238" s="57">
        <v>1.0</v>
      </c>
      <c r="G238" s="57">
        <v>0.037904</v>
      </c>
      <c r="H238" s="57">
        <v>0.992944</v>
      </c>
      <c r="I238" s="57">
        <v>0.003334</v>
      </c>
      <c r="J238" s="57">
        <v>0.992943</v>
      </c>
      <c r="K238" s="56">
        <v>1.0</v>
      </c>
      <c r="L238" s="57">
        <v>0.5</v>
      </c>
      <c r="M238" s="57">
        <v>0.343521</v>
      </c>
      <c r="N238" s="57">
        <f t="shared" si="1"/>
        <v>0.6178805485</v>
      </c>
      <c r="O238" s="57">
        <f t="shared" si="2"/>
        <v>48.85668888</v>
      </c>
      <c r="P238" s="54">
        <v>1313.831398</v>
      </c>
      <c r="Q238" s="54">
        <v>0.055354</v>
      </c>
      <c r="R238" s="54">
        <v>0.976017</v>
      </c>
      <c r="S238" s="54">
        <v>0.76797</v>
      </c>
      <c r="T238" s="54">
        <v>0.46673</v>
      </c>
      <c r="U238" s="54">
        <v>0.995912</v>
      </c>
      <c r="V238" s="54">
        <v>0.76797</v>
      </c>
      <c r="W238" s="54">
        <v>0.976017</v>
      </c>
      <c r="X238" s="54">
        <v>0.52155</v>
      </c>
      <c r="Y238" s="54">
        <v>0.985209</v>
      </c>
      <c r="Z238" s="54">
        <v>0.818412</v>
      </c>
      <c r="AA238" s="54">
        <v>0.250785</v>
      </c>
      <c r="AB238" s="54">
        <v>0.163738</v>
      </c>
      <c r="AC238" s="54">
        <v>0.331933</v>
      </c>
      <c r="AD238" s="54">
        <v>0.70852</v>
      </c>
      <c r="AE238" s="54">
        <v>0.452074</v>
      </c>
      <c r="AF238" s="54">
        <v>0.84116</v>
      </c>
      <c r="AG238" s="54">
        <v>0.069285</v>
      </c>
      <c r="AH238" s="54">
        <v>0.618182</v>
      </c>
      <c r="AI238" s="54">
        <v>0.124604</v>
      </c>
      <c r="AJ238" s="54">
        <v>0.77768</v>
      </c>
      <c r="AK238" s="54">
        <v>0.998972</v>
      </c>
      <c r="AL238" s="54">
        <v>0.977209</v>
      </c>
      <c r="AM238" s="54">
        <v>0.98797</v>
      </c>
      <c r="AN238" s="54">
        <v>0.837986</v>
      </c>
      <c r="AO238" s="69"/>
      <c r="AP238" s="69"/>
      <c r="AQ238" s="69"/>
    </row>
    <row r="239">
      <c r="A239" s="13"/>
      <c r="B239" s="16"/>
      <c r="C239" s="54">
        <v>4.0</v>
      </c>
      <c r="D239" s="55">
        <v>1.0</v>
      </c>
      <c r="E239" s="55">
        <v>1.0</v>
      </c>
      <c r="F239" s="57">
        <v>1.0</v>
      </c>
      <c r="G239" s="57">
        <v>0.004917</v>
      </c>
      <c r="H239" s="57">
        <v>0.999995</v>
      </c>
      <c r="I239" s="57">
        <v>1.0E-6</v>
      </c>
      <c r="J239" s="57">
        <v>0.999995</v>
      </c>
      <c r="K239" s="56">
        <v>1.0</v>
      </c>
      <c r="L239" s="57">
        <v>0.5</v>
      </c>
      <c r="M239" s="57">
        <v>0.092231</v>
      </c>
      <c r="N239" s="57">
        <f t="shared" si="1"/>
        <v>0.8823923025</v>
      </c>
      <c r="O239" s="57">
        <f t="shared" si="2"/>
        <v>35.75590655</v>
      </c>
      <c r="P239" s="54">
        <v>1313.831398</v>
      </c>
      <c r="Q239" s="54">
        <v>0.054954</v>
      </c>
      <c r="R239" s="54">
        <v>0.998666</v>
      </c>
      <c r="S239" s="54">
        <v>0.854418</v>
      </c>
      <c r="T239" s="54">
        <v>0.889875</v>
      </c>
      <c r="U239" s="54">
        <v>0.998611</v>
      </c>
      <c r="V239" s="54">
        <v>0.854418</v>
      </c>
      <c r="W239" s="54">
        <v>0.998666</v>
      </c>
      <c r="X239" s="54">
        <v>0.871384</v>
      </c>
      <c r="Y239" s="54">
        <v>0.998633</v>
      </c>
      <c r="Z239" s="54">
        <v>0.884891</v>
      </c>
      <c r="AA239" s="54">
        <v>0.805095</v>
      </c>
      <c r="AB239" s="54">
        <v>0.804375</v>
      </c>
      <c r="AC239" s="54">
        <v>0.87037</v>
      </c>
      <c r="AD239" s="54">
        <v>0.843049</v>
      </c>
      <c r="AE239" s="54">
        <v>0.856492</v>
      </c>
      <c r="AF239" s="54">
        <v>0.918122</v>
      </c>
      <c r="AG239" s="54">
        <v>0.8</v>
      </c>
      <c r="AH239" s="54">
        <v>0.720661</v>
      </c>
      <c r="AI239" s="54">
        <v>0.758261</v>
      </c>
      <c r="AJ239" s="54">
        <v>0.848718</v>
      </c>
      <c r="AK239" s="54">
        <v>0.999253</v>
      </c>
      <c r="AL239" s="54">
        <v>0.999542</v>
      </c>
      <c r="AM239" s="54">
        <v>0.999398</v>
      </c>
      <c r="AN239" s="54">
        <v>0.889214</v>
      </c>
      <c r="AO239" s="69"/>
      <c r="AP239" s="69"/>
      <c r="AQ239" s="69"/>
    </row>
    <row r="240">
      <c r="A240" s="13"/>
      <c r="B240" s="59" t="s">
        <v>27</v>
      </c>
      <c r="C240" s="54">
        <v>1.0</v>
      </c>
      <c r="D240" s="55">
        <v>1.0</v>
      </c>
      <c r="E240" s="55">
        <v>1.0</v>
      </c>
      <c r="F240" s="57">
        <v>1.0</v>
      </c>
      <c r="G240" s="57">
        <v>0.001458359</v>
      </c>
      <c r="H240" s="57">
        <v>0.999333372</v>
      </c>
      <c r="I240" s="57">
        <v>6.89E-6</v>
      </c>
      <c r="J240" s="57">
        <v>0.999333771</v>
      </c>
      <c r="K240" s="56">
        <v>1.0</v>
      </c>
      <c r="L240" s="57">
        <v>0.5</v>
      </c>
      <c r="M240" s="55">
        <v>0.12287926</v>
      </c>
      <c r="N240" s="57">
        <f t="shared" si="1"/>
        <v>0.5390586465</v>
      </c>
      <c r="O240" s="57">
        <f t="shared" si="2"/>
        <v>29.83822914</v>
      </c>
      <c r="P240" s="54">
        <v>1786.027908</v>
      </c>
      <c r="Q240" s="54">
        <v>0.17378</v>
      </c>
      <c r="R240" s="54">
        <v>0.989413</v>
      </c>
      <c r="S240" s="54">
        <v>0.53743</v>
      </c>
      <c r="T240" s="54">
        <v>0.420746</v>
      </c>
      <c r="U240" s="54">
        <v>0.994828</v>
      </c>
      <c r="V240" s="54">
        <v>0.53743</v>
      </c>
      <c r="W240" s="54">
        <v>0.989413</v>
      </c>
      <c r="X240" s="54">
        <v>0.441673</v>
      </c>
      <c r="Y240" s="54">
        <v>0.991998</v>
      </c>
      <c r="Z240" s="54">
        <v>0.573589</v>
      </c>
      <c r="AA240" s="54">
        <v>0.204029</v>
      </c>
      <c r="AB240" s="54">
        <v>0.181801</v>
      </c>
      <c r="AC240" s="54">
        <v>0.055634</v>
      </c>
      <c r="AD240" s="54">
        <v>0.35426</v>
      </c>
      <c r="AE240" s="54">
        <v>0.096166</v>
      </c>
      <c r="AF240" s="54">
        <v>0.593477</v>
      </c>
      <c r="AG240" s="54">
        <v>0.20882</v>
      </c>
      <c r="AH240" s="54">
        <v>0.266116</v>
      </c>
      <c r="AI240" s="54">
        <v>0.234012</v>
      </c>
      <c r="AJ240" s="54">
        <v>0.515185</v>
      </c>
      <c r="AK240" s="54">
        <v>0.997785</v>
      </c>
      <c r="AL240" s="54">
        <v>0.991914</v>
      </c>
      <c r="AM240" s="54">
        <v>0.994841</v>
      </c>
      <c r="AN240" s="54">
        <v>0.617213</v>
      </c>
      <c r="AO240" s="69"/>
      <c r="AP240" s="69"/>
      <c r="AQ240" s="69"/>
    </row>
    <row r="241">
      <c r="A241" s="13"/>
      <c r="B241" s="13"/>
      <c r="C241" s="54">
        <v>2.0</v>
      </c>
      <c r="D241" s="55">
        <v>1.0</v>
      </c>
      <c r="E241" s="55">
        <v>1.0</v>
      </c>
      <c r="F241" s="57">
        <v>1.0</v>
      </c>
      <c r="G241" s="57">
        <v>0.002658602</v>
      </c>
      <c r="H241" s="57">
        <v>0.999700154</v>
      </c>
      <c r="I241" s="57">
        <v>8.02E-7</v>
      </c>
      <c r="J241" s="57">
        <v>0.999700438</v>
      </c>
      <c r="K241" s="56">
        <v>1.0</v>
      </c>
      <c r="L241" s="57">
        <v>0.5</v>
      </c>
      <c r="M241" s="55">
        <v>0.085870288</v>
      </c>
      <c r="N241" s="57">
        <f t="shared" si="1"/>
        <v>0.6213695205</v>
      </c>
      <c r="O241" s="57">
        <f t="shared" si="2"/>
        <v>28.15445569</v>
      </c>
      <c r="P241" s="54">
        <v>1786.027908</v>
      </c>
      <c r="Q241" s="54">
        <v>0.158429</v>
      </c>
      <c r="R241" s="54">
        <v>0.994524</v>
      </c>
      <c r="S241" s="54">
        <v>0.586458</v>
      </c>
      <c r="T241" s="54">
        <v>0.502708</v>
      </c>
      <c r="U241" s="54">
        <v>0.99575</v>
      </c>
      <c r="V241" s="54">
        <v>0.586458</v>
      </c>
      <c r="W241" s="54">
        <v>0.994524</v>
      </c>
      <c r="X241" s="54">
        <v>0.535238</v>
      </c>
      <c r="Y241" s="54">
        <v>0.995095</v>
      </c>
      <c r="Z241" s="54">
        <v>0.643718</v>
      </c>
      <c r="AA241" s="54">
        <v>0.381765</v>
      </c>
      <c r="AB241" s="54">
        <v>0.374807</v>
      </c>
      <c r="AC241" s="54">
        <v>0.169154</v>
      </c>
      <c r="AD241" s="54">
        <v>0.304933</v>
      </c>
      <c r="AE241" s="54">
        <v>0.2176</v>
      </c>
      <c r="AF241" s="54">
        <v>0.55181</v>
      </c>
      <c r="AG241" s="54">
        <v>0.340713</v>
      </c>
      <c r="AH241" s="54">
        <v>0.457851</v>
      </c>
      <c r="AI241" s="54">
        <v>0.390691</v>
      </c>
      <c r="AJ241" s="54">
        <v>0.675864</v>
      </c>
      <c r="AK241" s="54">
        <v>0.998257</v>
      </c>
      <c r="AL241" s="54">
        <v>0.996589</v>
      </c>
      <c r="AM241" s="54">
        <v>0.997423</v>
      </c>
      <c r="AN241" s="54">
        <v>0.715216</v>
      </c>
      <c r="AO241" s="58"/>
      <c r="AP241" s="58"/>
      <c r="AQ241" s="58"/>
    </row>
    <row r="242">
      <c r="A242" s="13"/>
      <c r="B242" s="13"/>
      <c r="C242" s="54">
        <v>3.0</v>
      </c>
      <c r="D242" s="55">
        <v>1.0</v>
      </c>
      <c r="E242" s="55">
        <v>1.0</v>
      </c>
      <c r="F242" s="57">
        <v>1.0</v>
      </c>
      <c r="G242" s="57">
        <v>0.006394841</v>
      </c>
      <c r="H242" s="57">
        <v>0.999934286</v>
      </c>
      <c r="I242" s="57">
        <v>6.11E-7</v>
      </c>
      <c r="J242" s="57">
        <v>0.999934167</v>
      </c>
      <c r="K242" s="56">
        <v>1.0</v>
      </c>
      <c r="L242" s="57">
        <v>0.5</v>
      </c>
      <c r="M242" s="55">
        <v>0.08205835</v>
      </c>
      <c r="N242" s="57">
        <f t="shared" si="1"/>
        <v>0.5514189482</v>
      </c>
      <c r="O242" s="57">
        <f t="shared" si="2"/>
        <v>25.73582669</v>
      </c>
      <c r="P242" s="54">
        <v>1786.027908</v>
      </c>
      <c r="Q242" s="54">
        <v>0.156692</v>
      </c>
      <c r="R242" s="54">
        <v>0.943391</v>
      </c>
      <c r="S242" s="54">
        <v>0.759863</v>
      </c>
      <c r="T242" s="54">
        <v>0.366757</v>
      </c>
      <c r="U242" s="54">
        <v>0.995698</v>
      </c>
      <c r="V242" s="54">
        <v>0.759863</v>
      </c>
      <c r="W242" s="54">
        <v>0.943391</v>
      </c>
      <c r="X242" s="54">
        <v>0.385995</v>
      </c>
      <c r="Y242" s="54">
        <v>0.967795</v>
      </c>
      <c r="Z242" s="54">
        <v>0.819513</v>
      </c>
      <c r="AA242" s="54">
        <v>0.170047</v>
      </c>
      <c r="AB242" s="54">
        <v>0.077622</v>
      </c>
      <c r="AC242" s="54">
        <v>0.064815</v>
      </c>
      <c r="AD242" s="54">
        <v>0.659193</v>
      </c>
      <c r="AE242" s="54">
        <v>0.118025</v>
      </c>
      <c r="AF242" s="54">
        <v>0.808191</v>
      </c>
      <c r="AG242" s="54">
        <v>0.036356</v>
      </c>
      <c r="AH242" s="54">
        <v>0.676033</v>
      </c>
      <c r="AI242" s="54">
        <v>0.069</v>
      </c>
      <c r="AJ242" s="54">
        <v>0.802759</v>
      </c>
      <c r="AK242" s="54">
        <v>0.9991</v>
      </c>
      <c r="AL242" s="54">
        <v>0.944363</v>
      </c>
      <c r="AM242" s="54">
        <v>0.970961</v>
      </c>
      <c r="AN242" s="54">
        <v>0.848338</v>
      </c>
      <c r="AO242" s="58"/>
      <c r="AP242" s="58"/>
      <c r="AQ242" s="58"/>
    </row>
    <row r="243">
      <c r="A243" s="16"/>
      <c r="B243" s="16"/>
      <c r="C243" s="54">
        <v>4.0</v>
      </c>
      <c r="D243" s="55">
        <v>1.0</v>
      </c>
      <c r="E243" s="57">
        <v>1.0</v>
      </c>
      <c r="F243" s="57">
        <v>1.0</v>
      </c>
      <c r="G243" s="57">
        <v>0.004852594</v>
      </c>
      <c r="H243" s="57">
        <v>0.999993917</v>
      </c>
      <c r="I243" s="57">
        <v>5.23E-8</v>
      </c>
      <c r="J243" s="57">
        <v>0.999993949</v>
      </c>
      <c r="K243" s="55">
        <v>1.0</v>
      </c>
      <c r="L243" s="57">
        <v>0.5</v>
      </c>
      <c r="M243" s="55">
        <v>0.054486123</v>
      </c>
      <c r="N243" s="57">
        <f t="shared" si="1"/>
        <v>0.8760844378</v>
      </c>
      <c r="O243" s="57">
        <f t="shared" si="2"/>
        <v>28.84310043</v>
      </c>
      <c r="P243" s="54">
        <v>1786.027908</v>
      </c>
      <c r="Q243" s="54">
        <v>0.15681</v>
      </c>
      <c r="R243" s="54">
        <v>0.99861</v>
      </c>
      <c r="S243" s="54">
        <v>0.848593</v>
      </c>
      <c r="T243" s="54">
        <v>0.87501</v>
      </c>
      <c r="U243" s="54">
        <v>0.998547</v>
      </c>
      <c r="V243" s="54">
        <v>0.848593</v>
      </c>
      <c r="W243" s="54">
        <v>0.99861</v>
      </c>
      <c r="X243" s="54">
        <v>0.860685</v>
      </c>
      <c r="Y243" s="54">
        <v>0.99857</v>
      </c>
      <c r="Z243" s="54">
        <v>0.880492</v>
      </c>
      <c r="AA243" s="54">
        <v>0.796572</v>
      </c>
      <c r="AB243" s="54">
        <v>0.79579</v>
      </c>
      <c r="AC243" s="54">
        <v>0.833333</v>
      </c>
      <c r="AD243" s="54">
        <v>0.852018</v>
      </c>
      <c r="AE243" s="54">
        <v>0.842572</v>
      </c>
      <c r="AF243" s="54">
        <v>0.922973</v>
      </c>
      <c r="AG243" s="54">
        <v>0.792453</v>
      </c>
      <c r="AH243" s="54">
        <v>0.694215</v>
      </c>
      <c r="AI243" s="54">
        <v>0.740088</v>
      </c>
      <c r="AJ243" s="54">
        <v>0.832998</v>
      </c>
      <c r="AK243" s="54">
        <v>0.999245</v>
      </c>
      <c r="AL243" s="54">
        <v>0.999547</v>
      </c>
      <c r="AM243" s="54">
        <v>0.999396</v>
      </c>
      <c r="AN243" s="54">
        <v>0.887857</v>
      </c>
      <c r="AO243" s="58"/>
      <c r="AP243" s="58"/>
      <c r="AQ243" s="58"/>
    </row>
    <row r="244">
      <c r="A244" s="44" t="s">
        <v>107</v>
      </c>
      <c r="B244" s="61" t="s">
        <v>22</v>
      </c>
      <c r="C244" s="46">
        <v>1.0</v>
      </c>
      <c r="D244" s="47">
        <v>1.0</v>
      </c>
      <c r="E244" s="48">
        <v>1.0</v>
      </c>
      <c r="F244" s="48">
        <v>1.0</v>
      </c>
      <c r="G244" s="48">
        <v>0.0</v>
      </c>
      <c r="H244" s="48">
        <v>0.998217</v>
      </c>
      <c r="I244" s="48">
        <v>9.58E-4</v>
      </c>
      <c r="J244" s="48">
        <v>0.540852</v>
      </c>
      <c r="K244" s="47">
        <v>1.0</v>
      </c>
      <c r="L244" s="48">
        <v>0.5</v>
      </c>
      <c r="M244" s="48">
        <v>0.252406</v>
      </c>
      <c r="N244" s="48">
        <f t="shared" si="1"/>
        <v>0.40806609</v>
      </c>
      <c r="O244" s="48">
        <f t="shared" si="2"/>
        <v>33.67271804</v>
      </c>
      <c r="P244" s="46">
        <v>170.845375</v>
      </c>
      <c r="Q244" s="46">
        <v>0.536976</v>
      </c>
      <c r="R244" s="46">
        <v>0.996438</v>
      </c>
      <c r="S244" s="46">
        <v>0.333333</v>
      </c>
      <c r="T244" s="46">
        <v>0.332146</v>
      </c>
      <c r="U244" s="46">
        <v>0.992889</v>
      </c>
      <c r="V244" s="46">
        <v>0.333333</v>
      </c>
      <c r="W244" s="46">
        <v>0.996438</v>
      </c>
      <c r="X244" s="46">
        <v>0.332739</v>
      </c>
      <c r="Y244" s="46">
        <v>0.99466</v>
      </c>
      <c r="Z244" s="46">
        <v>0.0</v>
      </c>
      <c r="AA244" s="46">
        <v>0.0</v>
      </c>
      <c r="AB244" s="46">
        <v>0.0</v>
      </c>
      <c r="AC244" s="46">
        <v>0.0</v>
      </c>
      <c r="AD244" s="46">
        <v>0.0</v>
      </c>
      <c r="AE244" s="46">
        <v>0.0</v>
      </c>
      <c r="AF244" s="46">
        <v>0.0</v>
      </c>
      <c r="AG244" s="46">
        <v>0.0</v>
      </c>
      <c r="AH244" s="46">
        <v>0.0</v>
      </c>
      <c r="AI244" s="46">
        <v>0.0</v>
      </c>
      <c r="AJ244" s="46">
        <v>0.0</v>
      </c>
      <c r="AK244" s="46">
        <v>0.996438</v>
      </c>
      <c r="AL244" s="46">
        <v>1.0</v>
      </c>
      <c r="AM244" s="46">
        <v>0.998216</v>
      </c>
      <c r="AN244" s="46">
        <v>0.0</v>
      </c>
      <c r="AO244" s="64"/>
      <c r="AP244" s="64"/>
      <c r="AQ244" s="64"/>
    </row>
    <row r="245">
      <c r="A245" s="13"/>
      <c r="B245" s="13"/>
      <c r="C245" s="46">
        <v>2.0</v>
      </c>
      <c r="D245" s="47">
        <v>1.0</v>
      </c>
      <c r="E245" s="48">
        <v>1.0</v>
      </c>
      <c r="F245" s="48">
        <v>1.0</v>
      </c>
      <c r="G245" s="48">
        <v>3.87E-4</v>
      </c>
      <c r="H245" s="48">
        <v>0.998713</v>
      </c>
      <c r="I245" s="48">
        <v>0.001392</v>
      </c>
      <c r="J245" s="48">
        <v>0.542319</v>
      </c>
      <c r="K245" s="47">
        <v>1.0</v>
      </c>
      <c r="L245" s="48">
        <v>0.5</v>
      </c>
      <c r="M245" s="48">
        <v>0.268781</v>
      </c>
      <c r="N245" s="48">
        <f t="shared" si="1"/>
        <v>0.4090637686</v>
      </c>
      <c r="O245" s="48">
        <f t="shared" si="2"/>
        <v>34.5807203</v>
      </c>
      <c r="P245" s="46">
        <v>170.845375</v>
      </c>
      <c r="Q245" s="46">
        <v>0.59402</v>
      </c>
      <c r="R245" s="46">
        <v>0.996188</v>
      </c>
      <c r="S245" s="46">
        <v>0.333799</v>
      </c>
      <c r="T245" s="46">
        <v>0.337703</v>
      </c>
      <c r="U245" s="46">
        <v>0.992935</v>
      </c>
      <c r="V245" s="46">
        <v>0.333799</v>
      </c>
      <c r="W245" s="46">
        <v>0.996188</v>
      </c>
      <c r="X245" s="46">
        <v>0.333699</v>
      </c>
      <c r="Y245" s="46">
        <v>0.994543</v>
      </c>
      <c r="Z245" s="46">
        <v>0.0</v>
      </c>
      <c r="AA245" s="46">
        <v>0.003662</v>
      </c>
      <c r="AB245" s="46">
        <v>0.001836</v>
      </c>
      <c r="AC245" s="46">
        <v>0.0</v>
      </c>
      <c r="AD245" s="46">
        <v>0.0</v>
      </c>
      <c r="AE245" s="46">
        <v>0.0</v>
      </c>
      <c r="AF245" s="46">
        <v>0.0</v>
      </c>
      <c r="AG245" s="46">
        <v>0.016667</v>
      </c>
      <c r="AH245" s="46">
        <v>0.001653</v>
      </c>
      <c r="AI245" s="46">
        <v>0.003008</v>
      </c>
      <c r="AJ245" s="46">
        <v>0.040651</v>
      </c>
      <c r="AK245" s="46">
        <v>0.996441</v>
      </c>
      <c r="AL245" s="46">
        <v>0.999745</v>
      </c>
      <c r="AM245" s="46">
        <v>0.998091</v>
      </c>
      <c r="AN245" s="46">
        <v>0.034748</v>
      </c>
      <c r="AO245" s="64"/>
      <c r="AP245" s="64"/>
      <c r="AQ245" s="64"/>
    </row>
    <row r="246">
      <c r="A246" s="13"/>
      <c r="B246" s="13"/>
      <c r="C246" s="46">
        <v>3.0</v>
      </c>
      <c r="D246" s="47">
        <v>1.0</v>
      </c>
      <c r="E246" s="48">
        <v>1.0</v>
      </c>
      <c r="F246" s="48">
        <v>1.0</v>
      </c>
      <c r="G246" s="48">
        <v>0.00102</v>
      </c>
      <c r="H246" s="48">
        <v>0.9991</v>
      </c>
      <c r="I246" s="48">
        <v>0.011986</v>
      </c>
      <c r="J246" s="48">
        <v>0.544258</v>
      </c>
      <c r="K246" s="47">
        <v>1.0</v>
      </c>
      <c r="L246" s="48">
        <v>0.5</v>
      </c>
      <c r="M246" s="48">
        <v>0.385042</v>
      </c>
      <c r="N246" s="48">
        <f t="shared" si="1"/>
        <v>0.4429105613</v>
      </c>
      <c r="O246" s="48">
        <f t="shared" si="2"/>
        <v>41.87866834</v>
      </c>
      <c r="P246" s="46">
        <v>170.845375</v>
      </c>
      <c r="Q246" s="46">
        <v>0.706856</v>
      </c>
      <c r="R246" s="46">
        <v>0.996085</v>
      </c>
      <c r="S246" s="46">
        <v>0.354097</v>
      </c>
      <c r="T246" s="46">
        <v>0.412879</v>
      </c>
      <c r="U246" s="46">
        <v>0.993679</v>
      </c>
      <c r="V246" s="46">
        <v>0.354097</v>
      </c>
      <c r="W246" s="46">
        <v>0.996085</v>
      </c>
      <c r="X246" s="46">
        <v>0.365925</v>
      </c>
      <c r="Y246" s="46">
        <v>0.994743</v>
      </c>
      <c r="Z246" s="46">
        <v>0.0</v>
      </c>
      <c r="AA246" s="46">
        <v>0.1039</v>
      </c>
      <c r="AB246" s="46">
        <v>0.076168</v>
      </c>
      <c r="AC246" s="46">
        <v>0.0</v>
      </c>
      <c r="AD246" s="46">
        <v>0.0</v>
      </c>
      <c r="AE246" s="46">
        <v>0.0</v>
      </c>
      <c r="AF246" s="46">
        <v>0.0</v>
      </c>
      <c r="AG246" s="46">
        <v>0.242038</v>
      </c>
      <c r="AH246" s="46">
        <v>0.06281</v>
      </c>
      <c r="AI246" s="46">
        <v>0.099738</v>
      </c>
      <c r="AJ246" s="46">
        <v>0.250555</v>
      </c>
      <c r="AK246" s="46">
        <v>0.996599</v>
      </c>
      <c r="AL246" s="46">
        <v>0.999482</v>
      </c>
      <c r="AM246" s="46">
        <v>0.998038</v>
      </c>
      <c r="AN246" s="46">
        <v>0.214173</v>
      </c>
      <c r="AO246" s="64"/>
      <c r="AP246" s="64"/>
      <c r="AQ246" s="64"/>
    </row>
    <row r="247">
      <c r="A247" s="13"/>
      <c r="B247" s="16"/>
      <c r="C247" s="46">
        <v>4.0</v>
      </c>
      <c r="D247" s="47">
        <v>1.0</v>
      </c>
      <c r="E247" s="48">
        <v>1.0</v>
      </c>
      <c r="F247" s="48">
        <v>1.0</v>
      </c>
      <c r="G247" s="48">
        <v>0.008098</v>
      </c>
      <c r="H247" s="48">
        <v>0.999855</v>
      </c>
      <c r="I247" s="48">
        <v>0.001753</v>
      </c>
      <c r="J247" s="48">
        <v>0.562124</v>
      </c>
      <c r="K247" s="47">
        <v>1.0</v>
      </c>
      <c r="L247" s="48">
        <v>0.5</v>
      </c>
      <c r="M247" s="48">
        <v>0.281041</v>
      </c>
      <c r="N247" s="48">
        <f t="shared" si="1"/>
        <v>0.8529490799</v>
      </c>
      <c r="O247" s="48">
        <f t="shared" si="2"/>
        <v>54.70937279</v>
      </c>
      <c r="P247" s="46">
        <v>170.845375</v>
      </c>
      <c r="Q247" s="46">
        <v>0.894625</v>
      </c>
      <c r="R247" s="46">
        <v>0.997359</v>
      </c>
      <c r="S247" s="46">
        <v>0.919482</v>
      </c>
      <c r="T247" s="46">
        <v>0.703511</v>
      </c>
      <c r="U247" s="46">
        <v>0.998162</v>
      </c>
      <c r="V247" s="46">
        <v>0.919482</v>
      </c>
      <c r="W247" s="46">
        <v>0.997359</v>
      </c>
      <c r="X247" s="46">
        <v>0.785691</v>
      </c>
      <c r="Y247" s="46">
        <v>0.997649</v>
      </c>
      <c r="Z247" s="46">
        <v>0.942749</v>
      </c>
      <c r="AA247" s="46">
        <v>0.719611</v>
      </c>
      <c r="AB247" s="46">
        <v>0.704226</v>
      </c>
      <c r="AC247" s="46">
        <v>0.518987</v>
      </c>
      <c r="AD247" s="46">
        <v>0.919283</v>
      </c>
      <c r="AE247" s="46">
        <v>0.66343</v>
      </c>
      <c r="AF247" s="46">
        <v>0.9584</v>
      </c>
      <c r="AG247" s="46">
        <v>0.59186</v>
      </c>
      <c r="AH247" s="46">
        <v>0.841322</v>
      </c>
      <c r="AI247" s="46">
        <v>0.694881</v>
      </c>
      <c r="AJ247" s="46">
        <v>0.916542</v>
      </c>
      <c r="AK247" s="46">
        <v>0.999684</v>
      </c>
      <c r="AL247" s="46">
        <v>0.997841</v>
      </c>
      <c r="AM247" s="46">
        <v>0.998762</v>
      </c>
      <c r="AN247" s="46">
        <v>0.95387</v>
      </c>
      <c r="AO247" s="64"/>
      <c r="AP247" s="64"/>
      <c r="AQ247" s="64"/>
    </row>
    <row r="248">
      <c r="A248" s="13"/>
      <c r="B248" s="51" t="s">
        <v>23</v>
      </c>
      <c r="C248" s="46">
        <v>1.0</v>
      </c>
      <c r="D248" s="47">
        <v>1.0</v>
      </c>
      <c r="E248" s="48">
        <v>1.0</v>
      </c>
      <c r="F248" s="48">
        <v>1.0</v>
      </c>
      <c r="G248" s="48">
        <v>0.0</v>
      </c>
      <c r="H248" s="48">
        <v>0.998216703</v>
      </c>
      <c r="I248" s="48">
        <v>0.527317945</v>
      </c>
      <c r="J248" s="48">
        <v>0.540852083</v>
      </c>
      <c r="K248" s="47">
        <v>1.0</v>
      </c>
      <c r="L248" s="48">
        <v>0.5</v>
      </c>
      <c r="M248" s="48">
        <v>0.722588395</v>
      </c>
      <c r="N248" s="48">
        <f t="shared" si="1"/>
        <v>0.4080660711</v>
      </c>
      <c r="O248" s="48">
        <f t="shared" si="2"/>
        <v>51.28551074</v>
      </c>
      <c r="P248" s="62">
        <v>860.7518858</v>
      </c>
      <c r="Q248" s="62">
        <v>0.57196784</v>
      </c>
      <c r="R248" s="62">
        <v>0.99643799</v>
      </c>
      <c r="S248" s="62">
        <v>0.333333333</v>
      </c>
      <c r="T248" s="62">
        <v>0.332145997</v>
      </c>
      <c r="U248" s="62">
        <v>0.992888667</v>
      </c>
      <c r="V248" s="62">
        <v>0.333333333</v>
      </c>
      <c r="W248" s="62">
        <v>0.99643799</v>
      </c>
      <c r="X248" s="62">
        <v>0.332738606</v>
      </c>
      <c r="Y248" s="62">
        <v>0.994660162</v>
      </c>
      <c r="Z248" s="62">
        <v>0.0</v>
      </c>
      <c r="AA248" s="62">
        <v>0.0</v>
      </c>
      <c r="AB248" s="62">
        <v>0.0</v>
      </c>
      <c r="AC248" s="62">
        <v>0.0</v>
      </c>
      <c r="AD248" s="62">
        <v>0.0</v>
      </c>
      <c r="AE248" s="62">
        <v>0.0</v>
      </c>
      <c r="AF248" s="62">
        <v>0.0</v>
      </c>
      <c r="AG248" s="62">
        <v>0.0</v>
      </c>
      <c r="AH248" s="62">
        <v>0.0</v>
      </c>
      <c r="AI248" s="62">
        <v>0.0</v>
      </c>
      <c r="AJ248" s="62">
        <v>0.0</v>
      </c>
      <c r="AK248" s="62">
        <v>0.99643799</v>
      </c>
      <c r="AL248" s="62">
        <v>1.0</v>
      </c>
      <c r="AM248" s="62">
        <v>0.998215817</v>
      </c>
      <c r="AN248" s="62">
        <v>0.0</v>
      </c>
      <c r="AO248" s="49"/>
      <c r="AP248" s="49"/>
      <c r="AQ248" s="49"/>
    </row>
    <row r="249">
      <c r="A249" s="13"/>
      <c r="B249" s="13"/>
      <c r="C249" s="46">
        <v>2.0</v>
      </c>
      <c r="D249" s="47">
        <v>1.0</v>
      </c>
      <c r="E249" s="48">
        <v>1.0</v>
      </c>
      <c r="F249" s="48">
        <v>1.0</v>
      </c>
      <c r="G249" s="48">
        <v>1.5487E-4</v>
      </c>
      <c r="H249" s="48">
        <v>0.998481494</v>
      </c>
      <c r="I249" s="48">
        <v>0.572177792</v>
      </c>
      <c r="J249" s="48">
        <v>0.5415069</v>
      </c>
      <c r="K249" s="47">
        <v>1.0</v>
      </c>
      <c r="L249" s="48">
        <v>0.5</v>
      </c>
      <c r="M249" s="48">
        <v>0.732668471</v>
      </c>
      <c r="N249" s="48">
        <f t="shared" si="1"/>
        <v>0.4189854054</v>
      </c>
      <c r="O249" s="48">
        <f t="shared" si="2"/>
        <v>52.39409442</v>
      </c>
      <c r="P249" s="62">
        <v>860.7518858</v>
      </c>
      <c r="Q249" s="62">
        <v>0.611608505</v>
      </c>
      <c r="R249" s="62">
        <v>0.996420782</v>
      </c>
      <c r="S249" s="62">
        <v>0.334976152</v>
      </c>
      <c r="T249" s="62">
        <v>0.373836921</v>
      </c>
      <c r="U249" s="62">
        <v>0.993286515</v>
      </c>
      <c r="V249" s="62">
        <v>0.334976152</v>
      </c>
      <c r="W249" s="62">
        <v>0.996420782</v>
      </c>
      <c r="X249" s="62">
        <v>0.335925408</v>
      </c>
      <c r="Y249" s="62">
        <v>0.994706369</v>
      </c>
      <c r="Z249" s="62">
        <v>0.0</v>
      </c>
      <c r="AA249" s="62">
        <v>0.070517856</v>
      </c>
      <c r="AB249" s="62">
        <v>0.023304572</v>
      </c>
      <c r="AC249" s="62">
        <v>0.0</v>
      </c>
      <c r="AD249" s="62">
        <v>0.0</v>
      </c>
      <c r="AE249" s="62">
        <v>0.0</v>
      </c>
      <c r="AF249" s="62">
        <v>0.0</v>
      </c>
      <c r="AG249" s="62">
        <v>0.125</v>
      </c>
      <c r="AH249" s="62">
        <v>0.004958678</v>
      </c>
      <c r="AI249" s="62">
        <v>0.009538951</v>
      </c>
      <c r="AJ249" s="62">
        <v>0.07041469</v>
      </c>
      <c r="AK249" s="62">
        <v>0.996510762</v>
      </c>
      <c r="AL249" s="62">
        <v>0.999969779</v>
      </c>
      <c r="AM249" s="62">
        <v>0.998237274</v>
      </c>
      <c r="AN249" s="62">
        <v>0.14328566</v>
      </c>
      <c r="AO249" s="49"/>
      <c r="AP249" s="49"/>
      <c r="AQ249" s="49"/>
    </row>
    <row r="250">
      <c r="A250" s="13"/>
      <c r="B250" s="13"/>
      <c r="C250" s="46">
        <v>3.0</v>
      </c>
      <c r="D250" s="47">
        <v>1.0</v>
      </c>
      <c r="E250" s="48">
        <v>1.0</v>
      </c>
      <c r="F250" s="48">
        <v>1.0</v>
      </c>
      <c r="G250" s="48">
        <v>0.00424602</v>
      </c>
      <c r="H250" s="48">
        <v>0.99985854</v>
      </c>
      <c r="I250" s="48">
        <v>0.625747774</v>
      </c>
      <c r="J250" s="48">
        <v>0.553461236</v>
      </c>
      <c r="K250" s="47">
        <v>1.0</v>
      </c>
      <c r="L250" s="48">
        <v>0.5</v>
      </c>
      <c r="M250" s="48">
        <v>0.746561944</v>
      </c>
      <c r="N250" s="48">
        <f t="shared" si="1"/>
        <v>0.5260173464</v>
      </c>
      <c r="O250" s="48">
        <f t="shared" si="2"/>
        <v>60.50989215</v>
      </c>
      <c r="P250" s="62">
        <v>860.7518858</v>
      </c>
      <c r="Q250" s="62">
        <v>0.701670885</v>
      </c>
      <c r="R250" s="62">
        <v>0.995336692</v>
      </c>
      <c r="S250" s="62">
        <v>0.427507891</v>
      </c>
      <c r="T250" s="62">
        <v>0.47821653</v>
      </c>
      <c r="U250" s="62">
        <v>0.995035605</v>
      </c>
      <c r="V250" s="62">
        <v>0.427507891</v>
      </c>
      <c r="W250" s="62">
        <v>0.995336692</v>
      </c>
      <c r="X250" s="62">
        <v>0.444346518</v>
      </c>
      <c r="Y250" s="62">
        <v>0.995122187</v>
      </c>
      <c r="Z250" s="62">
        <v>0.402448655</v>
      </c>
      <c r="AA250" s="62">
        <v>0.27059232</v>
      </c>
      <c r="AB250" s="62">
        <v>0.268785226</v>
      </c>
      <c r="AC250" s="62">
        <v>0.044164038</v>
      </c>
      <c r="AD250" s="62">
        <v>0.062780269</v>
      </c>
      <c r="AE250" s="62">
        <v>0.051851852</v>
      </c>
      <c r="AF250" s="62">
        <v>0.2503964</v>
      </c>
      <c r="AG250" s="62">
        <v>0.392961877</v>
      </c>
      <c r="AH250" s="62">
        <v>0.221487603</v>
      </c>
      <c r="AI250" s="62">
        <v>0.283298097</v>
      </c>
      <c r="AJ250" s="62">
        <v>0.470414555</v>
      </c>
      <c r="AK250" s="62">
        <v>0.997523674</v>
      </c>
      <c r="AL250" s="62">
        <v>0.998255801</v>
      </c>
      <c r="AM250" s="62">
        <v>0.997889603</v>
      </c>
      <c r="AN250" s="62">
        <v>0.55337892</v>
      </c>
      <c r="AO250" s="49"/>
      <c r="AP250" s="49"/>
      <c r="AQ250" s="49"/>
    </row>
    <row r="251">
      <c r="A251" s="13"/>
      <c r="B251" s="16"/>
      <c r="C251" s="46">
        <v>4.0</v>
      </c>
      <c r="D251" s="47">
        <v>1.0</v>
      </c>
      <c r="E251" s="48">
        <v>1.0</v>
      </c>
      <c r="F251" s="48">
        <v>1.0</v>
      </c>
      <c r="G251" s="48">
        <v>0.006794922</v>
      </c>
      <c r="H251" s="48">
        <v>0.999956496</v>
      </c>
      <c r="I251" s="48">
        <v>0.0</v>
      </c>
      <c r="J251" s="48">
        <v>0.559203321</v>
      </c>
      <c r="K251" s="47">
        <v>1.0</v>
      </c>
      <c r="L251" s="48">
        <v>0.5</v>
      </c>
      <c r="M251" s="48">
        <v>0.017421551</v>
      </c>
      <c r="N251" s="48">
        <f t="shared" si="1"/>
        <v>0.8685284538</v>
      </c>
      <c r="O251" s="48">
        <f t="shared" si="2"/>
        <v>18.18465882</v>
      </c>
      <c r="P251" s="62">
        <v>860.7518858</v>
      </c>
      <c r="Q251" s="62">
        <v>0.903216839</v>
      </c>
      <c r="R251" s="62">
        <v>0.998029709</v>
      </c>
      <c r="S251" s="62">
        <v>0.895586583</v>
      </c>
      <c r="T251" s="62">
        <v>0.765808019</v>
      </c>
      <c r="U251" s="62">
        <v>0.998365772</v>
      </c>
      <c r="V251" s="62">
        <v>0.895586583</v>
      </c>
      <c r="W251" s="62">
        <v>0.998029709</v>
      </c>
      <c r="X251" s="62">
        <v>0.821887947</v>
      </c>
      <c r="Y251" s="62">
        <v>0.998158569</v>
      </c>
      <c r="Z251" s="62">
        <v>0.925668203</v>
      </c>
      <c r="AA251" s="62">
        <v>0.761234298</v>
      </c>
      <c r="AB251" s="62">
        <v>0.755734611</v>
      </c>
      <c r="AC251" s="62">
        <v>0.636065574</v>
      </c>
      <c r="AD251" s="62">
        <v>0.869955157</v>
      </c>
      <c r="AE251" s="62">
        <v>0.734848485</v>
      </c>
      <c r="AF251" s="62">
        <v>0.932490933</v>
      </c>
      <c r="AG251" s="62">
        <v>0.661764706</v>
      </c>
      <c r="AH251" s="62">
        <v>0.818181818</v>
      </c>
      <c r="AI251" s="62">
        <v>0.731707317</v>
      </c>
      <c r="AJ251" s="62">
        <v>0.904040371</v>
      </c>
      <c r="AK251" s="62">
        <v>0.999593777</v>
      </c>
      <c r="AL251" s="62">
        <v>0.998622774</v>
      </c>
      <c r="AM251" s="62">
        <v>0.99910804</v>
      </c>
      <c r="AN251" s="62">
        <v>0.940878608</v>
      </c>
      <c r="AO251" s="49"/>
      <c r="AP251" s="49"/>
      <c r="AQ251" s="49"/>
    </row>
    <row r="252">
      <c r="A252" s="13"/>
      <c r="B252" s="51" t="s">
        <v>24</v>
      </c>
      <c r="C252" s="46">
        <v>1.0</v>
      </c>
      <c r="D252" s="47">
        <v>1.0</v>
      </c>
      <c r="E252" s="48">
        <v>1.0</v>
      </c>
      <c r="F252" s="48">
        <v>1.0</v>
      </c>
      <c r="G252" s="48">
        <v>0.010492444</v>
      </c>
      <c r="H252" s="48">
        <v>0.998986163</v>
      </c>
      <c r="I252" s="48">
        <v>1.43045E-4</v>
      </c>
      <c r="J252" s="48">
        <v>0.564377552</v>
      </c>
      <c r="K252" s="47">
        <v>1.0</v>
      </c>
      <c r="L252" s="48">
        <v>0.5</v>
      </c>
      <c r="M252" s="48">
        <v>0.185180479</v>
      </c>
      <c r="N252" s="48">
        <f t="shared" si="1"/>
        <v>0.4763542499</v>
      </c>
      <c r="O252" s="48">
        <f t="shared" si="2"/>
        <v>32.6434542</v>
      </c>
      <c r="P252" s="62">
        <v>3864.674563</v>
      </c>
      <c r="Q252" s="62">
        <v>0.020266692</v>
      </c>
      <c r="R252" s="62">
        <v>0.990940104</v>
      </c>
      <c r="S252" s="62">
        <v>0.412907652</v>
      </c>
      <c r="T252" s="62">
        <v>0.40323059</v>
      </c>
      <c r="U252" s="62">
        <v>0.994095979</v>
      </c>
      <c r="V252" s="62">
        <v>0.412907652</v>
      </c>
      <c r="W252" s="62">
        <v>0.990940104</v>
      </c>
      <c r="X252" s="62">
        <v>0.382246878</v>
      </c>
      <c r="Y252" s="62">
        <v>0.992387318</v>
      </c>
      <c r="Z252" s="62">
        <v>0.302163669</v>
      </c>
      <c r="AA252" s="62">
        <v>0.146371181</v>
      </c>
      <c r="AB252" s="62">
        <v>0.138303393</v>
      </c>
      <c r="AC252" s="62">
        <v>0.125</v>
      </c>
      <c r="AD252" s="62">
        <v>0.013452915</v>
      </c>
      <c r="AE252" s="62">
        <v>0.024291498</v>
      </c>
      <c r="AF252" s="62">
        <v>0.115981457</v>
      </c>
      <c r="AG252" s="62">
        <v>0.087390762</v>
      </c>
      <c r="AH252" s="62">
        <v>0.231404959</v>
      </c>
      <c r="AI252" s="62">
        <v>0.126869053</v>
      </c>
      <c r="AJ252" s="62">
        <v>0.479526592</v>
      </c>
      <c r="AK252" s="62">
        <v>0.997301009</v>
      </c>
      <c r="AL252" s="62">
        <v>0.993865084</v>
      </c>
      <c r="AM252" s="62">
        <v>0.995580082</v>
      </c>
      <c r="AN252" s="62">
        <v>0.496050028</v>
      </c>
      <c r="AO252" s="49"/>
      <c r="AP252" s="49"/>
      <c r="AQ252" s="49"/>
    </row>
    <row r="253">
      <c r="A253" s="13"/>
      <c r="B253" s="13"/>
      <c r="C253" s="46">
        <v>2.0</v>
      </c>
      <c r="D253" s="47">
        <v>1.0</v>
      </c>
      <c r="E253" s="48">
        <v>1.0</v>
      </c>
      <c r="F253" s="48">
        <v>1.0</v>
      </c>
      <c r="G253" s="48">
        <v>0.008898573</v>
      </c>
      <c r="H253" s="48">
        <v>0.999278675</v>
      </c>
      <c r="I253" s="48">
        <v>2.9E-5</v>
      </c>
      <c r="J253" s="48">
        <v>0.561598209</v>
      </c>
      <c r="K253" s="47">
        <v>1.0</v>
      </c>
      <c r="L253" s="48">
        <v>0.5</v>
      </c>
      <c r="M253" s="48">
        <v>0.141798019</v>
      </c>
      <c r="N253" s="48">
        <f t="shared" si="1"/>
        <v>0.4735154863</v>
      </c>
      <c r="O253" s="48">
        <f t="shared" si="2"/>
        <v>29.23267631</v>
      </c>
      <c r="P253" s="62">
        <v>3864.674563</v>
      </c>
      <c r="Q253" s="62">
        <v>0.020307742</v>
      </c>
      <c r="R253" s="62">
        <v>0.991890834</v>
      </c>
      <c r="S253" s="62">
        <v>0.404743786</v>
      </c>
      <c r="T253" s="62">
        <v>0.376394204</v>
      </c>
      <c r="U253" s="62">
        <v>0.993975821</v>
      </c>
      <c r="V253" s="62">
        <v>0.404743786</v>
      </c>
      <c r="W253" s="62">
        <v>0.991890834</v>
      </c>
      <c r="X253" s="62">
        <v>0.378982738</v>
      </c>
      <c r="Y253" s="62">
        <v>0.992861393</v>
      </c>
      <c r="Z253" s="62">
        <v>0.245688524</v>
      </c>
      <c r="AA253" s="62">
        <v>0.147353643</v>
      </c>
      <c r="AB253" s="62">
        <v>0.14261474</v>
      </c>
      <c r="AC253" s="62">
        <v>0.035714286</v>
      </c>
      <c r="AD253" s="62">
        <v>0.004484305</v>
      </c>
      <c r="AE253" s="62">
        <v>0.007968128</v>
      </c>
      <c r="AF253" s="62">
        <v>0.06696106</v>
      </c>
      <c r="AG253" s="62">
        <v>0.096225019</v>
      </c>
      <c r="AH253" s="62">
        <v>0.214876033</v>
      </c>
      <c r="AI253" s="62">
        <v>0.132924335</v>
      </c>
      <c r="AJ253" s="62">
        <v>0.462325009</v>
      </c>
      <c r="AK253" s="62">
        <v>0.997243307</v>
      </c>
      <c r="AL253" s="62">
        <v>0.99487102</v>
      </c>
      <c r="AM253" s="62">
        <v>0.996055751</v>
      </c>
      <c r="AN253" s="62">
        <v>0.479054479</v>
      </c>
      <c r="AO253" s="49"/>
      <c r="AP253" s="49"/>
      <c r="AQ253" s="49"/>
    </row>
    <row r="254">
      <c r="A254" s="13"/>
      <c r="B254" s="13"/>
      <c r="C254" s="46">
        <v>3.0</v>
      </c>
      <c r="D254" s="47">
        <v>1.0</v>
      </c>
      <c r="E254" s="48">
        <v>1.0</v>
      </c>
      <c r="F254" s="48">
        <v>1.0</v>
      </c>
      <c r="G254" s="48">
        <v>0.016358146</v>
      </c>
      <c r="H254" s="48">
        <v>0.998575113</v>
      </c>
      <c r="I254" s="48">
        <v>1.18119E-4</v>
      </c>
      <c r="J254" s="48">
        <v>0.577719694</v>
      </c>
      <c r="K254" s="47">
        <v>1.0</v>
      </c>
      <c r="L254" s="48">
        <v>0.5</v>
      </c>
      <c r="M254" s="48">
        <v>0.180051946</v>
      </c>
      <c r="N254" s="48">
        <f t="shared" si="1"/>
        <v>0.6235517525</v>
      </c>
      <c r="O254" s="48">
        <f t="shared" si="2"/>
        <v>37.93871616</v>
      </c>
      <c r="P254" s="62">
        <v>3864.674563</v>
      </c>
      <c r="Q254" s="62">
        <v>0.019848876</v>
      </c>
      <c r="R254" s="62">
        <v>0.989378498</v>
      </c>
      <c r="S254" s="62">
        <v>0.700989563</v>
      </c>
      <c r="T254" s="62">
        <v>0.462493016</v>
      </c>
      <c r="U254" s="62">
        <v>0.99552587</v>
      </c>
      <c r="V254" s="62">
        <v>0.700989563</v>
      </c>
      <c r="W254" s="62">
        <v>0.989378498</v>
      </c>
      <c r="X254" s="62">
        <v>0.523432309</v>
      </c>
      <c r="Y254" s="62">
        <v>0.992141965</v>
      </c>
      <c r="Z254" s="62">
        <v>0.742514377</v>
      </c>
      <c r="AA254" s="62">
        <v>0.305282359</v>
      </c>
      <c r="AB254" s="62">
        <v>0.262622318</v>
      </c>
      <c r="AC254" s="62">
        <v>0.253355705</v>
      </c>
      <c r="AD254" s="62">
        <v>0.677130045</v>
      </c>
      <c r="AE254" s="62">
        <v>0.368742369</v>
      </c>
      <c r="AF254" s="62">
        <v>0.822090339</v>
      </c>
      <c r="AG254" s="62">
        <v>0.135636926</v>
      </c>
      <c r="AH254" s="62">
        <v>0.434710744</v>
      </c>
      <c r="AI254" s="62">
        <v>0.206761006</v>
      </c>
      <c r="AJ254" s="62">
        <v>0.656938562</v>
      </c>
      <c r="AK254" s="62">
        <v>0.998486417</v>
      </c>
      <c r="AL254" s="62">
        <v>0.991127901</v>
      </c>
      <c r="AM254" s="62">
        <v>0.994793551</v>
      </c>
      <c r="AN254" s="62">
        <v>0.758001912</v>
      </c>
      <c r="AO254" s="49"/>
      <c r="AP254" s="49"/>
      <c r="AQ254" s="49"/>
    </row>
    <row r="255">
      <c r="A255" s="13"/>
      <c r="B255" s="16"/>
      <c r="C255" s="46">
        <v>4.0</v>
      </c>
      <c r="D255" s="47">
        <v>1.0</v>
      </c>
      <c r="E255" s="48">
        <v>1.0</v>
      </c>
      <c r="F255" s="48">
        <v>1.0</v>
      </c>
      <c r="G255" s="48">
        <v>0.01044082</v>
      </c>
      <c r="H255" s="48">
        <v>0.999591977</v>
      </c>
      <c r="I255" s="48">
        <v>9.25E-7</v>
      </c>
      <c r="J255" s="48">
        <v>0.566927682</v>
      </c>
      <c r="K255" s="47">
        <v>1.0</v>
      </c>
      <c r="L255" s="48">
        <v>0.5</v>
      </c>
      <c r="M255" s="48">
        <v>0.079993101</v>
      </c>
      <c r="N255" s="48">
        <f t="shared" si="1"/>
        <v>0.8018601301</v>
      </c>
      <c r="O255" s="48">
        <f t="shared" si="2"/>
        <v>31.89188469</v>
      </c>
      <c r="P255" s="62">
        <v>3864.674563</v>
      </c>
      <c r="Q255" s="62">
        <v>0.019916216</v>
      </c>
      <c r="R255" s="62">
        <v>0.995706659</v>
      </c>
      <c r="S255" s="62">
        <v>0.901093274</v>
      </c>
      <c r="T255" s="62">
        <v>0.616393985</v>
      </c>
      <c r="U255" s="62">
        <v>0.997642781</v>
      </c>
      <c r="V255" s="62">
        <v>0.901093274</v>
      </c>
      <c r="W255" s="62">
        <v>0.995706659</v>
      </c>
      <c r="X255" s="62">
        <v>0.710457306</v>
      </c>
      <c r="Y255" s="62">
        <v>0.996434952</v>
      </c>
      <c r="Z255" s="62">
        <v>0.931925862</v>
      </c>
      <c r="AA255" s="62">
        <v>0.624153867</v>
      </c>
      <c r="AB255" s="62">
        <v>0.590448345</v>
      </c>
      <c r="AC255" s="62">
        <v>0.410041841</v>
      </c>
      <c r="AD255" s="62">
        <v>0.878923767</v>
      </c>
      <c r="AE255" s="62">
        <v>0.559201141</v>
      </c>
      <c r="AF255" s="62">
        <v>0.936939954</v>
      </c>
      <c r="AG255" s="62">
        <v>0.439473684</v>
      </c>
      <c r="AH255" s="62">
        <v>0.828099174</v>
      </c>
      <c r="AI255" s="62">
        <v>0.574212034</v>
      </c>
      <c r="AJ255" s="62">
        <v>0.908744649</v>
      </c>
      <c r="AK255" s="62">
        <v>0.999666428</v>
      </c>
      <c r="AL255" s="62">
        <v>0.996256881</v>
      </c>
      <c r="AM255" s="62">
        <v>0.997958742</v>
      </c>
      <c r="AN255" s="62">
        <v>0.950583928</v>
      </c>
      <c r="AO255" s="49"/>
      <c r="AP255" s="49"/>
      <c r="AQ255" s="49"/>
    </row>
    <row r="256">
      <c r="A256" s="13"/>
      <c r="B256" s="51" t="s">
        <v>25</v>
      </c>
      <c r="C256" s="46">
        <v>1.0</v>
      </c>
      <c r="D256" s="47">
        <v>1.0</v>
      </c>
      <c r="E256" s="48">
        <v>1.0</v>
      </c>
      <c r="F256" s="48">
        <v>1.0</v>
      </c>
      <c r="G256" s="48">
        <v>0.0</v>
      </c>
      <c r="H256" s="48">
        <v>0.998216703</v>
      </c>
      <c r="I256" s="48">
        <v>0.0</v>
      </c>
      <c r="J256" s="48">
        <v>0.540852083</v>
      </c>
      <c r="K256" s="47">
        <v>1.0</v>
      </c>
      <c r="L256" s="48">
        <v>0.5</v>
      </c>
      <c r="M256" s="48">
        <v>0.017319907</v>
      </c>
      <c r="N256" s="48">
        <f t="shared" si="1"/>
        <v>0.4080660711</v>
      </c>
      <c r="O256" s="48">
        <f t="shared" si="2"/>
        <v>11.53072233</v>
      </c>
      <c r="P256" s="62">
        <v>4234.894503</v>
      </c>
      <c r="Q256" s="62">
        <v>0.079931607</v>
      </c>
      <c r="R256" s="62">
        <v>0.99643799</v>
      </c>
      <c r="S256" s="62">
        <v>0.333333333</v>
      </c>
      <c r="T256" s="62">
        <v>0.332145997</v>
      </c>
      <c r="U256" s="62">
        <v>0.992888667</v>
      </c>
      <c r="V256" s="62">
        <v>0.333333333</v>
      </c>
      <c r="W256" s="62">
        <v>0.99643799</v>
      </c>
      <c r="X256" s="62">
        <v>0.332738606</v>
      </c>
      <c r="Y256" s="62">
        <v>0.994660162</v>
      </c>
      <c r="Z256" s="62">
        <v>0.0</v>
      </c>
      <c r="AA256" s="62">
        <v>0.0</v>
      </c>
      <c r="AB256" s="62">
        <v>0.0</v>
      </c>
      <c r="AC256" s="62">
        <v>0.0</v>
      </c>
      <c r="AD256" s="62">
        <v>0.0</v>
      </c>
      <c r="AE256" s="62">
        <v>0.0</v>
      </c>
      <c r="AF256" s="62">
        <v>0.0</v>
      </c>
      <c r="AG256" s="62">
        <v>0.0</v>
      </c>
      <c r="AH256" s="62">
        <v>0.0</v>
      </c>
      <c r="AI256" s="62">
        <v>0.0</v>
      </c>
      <c r="AJ256" s="62">
        <v>0.0</v>
      </c>
      <c r="AK256" s="62">
        <v>0.99643799</v>
      </c>
      <c r="AL256" s="62">
        <v>1.0</v>
      </c>
      <c r="AM256" s="62">
        <v>0.998215817</v>
      </c>
      <c r="AN256" s="62">
        <v>0.0</v>
      </c>
      <c r="AO256" s="49"/>
      <c r="AP256" s="49"/>
      <c r="AQ256" s="49"/>
    </row>
    <row r="257">
      <c r="A257" s="13"/>
      <c r="B257" s="13"/>
      <c r="C257" s="46">
        <v>2.0</v>
      </c>
      <c r="D257" s="47">
        <v>1.0</v>
      </c>
      <c r="E257" s="48">
        <v>1.0</v>
      </c>
      <c r="F257" s="48">
        <v>1.0</v>
      </c>
      <c r="G257" s="48">
        <v>3.23E-5</v>
      </c>
      <c r="H257" s="48">
        <v>0.998295967</v>
      </c>
      <c r="I257" s="48">
        <v>0.0</v>
      </c>
      <c r="J257" s="48">
        <v>0.54101284</v>
      </c>
      <c r="K257" s="47">
        <v>1.0</v>
      </c>
      <c r="L257" s="48">
        <v>0.5</v>
      </c>
      <c r="M257" s="48">
        <v>0.017320994</v>
      </c>
      <c r="N257" s="48">
        <f t="shared" si="1"/>
        <v>0.4125692944</v>
      </c>
      <c r="O257" s="48">
        <f t="shared" si="2"/>
        <v>11.60719461</v>
      </c>
      <c r="P257" s="62">
        <v>4234.894503</v>
      </c>
      <c r="Q257" s="62">
        <v>0.079851326</v>
      </c>
      <c r="R257" s="62">
        <v>0.99643799</v>
      </c>
      <c r="S257" s="62">
        <v>0.333333333</v>
      </c>
      <c r="T257" s="62">
        <v>0.332153141</v>
      </c>
      <c r="U257" s="62">
        <v>0.992910024</v>
      </c>
      <c r="V257" s="62">
        <v>0.333333333</v>
      </c>
      <c r="W257" s="62">
        <v>0.99643799</v>
      </c>
      <c r="X257" s="62">
        <v>0.332742191</v>
      </c>
      <c r="Y257" s="62">
        <v>0.994670879</v>
      </c>
      <c r="Z257" s="62">
        <v>0.0</v>
      </c>
      <c r="AA257" s="62">
        <v>0.038670616</v>
      </c>
      <c r="AB257" s="62">
        <v>0.005965619</v>
      </c>
      <c r="AC257" s="62">
        <v>0.0</v>
      </c>
      <c r="AD257" s="62">
        <v>0.0</v>
      </c>
      <c r="AE257" s="62">
        <v>0.0</v>
      </c>
      <c r="AF257" s="62">
        <v>0.0</v>
      </c>
      <c r="AG257" s="62">
        <v>0.0</v>
      </c>
      <c r="AH257" s="62">
        <v>0.0</v>
      </c>
      <c r="AI257" s="62">
        <v>0.0</v>
      </c>
      <c r="AJ257" s="62">
        <v>0.0</v>
      </c>
      <c r="AK257" s="62">
        <v>0.996459423</v>
      </c>
      <c r="AL257" s="62">
        <v>1.0</v>
      </c>
      <c r="AM257" s="62">
        <v>0.998226572</v>
      </c>
      <c r="AN257" s="62">
        <v>0.077708734</v>
      </c>
      <c r="AO257" s="49"/>
      <c r="AP257" s="49"/>
      <c r="AQ257" s="49"/>
    </row>
    <row r="258">
      <c r="A258" s="13"/>
      <c r="B258" s="13"/>
      <c r="C258" s="46">
        <v>3.0</v>
      </c>
      <c r="D258" s="47">
        <v>1.0</v>
      </c>
      <c r="E258" s="48">
        <v>1.0</v>
      </c>
      <c r="F258" s="48">
        <v>1.0</v>
      </c>
      <c r="G258" s="48">
        <v>0.002355315</v>
      </c>
      <c r="H258" s="48">
        <v>0.999646104</v>
      </c>
      <c r="I258" s="48">
        <v>0.0</v>
      </c>
      <c r="J258" s="48">
        <v>0.548511219</v>
      </c>
      <c r="K258" s="47">
        <v>1.0</v>
      </c>
      <c r="L258" s="48">
        <v>0.5</v>
      </c>
      <c r="M258" s="48">
        <v>0.017364687</v>
      </c>
      <c r="N258" s="48">
        <f t="shared" si="1"/>
        <v>0.6151682503</v>
      </c>
      <c r="O258" s="48">
        <f t="shared" si="2"/>
        <v>14.76600909</v>
      </c>
      <c r="P258" s="62">
        <v>4234.894503</v>
      </c>
      <c r="Q258" s="62">
        <v>0.079956358</v>
      </c>
      <c r="R258" s="62">
        <v>0.996756334</v>
      </c>
      <c r="S258" s="62">
        <v>0.522540603</v>
      </c>
      <c r="T258" s="62">
        <v>0.70326955</v>
      </c>
      <c r="U258" s="62">
        <v>0.995999862</v>
      </c>
      <c r="V258" s="62">
        <v>0.522540603</v>
      </c>
      <c r="W258" s="62">
        <v>0.996756334</v>
      </c>
      <c r="X258" s="62">
        <v>0.573550091</v>
      </c>
      <c r="Y258" s="62">
        <v>0.996082372</v>
      </c>
      <c r="Z258" s="62">
        <v>0.525308548</v>
      </c>
      <c r="AA258" s="62">
        <v>0.398288119</v>
      </c>
      <c r="AB258" s="62">
        <v>0.366934107</v>
      </c>
      <c r="AC258" s="62">
        <v>0.476470588</v>
      </c>
      <c r="AD258" s="62">
        <v>0.3632287</v>
      </c>
      <c r="AE258" s="62">
        <v>0.412213741</v>
      </c>
      <c r="AF258" s="62">
        <v>0.60256908</v>
      </c>
      <c r="AG258" s="62">
        <v>0.635897436</v>
      </c>
      <c r="AH258" s="62">
        <v>0.204958678</v>
      </c>
      <c r="AI258" s="62">
        <v>0.31</v>
      </c>
      <c r="AJ258" s="62">
        <v>0.452654297</v>
      </c>
      <c r="AK258" s="62">
        <v>0.997440626</v>
      </c>
      <c r="AL258" s="62">
        <v>0.999434431</v>
      </c>
      <c r="AM258" s="62">
        <v>0.998436533</v>
      </c>
      <c r="AN258" s="62">
        <v>0.531459181</v>
      </c>
      <c r="AO258" s="49"/>
      <c r="AP258" s="49"/>
      <c r="AQ258" s="49"/>
    </row>
    <row r="259">
      <c r="A259" s="13"/>
      <c r="B259" s="16"/>
      <c r="C259" s="46">
        <v>4.0</v>
      </c>
      <c r="D259" s="47">
        <v>1.0</v>
      </c>
      <c r="E259" s="48">
        <v>1.0</v>
      </c>
      <c r="F259" s="48">
        <v>1.0</v>
      </c>
      <c r="G259" s="48">
        <v>0.008175846</v>
      </c>
      <c r="H259" s="48">
        <v>0.999847766</v>
      </c>
      <c r="I259" s="48">
        <v>0.0</v>
      </c>
      <c r="J259" s="48">
        <v>0.562290621</v>
      </c>
      <c r="K259" s="47">
        <v>1.0</v>
      </c>
      <c r="L259" s="48">
        <v>0.5</v>
      </c>
      <c r="M259" s="48">
        <v>0.017437228</v>
      </c>
      <c r="N259" s="48">
        <f t="shared" si="1"/>
        <v>0.8166627898</v>
      </c>
      <c r="O259" s="48">
        <f t="shared" si="2"/>
        <v>17.53140163</v>
      </c>
      <c r="P259" s="62">
        <v>4234.894503</v>
      </c>
      <c r="Q259" s="62">
        <v>0.079774158</v>
      </c>
      <c r="R259" s="62">
        <v>0.996885392</v>
      </c>
      <c r="S259" s="62">
        <v>0.867392379</v>
      </c>
      <c r="T259" s="62">
        <v>0.668602426</v>
      </c>
      <c r="U259" s="62">
        <v>0.997803222</v>
      </c>
      <c r="V259" s="62">
        <v>0.867392379</v>
      </c>
      <c r="W259" s="62">
        <v>0.996885392</v>
      </c>
      <c r="X259" s="62">
        <v>0.743951612</v>
      </c>
      <c r="Y259" s="62">
        <v>0.997239368</v>
      </c>
      <c r="Z259" s="62">
        <v>0.905103604</v>
      </c>
      <c r="AA259" s="62">
        <v>0.66794077</v>
      </c>
      <c r="AB259" s="62">
        <v>0.653065825</v>
      </c>
      <c r="AC259" s="62">
        <v>0.456140351</v>
      </c>
      <c r="AD259" s="62">
        <v>0.816143498</v>
      </c>
      <c r="AE259" s="62">
        <v>0.585209003</v>
      </c>
      <c r="AF259" s="62">
        <v>0.902984429</v>
      </c>
      <c r="AG259" s="62">
        <v>0.55017301</v>
      </c>
      <c r="AH259" s="62">
        <v>0.788429752</v>
      </c>
      <c r="AI259" s="62">
        <v>0.648097826</v>
      </c>
      <c r="AJ259" s="62">
        <v>0.88718854</v>
      </c>
      <c r="AK259" s="62">
        <v>0.999493916</v>
      </c>
      <c r="AL259" s="62">
        <v>0.997603886</v>
      </c>
      <c r="AM259" s="62">
        <v>0.998548007</v>
      </c>
      <c r="AN259" s="62">
        <v>0.92554747</v>
      </c>
      <c r="AO259" s="49"/>
      <c r="AP259" s="49"/>
      <c r="AQ259" s="49"/>
    </row>
    <row r="260">
      <c r="A260" s="13"/>
      <c r="B260" s="51" t="s">
        <v>26</v>
      </c>
      <c r="C260" s="46">
        <v>1.0</v>
      </c>
      <c r="D260" s="47">
        <v>1.0</v>
      </c>
      <c r="E260" s="48">
        <v>1.0</v>
      </c>
      <c r="F260" s="48">
        <v>1.0</v>
      </c>
      <c r="G260" s="48">
        <v>0.006814</v>
      </c>
      <c r="H260" s="48">
        <v>0.999153</v>
      </c>
      <c r="I260" s="48">
        <v>1.777513E-5</v>
      </c>
      <c r="J260" s="48">
        <v>0.558989</v>
      </c>
      <c r="K260" s="47">
        <v>1.0</v>
      </c>
      <c r="L260" s="48">
        <v>0.5</v>
      </c>
      <c r="M260" s="48">
        <v>0.130608</v>
      </c>
      <c r="N260" s="48">
        <f t="shared" si="1"/>
        <v>0.5268962562</v>
      </c>
      <c r="O260" s="48">
        <f t="shared" si="2"/>
        <v>30.15941958</v>
      </c>
      <c r="P260" s="46">
        <v>4336.015591</v>
      </c>
      <c r="Q260" s="46">
        <v>0.055233</v>
      </c>
      <c r="R260" s="46">
        <v>0.993349</v>
      </c>
      <c r="S260" s="46">
        <v>0.516349</v>
      </c>
      <c r="T260" s="46">
        <v>0.42926</v>
      </c>
      <c r="U260" s="46">
        <v>0.994228</v>
      </c>
      <c r="V260" s="46">
        <v>0.516349</v>
      </c>
      <c r="W260" s="46">
        <v>0.993349</v>
      </c>
      <c r="X260" s="46">
        <v>0.431004</v>
      </c>
      <c r="Y260" s="46">
        <v>0.993632</v>
      </c>
      <c r="Z260" s="46">
        <v>0.434016</v>
      </c>
      <c r="AA260" s="46">
        <v>0.177671</v>
      </c>
      <c r="AB260" s="46">
        <v>0.176283</v>
      </c>
      <c r="AC260" s="46">
        <v>0.133333</v>
      </c>
      <c r="AD260" s="46">
        <v>0.493274</v>
      </c>
      <c r="AE260" s="46">
        <v>0.209924</v>
      </c>
      <c r="AF260" s="46">
        <v>0.701252</v>
      </c>
      <c r="AG260" s="46">
        <v>0.157205</v>
      </c>
      <c r="AH260" s="46">
        <v>0.059504</v>
      </c>
      <c r="AI260" s="46">
        <v>0.086331</v>
      </c>
      <c r="AJ260" s="46">
        <v>0.243833</v>
      </c>
      <c r="AK260" s="46">
        <v>0.997243</v>
      </c>
      <c r="AL260" s="46">
        <v>0.99627</v>
      </c>
      <c r="AM260" s="46">
        <v>0.996756</v>
      </c>
      <c r="AN260" s="46">
        <v>0.478135</v>
      </c>
      <c r="AO260" s="70"/>
      <c r="AP260" s="70"/>
      <c r="AQ260" s="70"/>
    </row>
    <row r="261">
      <c r="A261" s="13"/>
      <c r="B261" s="13"/>
      <c r="C261" s="46">
        <v>2.0</v>
      </c>
      <c r="D261" s="47">
        <v>1.0</v>
      </c>
      <c r="E261" s="48">
        <v>1.0</v>
      </c>
      <c r="F261" s="48">
        <v>1.0</v>
      </c>
      <c r="G261" s="48">
        <v>0.007408</v>
      </c>
      <c r="H261" s="48">
        <v>0.999918</v>
      </c>
      <c r="I261" s="48">
        <v>1.254898E-5</v>
      </c>
      <c r="J261" s="48">
        <v>0.560429</v>
      </c>
      <c r="K261" s="47">
        <v>1.0</v>
      </c>
      <c r="L261" s="48">
        <v>0.5</v>
      </c>
      <c r="M261" s="48">
        <v>0.123314</v>
      </c>
      <c r="N261" s="48">
        <f t="shared" si="1"/>
        <v>0.5629684553</v>
      </c>
      <c r="O261" s="48">
        <f t="shared" si="2"/>
        <v>30.66870165</v>
      </c>
      <c r="P261" s="46">
        <v>4336.015591</v>
      </c>
      <c r="Q261" s="46">
        <v>0.055113</v>
      </c>
      <c r="R261" s="46">
        <v>0.99328</v>
      </c>
      <c r="S261" s="46">
        <v>0.539322</v>
      </c>
      <c r="T261" s="46">
        <v>0.488056</v>
      </c>
      <c r="U261" s="46">
        <v>0.99444</v>
      </c>
      <c r="V261" s="46">
        <v>0.539322</v>
      </c>
      <c r="W261" s="46">
        <v>0.99328</v>
      </c>
      <c r="X261" s="46">
        <v>0.509957</v>
      </c>
      <c r="Y261" s="46">
        <v>0.993843</v>
      </c>
      <c r="Z261" s="46">
        <v>0.512588</v>
      </c>
      <c r="AA261" s="46">
        <v>0.210073</v>
      </c>
      <c r="AB261" s="46">
        <v>0.207266</v>
      </c>
      <c r="AC261" s="46">
        <v>0.366438</v>
      </c>
      <c r="AD261" s="46">
        <v>0.479821</v>
      </c>
      <c r="AE261" s="46">
        <v>0.415534</v>
      </c>
      <c r="AF261" s="46">
        <v>0.692415</v>
      </c>
      <c r="AG261" s="46">
        <v>0.10035</v>
      </c>
      <c r="AH261" s="46">
        <v>0.142149</v>
      </c>
      <c r="AI261" s="46">
        <v>0.117647</v>
      </c>
      <c r="AJ261" s="46">
        <v>0.376399</v>
      </c>
      <c r="AK261" s="46">
        <v>0.99738</v>
      </c>
      <c r="AL261" s="46">
        <v>0.995998</v>
      </c>
      <c r="AM261" s="46">
        <v>0.996688</v>
      </c>
      <c r="AN261" s="46">
        <v>0.516762</v>
      </c>
      <c r="AO261" s="70"/>
      <c r="AP261" s="70"/>
      <c r="AQ261" s="70"/>
    </row>
    <row r="262">
      <c r="A262" s="13"/>
      <c r="B262" s="13"/>
      <c r="C262" s="46">
        <v>3.0</v>
      </c>
      <c r="D262" s="47">
        <v>1.0</v>
      </c>
      <c r="E262" s="48">
        <v>1.0</v>
      </c>
      <c r="F262" s="48">
        <v>1.0</v>
      </c>
      <c r="G262" s="48">
        <v>0.00995</v>
      </c>
      <c r="H262" s="48">
        <v>0.999652</v>
      </c>
      <c r="I262" s="48">
        <v>5.608789E-6</v>
      </c>
      <c r="J262" s="48">
        <v>0.565601</v>
      </c>
      <c r="K262" s="47">
        <v>1.0</v>
      </c>
      <c r="L262" s="48">
        <v>0.5</v>
      </c>
      <c r="M262" s="48">
        <v>0.107986</v>
      </c>
      <c r="N262" s="48">
        <f t="shared" si="1"/>
        <v>0.6600780878</v>
      </c>
      <c r="O262" s="48">
        <f t="shared" si="2"/>
        <v>31.996625</v>
      </c>
      <c r="P262" s="46">
        <v>4336.015591</v>
      </c>
      <c r="Q262" s="46">
        <v>0.055185</v>
      </c>
      <c r="R262" s="46">
        <v>0.993341</v>
      </c>
      <c r="S262" s="46">
        <v>0.692352</v>
      </c>
      <c r="T262" s="46">
        <v>0.544983</v>
      </c>
      <c r="U262" s="46">
        <v>0.995675</v>
      </c>
      <c r="V262" s="46">
        <v>0.692352</v>
      </c>
      <c r="W262" s="46">
        <v>0.993341</v>
      </c>
      <c r="X262" s="46">
        <v>0.598772</v>
      </c>
      <c r="Y262" s="46">
        <v>0.994397</v>
      </c>
      <c r="Z262" s="46">
        <v>0.72047</v>
      </c>
      <c r="AA262" s="46">
        <v>0.361938</v>
      </c>
      <c r="AB262" s="46">
        <v>0.344917</v>
      </c>
      <c r="AC262" s="46">
        <v>0.440341</v>
      </c>
      <c r="AD262" s="46">
        <v>0.695067</v>
      </c>
      <c r="AE262" s="46">
        <v>0.53913</v>
      </c>
      <c r="AF262" s="46">
        <v>0.833353</v>
      </c>
      <c r="AG262" s="46">
        <v>0.196309</v>
      </c>
      <c r="AH262" s="46">
        <v>0.386777</v>
      </c>
      <c r="AI262" s="46">
        <v>0.260434</v>
      </c>
      <c r="AJ262" s="46">
        <v>0.620628</v>
      </c>
      <c r="AK262" s="46">
        <v>0.998298</v>
      </c>
      <c r="AL262" s="46">
        <v>0.995212</v>
      </c>
      <c r="AM262" s="46">
        <v>0.996753</v>
      </c>
      <c r="AN262" s="46">
        <v>0.723082</v>
      </c>
      <c r="AO262" s="70"/>
      <c r="AP262" s="70"/>
      <c r="AQ262" s="70"/>
    </row>
    <row r="263">
      <c r="A263" s="13"/>
      <c r="B263" s="16"/>
      <c r="C263" s="46">
        <v>4.0</v>
      </c>
      <c r="D263" s="47">
        <v>1.0</v>
      </c>
      <c r="E263" s="48">
        <v>1.0</v>
      </c>
      <c r="F263" s="48">
        <v>1.0</v>
      </c>
      <c r="G263" s="48">
        <v>0.009492</v>
      </c>
      <c r="H263" s="48">
        <v>0.999716</v>
      </c>
      <c r="I263" s="48">
        <v>6.58341E-8</v>
      </c>
      <c r="J263" s="48">
        <v>0.564911</v>
      </c>
      <c r="K263" s="47">
        <v>1.0</v>
      </c>
      <c r="L263" s="48">
        <v>0.5</v>
      </c>
      <c r="M263" s="48">
        <v>0.051469</v>
      </c>
      <c r="N263" s="48">
        <f t="shared" si="1"/>
        <v>0.8148404678</v>
      </c>
      <c r="O263" s="48">
        <f t="shared" si="2"/>
        <v>26.9936645</v>
      </c>
      <c r="P263" s="46">
        <v>4336.015591</v>
      </c>
      <c r="Q263" s="46">
        <v>0.055102</v>
      </c>
      <c r="R263" s="46">
        <v>0.996266</v>
      </c>
      <c r="S263" s="46">
        <v>0.896251</v>
      </c>
      <c r="T263" s="46">
        <v>0.648154</v>
      </c>
      <c r="U263" s="46">
        <v>0.997728</v>
      </c>
      <c r="V263" s="46">
        <v>0.896251</v>
      </c>
      <c r="W263" s="46">
        <v>0.996266</v>
      </c>
      <c r="X263" s="46">
        <v>0.736899</v>
      </c>
      <c r="Y263" s="46">
        <v>0.996812</v>
      </c>
      <c r="Z263" s="46">
        <v>0.926708</v>
      </c>
      <c r="AA263" s="46">
        <v>0.647076</v>
      </c>
      <c r="AB263" s="46">
        <v>0.62106</v>
      </c>
      <c r="AC263" s="46">
        <v>0.475369</v>
      </c>
      <c r="AD263" s="46">
        <v>0.865471</v>
      </c>
      <c r="AE263" s="46">
        <v>0.613672</v>
      </c>
      <c r="AF263" s="46">
        <v>0.92988</v>
      </c>
      <c r="AG263" s="46">
        <v>0.469484</v>
      </c>
      <c r="AH263" s="46">
        <v>0.826446</v>
      </c>
      <c r="AI263" s="46">
        <v>0.598802</v>
      </c>
      <c r="AJ263" s="46">
        <v>0.907983</v>
      </c>
      <c r="AK263" s="46">
        <v>0.99961</v>
      </c>
      <c r="AL263" s="46">
        <v>0.996835</v>
      </c>
      <c r="AM263" s="46">
        <v>0.998221</v>
      </c>
      <c r="AN263" s="46">
        <v>0.942594</v>
      </c>
      <c r="AO263" s="70"/>
      <c r="AP263" s="70"/>
      <c r="AQ263" s="70"/>
    </row>
    <row r="264">
      <c r="A264" s="13"/>
      <c r="B264" s="51" t="s">
        <v>27</v>
      </c>
      <c r="C264" s="46">
        <v>1.0</v>
      </c>
      <c r="D264" s="47">
        <v>1.0</v>
      </c>
      <c r="E264" s="48">
        <v>1.0</v>
      </c>
      <c r="F264" s="48">
        <v>1.0</v>
      </c>
      <c r="G264" s="48">
        <v>7.74E-5</v>
      </c>
      <c r="H264" s="48">
        <v>0.998338</v>
      </c>
      <c r="I264" s="48">
        <v>0.0</v>
      </c>
      <c r="J264" s="48">
        <v>0.541205301</v>
      </c>
      <c r="K264" s="47">
        <v>1.0</v>
      </c>
      <c r="L264" s="47">
        <v>0.5</v>
      </c>
      <c r="M264" s="47">
        <v>0.017322143</v>
      </c>
      <c r="N264" s="48">
        <f t="shared" si="1"/>
        <v>0.4555579989</v>
      </c>
      <c r="O264" s="48">
        <f t="shared" si="2"/>
        <v>12.31875602</v>
      </c>
      <c r="P264" s="62">
        <v>4968.197589</v>
      </c>
      <c r="Q264" s="62">
        <v>0.156415</v>
      </c>
      <c r="R264" s="62">
        <v>0.995522</v>
      </c>
      <c r="S264" s="62">
        <v>0.368842</v>
      </c>
      <c r="T264" s="62">
        <v>0.651265</v>
      </c>
      <c r="U264" s="62">
        <v>0.994254</v>
      </c>
      <c r="V264" s="62">
        <v>0.368842</v>
      </c>
      <c r="W264" s="62">
        <v>0.995522</v>
      </c>
      <c r="X264" s="62">
        <v>0.388739</v>
      </c>
      <c r="Y264" s="62">
        <v>0.994521</v>
      </c>
      <c r="Z264" s="62">
        <v>0.241187</v>
      </c>
      <c r="AA264" s="62">
        <v>0.101444</v>
      </c>
      <c r="AB264" s="62">
        <v>0.090872</v>
      </c>
      <c r="AC264" s="62">
        <v>0.833333</v>
      </c>
      <c r="AD264" s="62">
        <v>0.044843</v>
      </c>
      <c r="AE264" s="62">
        <v>0.085106</v>
      </c>
      <c r="AF264" s="62">
        <v>0.211761</v>
      </c>
      <c r="AG264" s="62">
        <v>0.123779</v>
      </c>
      <c r="AH264" s="62">
        <v>0.06281</v>
      </c>
      <c r="AI264" s="62">
        <v>0.083333</v>
      </c>
      <c r="AJ264" s="62">
        <v>0.250474</v>
      </c>
      <c r="AK264" s="62">
        <v>0.996683</v>
      </c>
      <c r="AL264" s="62">
        <v>0.998873</v>
      </c>
      <c r="AM264" s="62">
        <v>0.997777</v>
      </c>
      <c r="AN264" s="62">
        <v>0.264517</v>
      </c>
      <c r="AO264" s="49"/>
      <c r="AP264" s="49"/>
      <c r="AQ264" s="49"/>
    </row>
    <row r="265">
      <c r="A265" s="13"/>
      <c r="B265" s="13"/>
      <c r="C265" s="46">
        <v>2.0</v>
      </c>
      <c r="D265" s="47">
        <v>1.0</v>
      </c>
      <c r="E265" s="48">
        <v>1.0</v>
      </c>
      <c r="F265" s="48">
        <v>1.0</v>
      </c>
      <c r="G265" s="48">
        <v>2.32305E-4</v>
      </c>
      <c r="H265" s="48">
        <v>0.998492744</v>
      </c>
      <c r="I265" s="48">
        <v>0.0</v>
      </c>
      <c r="J265" s="48">
        <v>0.541812987</v>
      </c>
      <c r="K265" s="47">
        <v>1.0</v>
      </c>
      <c r="L265" s="47">
        <v>0.5</v>
      </c>
      <c r="M265" s="47">
        <v>0.01732583</v>
      </c>
      <c r="N265" s="48">
        <f t="shared" si="1"/>
        <v>0.5129272727</v>
      </c>
      <c r="O265" s="48">
        <f t="shared" si="2"/>
        <v>13.22851501</v>
      </c>
      <c r="P265" s="62">
        <v>4968.197589</v>
      </c>
      <c r="Q265" s="62">
        <v>0.156321</v>
      </c>
      <c r="R265" s="62">
        <v>0.996292</v>
      </c>
      <c r="S265" s="62">
        <v>0.414676</v>
      </c>
      <c r="T265" s="62">
        <v>0.589257</v>
      </c>
      <c r="U265" s="62">
        <v>0.994674</v>
      </c>
      <c r="V265" s="62">
        <v>0.414676</v>
      </c>
      <c r="W265" s="62">
        <v>0.996292</v>
      </c>
      <c r="X265" s="62">
        <v>0.45599</v>
      </c>
      <c r="Y265" s="62">
        <v>0.995231</v>
      </c>
      <c r="Z265" s="62">
        <v>0.353173</v>
      </c>
      <c r="AA265" s="62">
        <v>0.229326</v>
      </c>
      <c r="AB265" s="62">
        <v>0.19111</v>
      </c>
      <c r="AC265" s="62">
        <v>0.4375</v>
      </c>
      <c r="AD265" s="62">
        <v>0.156951</v>
      </c>
      <c r="AE265" s="62">
        <v>0.231023</v>
      </c>
      <c r="AF265" s="62">
        <v>0.396132</v>
      </c>
      <c r="AG265" s="62">
        <v>0.333333</v>
      </c>
      <c r="AH265" s="62">
        <v>0.087603</v>
      </c>
      <c r="AI265" s="62">
        <v>0.138743</v>
      </c>
      <c r="AJ265" s="62">
        <v>0.295911</v>
      </c>
      <c r="AK265" s="62">
        <v>0.996938</v>
      </c>
      <c r="AL265" s="62">
        <v>0.999473</v>
      </c>
      <c r="AM265" s="62">
        <v>0.998204</v>
      </c>
      <c r="AN265" s="62">
        <v>0.375806</v>
      </c>
      <c r="AO265" s="49"/>
      <c r="AP265" s="49"/>
      <c r="AQ265" s="49"/>
    </row>
    <row r="266">
      <c r="A266" s="13"/>
      <c r="B266" s="13"/>
      <c r="C266" s="46">
        <v>3.0</v>
      </c>
      <c r="D266" s="47">
        <v>1.0</v>
      </c>
      <c r="E266" s="48">
        <v>1.0</v>
      </c>
      <c r="F266" s="48">
        <v>1.0</v>
      </c>
      <c r="G266" s="48">
        <v>0.003665257</v>
      </c>
      <c r="H266" s="48">
        <v>0.999659323</v>
      </c>
      <c r="I266" s="48">
        <v>0.0</v>
      </c>
      <c r="J266" s="48">
        <v>0.551947238</v>
      </c>
      <c r="K266" s="47">
        <v>1.0</v>
      </c>
      <c r="L266" s="47">
        <v>0.5</v>
      </c>
      <c r="M266" s="47">
        <v>0.017382808</v>
      </c>
      <c r="N266" s="48">
        <f t="shared" si="1"/>
        <v>0.7103119446</v>
      </c>
      <c r="O266" s="48">
        <f t="shared" si="2"/>
        <v>16.10339493</v>
      </c>
      <c r="P266" s="62">
        <v>4968.197589</v>
      </c>
      <c r="Q266" s="62">
        <v>0.156313</v>
      </c>
      <c r="R266" s="62">
        <v>0.996937</v>
      </c>
      <c r="S266" s="62">
        <v>0.6386</v>
      </c>
      <c r="T266" s="62">
        <v>0.751507</v>
      </c>
      <c r="U266" s="62">
        <v>0.996705</v>
      </c>
      <c r="V266" s="62">
        <v>0.6386</v>
      </c>
      <c r="W266" s="62">
        <v>0.996937</v>
      </c>
      <c r="X266" s="62">
        <v>0.683825</v>
      </c>
      <c r="Y266" s="62">
        <v>0.996786</v>
      </c>
      <c r="Z266" s="62">
        <v>0.689174</v>
      </c>
      <c r="AA266" s="62">
        <v>0.528349</v>
      </c>
      <c r="AB266" s="62">
        <v>0.525668</v>
      </c>
      <c r="AC266" s="62">
        <v>0.77305</v>
      </c>
      <c r="AD266" s="62">
        <v>0.488789</v>
      </c>
      <c r="AE266" s="62">
        <v>0.598901</v>
      </c>
      <c r="AF266" s="62">
        <v>0.699086</v>
      </c>
      <c r="AG266" s="62">
        <v>0.483209</v>
      </c>
      <c r="AH266" s="62">
        <v>0.428099</v>
      </c>
      <c r="AI266" s="62">
        <v>0.453988</v>
      </c>
      <c r="AJ266" s="62">
        <v>0.653902</v>
      </c>
      <c r="AK266" s="62">
        <v>0.998261</v>
      </c>
      <c r="AL266" s="62">
        <v>0.998912</v>
      </c>
      <c r="AM266" s="62">
        <v>0.998587</v>
      </c>
      <c r="AN266" s="62">
        <v>0.716049</v>
      </c>
      <c r="AO266" s="49"/>
      <c r="AP266" s="49"/>
      <c r="AQ266" s="49"/>
    </row>
    <row r="267">
      <c r="A267" s="16"/>
      <c r="B267" s="16"/>
      <c r="C267" s="46">
        <v>4.0</v>
      </c>
      <c r="D267" s="47">
        <v>1.0</v>
      </c>
      <c r="E267" s="48">
        <v>1.0</v>
      </c>
      <c r="F267" s="48">
        <v>1.0</v>
      </c>
      <c r="G267" s="48">
        <v>0.007730595</v>
      </c>
      <c r="H267" s="48">
        <v>0.999884847</v>
      </c>
      <c r="I267" s="48">
        <v>0.0</v>
      </c>
      <c r="J267" s="48">
        <v>0.561343999</v>
      </c>
      <c r="K267" s="47">
        <v>1.0</v>
      </c>
      <c r="L267" s="47">
        <v>0.5</v>
      </c>
      <c r="M267" s="47">
        <v>0.01743244</v>
      </c>
      <c r="N267" s="48">
        <f t="shared" si="1"/>
        <v>0.8270730064</v>
      </c>
      <c r="O267" s="48">
        <f t="shared" si="2"/>
        <v>17.66320786</v>
      </c>
      <c r="P267" s="62">
        <v>4968.197589</v>
      </c>
      <c r="Q267" s="62">
        <v>0.156359</v>
      </c>
      <c r="R267" s="62">
        <v>0.997247</v>
      </c>
      <c r="S267" s="62">
        <v>0.866808</v>
      </c>
      <c r="T267" s="62">
        <v>0.692113</v>
      </c>
      <c r="U267" s="62">
        <v>0.997928</v>
      </c>
      <c r="V267" s="62">
        <v>0.866808</v>
      </c>
      <c r="W267" s="62">
        <v>0.997247</v>
      </c>
      <c r="X267" s="62">
        <v>0.760661</v>
      </c>
      <c r="Y267" s="62">
        <v>0.997511</v>
      </c>
      <c r="Z267" s="62">
        <v>0.904136</v>
      </c>
      <c r="AA267" s="62">
        <v>0.690133</v>
      </c>
      <c r="AB267" s="62">
        <v>0.679579</v>
      </c>
      <c r="AC267" s="62">
        <v>0.484127</v>
      </c>
      <c r="AD267" s="62">
        <v>0.820628</v>
      </c>
      <c r="AE267" s="62">
        <v>0.608985</v>
      </c>
      <c r="AF267" s="62">
        <v>0.905505</v>
      </c>
      <c r="AG267" s="62">
        <v>0.592732</v>
      </c>
      <c r="AH267" s="62">
        <v>0.781818</v>
      </c>
      <c r="AI267" s="62">
        <v>0.674269</v>
      </c>
      <c r="AJ267" s="62">
        <v>0.883585</v>
      </c>
      <c r="AK267" s="62">
        <v>0.999481</v>
      </c>
      <c r="AL267" s="62">
        <v>0.997979</v>
      </c>
      <c r="AM267" s="62">
        <v>0.99873</v>
      </c>
      <c r="AN267" s="62">
        <v>0.923767</v>
      </c>
      <c r="AO267" s="49"/>
      <c r="AP267" s="49"/>
      <c r="AQ267" s="49"/>
    </row>
    <row r="268">
      <c r="A268" s="52" t="s">
        <v>108</v>
      </c>
      <c r="B268" s="53" t="s">
        <v>22</v>
      </c>
      <c r="C268" s="54">
        <v>1.0</v>
      </c>
      <c r="D268" s="55">
        <v>1.0</v>
      </c>
      <c r="E268" s="55">
        <v>1.0</v>
      </c>
      <c r="F268" s="55">
        <v>1.0</v>
      </c>
      <c r="G268" s="55">
        <v>0.0</v>
      </c>
      <c r="H268" s="55">
        <v>0.998217</v>
      </c>
      <c r="I268" s="55">
        <v>0.002041</v>
      </c>
      <c r="J268" s="55">
        <v>0.540852</v>
      </c>
      <c r="K268" s="55">
        <v>1.0</v>
      </c>
      <c r="L268" s="55">
        <v>0.5</v>
      </c>
      <c r="M268" s="55">
        <v>0.286324</v>
      </c>
      <c r="N268" s="57">
        <f t="shared" si="1"/>
        <v>0.40806609</v>
      </c>
      <c r="O268" s="57">
        <f t="shared" si="2"/>
        <v>35.41452369</v>
      </c>
      <c r="P268" s="54">
        <v>173.84462</v>
      </c>
      <c r="Q268" s="54">
        <v>0.552815</v>
      </c>
      <c r="R268" s="54">
        <v>0.996438</v>
      </c>
      <c r="S268" s="54">
        <v>0.333333</v>
      </c>
      <c r="T268" s="54">
        <v>0.332146</v>
      </c>
      <c r="U268" s="54">
        <v>0.992889</v>
      </c>
      <c r="V268" s="54">
        <v>0.333333</v>
      </c>
      <c r="W268" s="54">
        <v>0.996438</v>
      </c>
      <c r="X268" s="54">
        <v>0.332739</v>
      </c>
      <c r="Y268" s="54">
        <v>0.99466</v>
      </c>
      <c r="Z268" s="54">
        <v>0.0</v>
      </c>
      <c r="AA268" s="54">
        <v>0.0</v>
      </c>
      <c r="AB268" s="54">
        <v>0.0</v>
      </c>
      <c r="AC268" s="54">
        <v>0.0</v>
      </c>
      <c r="AD268" s="54">
        <v>0.0</v>
      </c>
      <c r="AE268" s="54">
        <v>0.0</v>
      </c>
      <c r="AF268" s="54">
        <v>0.0</v>
      </c>
      <c r="AG268" s="54">
        <v>0.0</v>
      </c>
      <c r="AH268" s="54">
        <v>0.0</v>
      </c>
      <c r="AI268" s="54">
        <v>0.0</v>
      </c>
      <c r="AJ268" s="54">
        <v>0.0</v>
      </c>
      <c r="AK268" s="54">
        <v>0.996438</v>
      </c>
      <c r="AL268" s="54">
        <v>1.0</v>
      </c>
      <c r="AM268" s="54">
        <v>0.998216</v>
      </c>
      <c r="AN268" s="54">
        <v>0.0</v>
      </c>
      <c r="AO268" s="69"/>
      <c r="AP268" s="69"/>
      <c r="AQ268" s="69"/>
    </row>
    <row r="269">
      <c r="A269" s="13"/>
      <c r="B269" s="13"/>
      <c r="C269" s="54">
        <v>2.0</v>
      </c>
      <c r="D269" s="55">
        <v>1.0</v>
      </c>
      <c r="E269" s="55">
        <v>1.0</v>
      </c>
      <c r="F269" s="55">
        <v>1.0</v>
      </c>
      <c r="G269" s="55">
        <v>0.0</v>
      </c>
      <c r="H269" s="55">
        <v>0.998217</v>
      </c>
      <c r="I269" s="55">
        <v>0.002285</v>
      </c>
      <c r="J269" s="55">
        <v>0.540852</v>
      </c>
      <c r="K269" s="55">
        <v>1.0</v>
      </c>
      <c r="L269" s="55">
        <v>0.5</v>
      </c>
      <c r="M269" s="55">
        <v>0.291769</v>
      </c>
      <c r="N269" s="57">
        <f t="shared" si="1"/>
        <v>0.40806609</v>
      </c>
      <c r="O269" s="57">
        <f t="shared" si="2"/>
        <v>35.68239223</v>
      </c>
      <c r="P269" s="54">
        <v>173.84462</v>
      </c>
      <c r="Q269" s="54">
        <v>0.611129</v>
      </c>
      <c r="R269" s="54">
        <v>0.996438</v>
      </c>
      <c r="S269" s="54">
        <v>0.333333</v>
      </c>
      <c r="T269" s="54">
        <v>0.332146</v>
      </c>
      <c r="U269" s="54">
        <v>0.992889</v>
      </c>
      <c r="V269" s="54">
        <v>0.333333</v>
      </c>
      <c r="W269" s="54">
        <v>0.996438</v>
      </c>
      <c r="X269" s="54">
        <v>0.332739</v>
      </c>
      <c r="Y269" s="54">
        <v>0.99466</v>
      </c>
      <c r="Z269" s="54">
        <v>0.0</v>
      </c>
      <c r="AA269" s="54">
        <v>0.0</v>
      </c>
      <c r="AB269" s="54">
        <v>0.0</v>
      </c>
      <c r="AC269" s="54">
        <v>0.0</v>
      </c>
      <c r="AD269" s="54">
        <v>0.0</v>
      </c>
      <c r="AE269" s="54">
        <v>0.0</v>
      </c>
      <c r="AF269" s="54">
        <v>0.0</v>
      </c>
      <c r="AG269" s="54">
        <v>0.0</v>
      </c>
      <c r="AH269" s="54">
        <v>0.0</v>
      </c>
      <c r="AI269" s="54">
        <v>0.0</v>
      </c>
      <c r="AJ269" s="54">
        <v>0.0</v>
      </c>
      <c r="AK269" s="54">
        <v>0.996438</v>
      </c>
      <c r="AL269" s="54">
        <v>1.0</v>
      </c>
      <c r="AM269" s="54">
        <v>0.998216</v>
      </c>
      <c r="AN269" s="54">
        <v>0.0</v>
      </c>
      <c r="AO269" s="69"/>
      <c r="AP269" s="69"/>
      <c r="AQ269" s="69"/>
    </row>
    <row r="270">
      <c r="A270" s="13"/>
      <c r="B270" s="13"/>
      <c r="C270" s="54">
        <v>3.0</v>
      </c>
      <c r="D270" s="55">
        <v>1.0</v>
      </c>
      <c r="E270" s="55">
        <v>1.0</v>
      </c>
      <c r="F270" s="55">
        <v>1.0</v>
      </c>
      <c r="G270" s="55">
        <v>3.23E-4</v>
      </c>
      <c r="H270" s="55">
        <v>0.99867</v>
      </c>
      <c r="I270" s="55">
        <v>0.012718</v>
      </c>
      <c r="J270" s="55">
        <v>0.542118</v>
      </c>
      <c r="K270" s="55">
        <v>1.0</v>
      </c>
      <c r="L270" s="55">
        <v>0.5</v>
      </c>
      <c r="M270" s="55">
        <v>0.388584</v>
      </c>
      <c r="N270" s="57">
        <f t="shared" si="1"/>
        <v>0.4429712018</v>
      </c>
      <c r="O270" s="57">
        <f t="shared" si="2"/>
        <v>42.03579463</v>
      </c>
      <c r="P270" s="54">
        <v>173.84462</v>
      </c>
      <c r="Q270" s="54">
        <v>0.733806</v>
      </c>
      <c r="R270" s="54">
        <v>0.996472</v>
      </c>
      <c r="S270" s="54">
        <v>0.349281</v>
      </c>
      <c r="T270" s="54">
        <v>0.529466</v>
      </c>
      <c r="U270" s="54">
        <v>0.994553</v>
      </c>
      <c r="V270" s="54">
        <v>0.349281</v>
      </c>
      <c r="W270" s="54">
        <v>0.996472</v>
      </c>
      <c r="X270" s="54">
        <v>0.362306</v>
      </c>
      <c r="Y270" s="54">
        <v>0.994908</v>
      </c>
      <c r="Z270" s="54">
        <v>0.0</v>
      </c>
      <c r="AA270" s="54">
        <v>0.141992</v>
      </c>
      <c r="AB270" s="54">
        <v>0.065733</v>
      </c>
      <c r="AC270" s="54">
        <v>0.0</v>
      </c>
      <c r="AD270" s="54">
        <v>0.0</v>
      </c>
      <c r="AE270" s="54">
        <v>0.0</v>
      </c>
      <c r="AF270" s="54">
        <v>0.0</v>
      </c>
      <c r="AG270" s="54">
        <v>0.591837</v>
      </c>
      <c r="AH270" s="54">
        <v>0.047934</v>
      </c>
      <c r="AI270" s="54">
        <v>0.088685</v>
      </c>
      <c r="AJ270" s="54">
        <v>0.218929</v>
      </c>
      <c r="AK270" s="54">
        <v>0.996562</v>
      </c>
      <c r="AL270" s="54">
        <v>0.999909</v>
      </c>
      <c r="AM270" s="54">
        <v>0.998233</v>
      </c>
      <c r="AN270" s="54">
        <v>0.187139</v>
      </c>
      <c r="AO270" s="69"/>
      <c r="AP270" s="69"/>
      <c r="AQ270" s="69"/>
    </row>
    <row r="271">
      <c r="A271" s="13"/>
      <c r="B271" s="16"/>
      <c r="C271" s="54">
        <v>4.0</v>
      </c>
      <c r="D271" s="55">
        <v>1.0</v>
      </c>
      <c r="E271" s="55">
        <v>1.0</v>
      </c>
      <c r="F271" s="55">
        <v>1.0</v>
      </c>
      <c r="G271" s="55">
        <v>0.008227</v>
      </c>
      <c r="H271" s="55">
        <v>0.999846</v>
      </c>
      <c r="I271" s="55">
        <v>0.001778</v>
      </c>
      <c r="J271" s="55">
        <v>0.562373</v>
      </c>
      <c r="K271" s="55">
        <v>1.0</v>
      </c>
      <c r="L271" s="55">
        <v>0.5</v>
      </c>
      <c r="M271" s="55">
        <v>0.281716</v>
      </c>
      <c r="N271" s="57">
        <f t="shared" si="1"/>
        <v>0.8557550422</v>
      </c>
      <c r="O271" s="57">
        <f t="shared" si="2"/>
        <v>54.86991474</v>
      </c>
      <c r="P271" s="54">
        <v>173.84462</v>
      </c>
      <c r="Q271" s="54">
        <v>0.901894</v>
      </c>
      <c r="R271" s="54">
        <v>0.997346</v>
      </c>
      <c r="S271" s="54">
        <v>0.925917</v>
      </c>
      <c r="T271" s="54">
        <v>0.70441</v>
      </c>
      <c r="U271" s="54">
        <v>0.998184</v>
      </c>
      <c r="V271" s="54">
        <v>0.925917</v>
      </c>
      <c r="W271" s="54">
        <v>0.997346</v>
      </c>
      <c r="X271" s="54">
        <v>0.788718</v>
      </c>
      <c r="Y271" s="54">
        <v>0.997646</v>
      </c>
      <c r="Z271" s="54">
        <v>0.947715</v>
      </c>
      <c r="AA271" s="54">
        <v>0.722214</v>
      </c>
      <c r="AB271" s="54">
        <v>0.705599</v>
      </c>
      <c r="AC271" s="54">
        <v>0.528205</v>
      </c>
      <c r="AD271" s="54">
        <v>0.923767</v>
      </c>
      <c r="AE271" s="54">
        <v>0.672104</v>
      </c>
      <c r="AF271" s="54">
        <v>0.960747</v>
      </c>
      <c r="AG271" s="54">
        <v>0.585311</v>
      </c>
      <c r="AH271" s="54">
        <v>0.856198</v>
      </c>
      <c r="AI271" s="54">
        <v>0.695302</v>
      </c>
      <c r="AJ271" s="54">
        <v>0.924577</v>
      </c>
      <c r="AK271" s="54">
        <v>0.999715</v>
      </c>
      <c r="AL271" s="54">
        <v>0.997785</v>
      </c>
      <c r="AM271" s="54">
        <v>0.998749</v>
      </c>
      <c r="AN271" s="54">
        <v>0.958254</v>
      </c>
      <c r="AO271" s="69"/>
      <c r="AP271" s="69"/>
      <c r="AQ271" s="69"/>
    </row>
    <row r="272">
      <c r="A272" s="13"/>
      <c r="B272" s="59" t="s">
        <v>23</v>
      </c>
      <c r="C272" s="54">
        <v>1.0</v>
      </c>
      <c r="D272" s="55">
        <v>1.0</v>
      </c>
      <c r="E272" s="55">
        <v>1.0</v>
      </c>
      <c r="F272" s="55">
        <v>1.0</v>
      </c>
      <c r="G272" s="55">
        <v>0.0</v>
      </c>
      <c r="H272" s="55">
        <v>0.998216703</v>
      </c>
      <c r="I272" s="55">
        <v>0.544700828</v>
      </c>
      <c r="J272" s="55">
        <v>0.540852083</v>
      </c>
      <c r="K272" s="55">
        <v>1.0</v>
      </c>
      <c r="L272" s="55">
        <v>0.5</v>
      </c>
      <c r="M272" s="55">
        <v>0.726504926</v>
      </c>
      <c r="N272" s="57">
        <f t="shared" si="1"/>
        <v>0.4080660711</v>
      </c>
      <c r="O272" s="57">
        <f t="shared" si="2"/>
        <v>51.39652034</v>
      </c>
      <c r="P272" s="56">
        <v>836.4311679</v>
      </c>
      <c r="Q272" s="56">
        <v>0.588528633</v>
      </c>
      <c r="R272" s="56">
        <v>0.99643799</v>
      </c>
      <c r="S272" s="56">
        <v>0.333333333</v>
      </c>
      <c r="T272" s="56">
        <v>0.332145997</v>
      </c>
      <c r="U272" s="56">
        <v>0.992888667</v>
      </c>
      <c r="V272" s="56">
        <v>0.333333333</v>
      </c>
      <c r="W272" s="56">
        <v>0.99643799</v>
      </c>
      <c r="X272" s="56">
        <v>0.332738606</v>
      </c>
      <c r="Y272" s="56">
        <v>0.994660162</v>
      </c>
      <c r="Z272" s="56">
        <v>0.0</v>
      </c>
      <c r="AA272" s="56">
        <v>0.0</v>
      </c>
      <c r="AB272" s="56">
        <v>0.0</v>
      </c>
      <c r="AC272" s="56">
        <v>0.0</v>
      </c>
      <c r="AD272" s="56">
        <v>0.0</v>
      </c>
      <c r="AE272" s="56">
        <v>0.0</v>
      </c>
      <c r="AF272" s="56">
        <v>0.0</v>
      </c>
      <c r="AG272" s="56">
        <v>0.0</v>
      </c>
      <c r="AH272" s="56">
        <v>0.0</v>
      </c>
      <c r="AI272" s="56">
        <v>0.0</v>
      </c>
      <c r="AJ272" s="56">
        <v>0.0</v>
      </c>
      <c r="AK272" s="56">
        <v>0.99643799</v>
      </c>
      <c r="AL272" s="56">
        <v>1.0</v>
      </c>
      <c r="AM272" s="56">
        <v>0.998215817</v>
      </c>
      <c r="AN272" s="56">
        <v>0.0</v>
      </c>
      <c r="AO272" s="58"/>
      <c r="AP272" s="58"/>
      <c r="AQ272" s="58"/>
    </row>
    <row r="273">
      <c r="A273" s="13"/>
      <c r="B273" s="13"/>
      <c r="C273" s="54">
        <v>2.0</v>
      </c>
      <c r="D273" s="55">
        <v>1.0</v>
      </c>
      <c r="E273" s="55">
        <v>1.0</v>
      </c>
      <c r="F273" s="55">
        <v>1.0</v>
      </c>
      <c r="G273" s="55">
        <v>1.94E-5</v>
      </c>
      <c r="H273" s="55">
        <v>0.998269001</v>
      </c>
      <c r="I273" s="55">
        <v>0.641248835</v>
      </c>
      <c r="J273" s="55">
        <v>0.540953293</v>
      </c>
      <c r="K273" s="55">
        <v>1.0</v>
      </c>
      <c r="L273" s="55">
        <v>0.5</v>
      </c>
      <c r="M273" s="55">
        <v>0.746564482</v>
      </c>
      <c r="N273" s="57">
        <f t="shared" si="1"/>
        <v>0.4114570457</v>
      </c>
      <c r="O273" s="57">
        <f t="shared" si="2"/>
        <v>52.21816809</v>
      </c>
      <c r="P273" s="56">
        <v>836.4311679</v>
      </c>
      <c r="Q273" s="56">
        <v>0.604263067</v>
      </c>
      <c r="R273" s="56">
        <v>0.99643799</v>
      </c>
      <c r="S273" s="56">
        <v>0.333333333</v>
      </c>
      <c r="T273" s="56">
        <v>0.332150283</v>
      </c>
      <c r="U273" s="56">
        <v>0.992901481</v>
      </c>
      <c r="V273" s="56">
        <v>0.333333333</v>
      </c>
      <c r="W273" s="56">
        <v>0.99643799</v>
      </c>
      <c r="X273" s="56">
        <v>0.332740757</v>
      </c>
      <c r="Y273" s="56">
        <v>0.994666592</v>
      </c>
      <c r="Z273" s="56">
        <v>0.0</v>
      </c>
      <c r="AA273" s="56">
        <v>0.029954002</v>
      </c>
      <c r="AB273" s="56">
        <v>0.003587933</v>
      </c>
      <c r="AC273" s="56">
        <v>0.0</v>
      </c>
      <c r="AD273" s="56">
        <v>0.0</v>
      </c>
      <c r="AE273" s="56">
        <v>0.0</v>
      </c>
      <c r="AF273" s="56">
        <v>0.0</v>
      </c>
      <c r="AG273" s="56">
        <v>0.0</v>
      </c>
      <c r="AH273" s="56">
        <v>0.0</v>
      </c>
      <c r="AI273" s="56">
        <v>0.0</v>
      </c>
      <c r="AJ273" s="56">
        <v>0.0</v>
      </c>
      <c r="AK273" s="56">
        <v>0.99645085</v>
      </c>
      <c r="AL273" s="56">
        <v>1.0</v>
      </c>
      <c r="AM273" s="56">
        <v>0.99822227</v>
      </c>
      <c r="AN273" s="56">
        <v>0.060192927</v>
      </c>
      <c r="AO273" s="58"/>
      <c r="AP273" s="58"/>
      <c r="AQ273" s="58"/>
    </row>
    <row r="274">
      <c r="A274" s="13"/>
      <c r="B274" s="13"/>
      <c r="C274" s="54">
        <v>3.0</v>
      </c>
      <c r="D274" s="55">
        <v>1.0</v>
      </c>
      <c r="E274" s="55">
        <v>1.0</v>
      </c>
      <c r="F274" s="55">
        <v>1.0</v>
      </c>
      <c r="G274" s="55">
        <v>0.002761849</v>
      </c>
      <c r="H274" s="55">
        <v>0.999706915</v>
      </c>
      <c r="I274" s="55">
        <v>0.649538717</v>
      </c>
      <c r="J274" s="55">
        <v>0.549624702</v>
      </c>
      <c r="K274" s="55">
        <v>1.0</v>
      </c>
      <c r="L274" s="55">
        <v>0.5</v>
      </c>
      <c r="M274" s="55">
        <v>0.750330035</v>
      </c>
      <c r="N274" s="57">
        <f t="shared" si="1"/>
        <v>0.5055683109</v>
      </c>
      <c r="O274" s="57">
        <f t="shared" si="2"/>
        <v>59.20642512</v>
      </c>
      <c r="P274" s="56">
        <v>836.4311679</v>
      </c>
      <c r="Q274" s="56">
        <v>0.704778433</v>
      </c>
      <c r="R274" s="56">
        <v>0.995779792</v>
      </c>
      <c r="S274" s="56">
        <v>0.406702707</v>
      </c>
      <c r="T274" s="56">
        <v>0.490474991</v>
      </c>
      <c r="U274" s="56">
        <v>0.994713572</v>
      </c>
      <c r="V274" s="56">
        <v>0.406702707</v>
      </c>
      <c r="W274" s="56">
        <v>0.995779792</v>
      </c>
      <c r="X274" s="56">
        <v>0.429225671</v>
      </c>
      <c r="Y274" s="56">
        <v>0.9950949</v>
      </c>
      <c r="Z274" s="56">
        <v>0.364619679</v>
      </c>
      <c r="AA274" s="56">
        <v>0.22953467</v>
      </c>
      <c r="AB274" s="56">
        <v>0.217519256</v>
      </c>
      <c r="AC274" s="56">
        <v>0.086124402</v>
      </c>
      <c r="AD274" s="56">
        <v>0.080717489</v>
      </c>
      <c r="AE274" s="56">
        <v>0.083333333</v>
      </c>
      <c r="AF274" s="56">
        <v>0.283991376</v>
      </c>
      <c r="AG274" s="56">
        <v>0.388127854</v>
      </c>
      <c r="AH274" s="56">
        <v>0.140495868</v>
      </c>
      <c r="AI274" s="56">
        <v>0.20631068</v>
      </c>
      <c r="AJ274" s="56">
        <v>0.37471945</v>
      </c>
      <c r="AK274" s="56">
        <v>0.997172719</v>
      </c>
      <c r="AL274" s="56">
        <v>0.998894765</v>
      </c>
      <c r="AM274" s="56">
        <v>0.998032999</v>
      </c>
      <c r="AN274" s="56">
        <v>0.455521546</v>
      </c>
      <c r="AO274" s="58"/>
      <c r="AP274" s="58"/>
      <c r="AQ274" s="58"/>
    </row>
    <row r="275">
      <c r="A275" s="13"/>
      <c r="B275" s="16"/>
      <c r="C275" s="54">
        <v>4.0</v>
      </c>
      <c r="D275" s="55">
        <v>1.0</v>
      </c>
      <c r="E275" s="55">
        <v>1.0</v>
      </c>
      <c r="F275" s="55">
        <v>1.0</v>
      </c>
      <c r="G275" s="55">
        <v>0.006788469</v>
      </c>
      <c r="H275" s="55">
        <v>0.999956809</v>
      </c>
      <c r="I275" s="55">
        <v>0.0</v>
      </c>
      <c r="J275" s="55">
        <v>0.559189785</v>
      </c>
      <c r="K275" s="55">
        <v>1.0</v>
      </c>
      <c r="L275" s="55">
        <v>0.5</v>
      </c>
      <c r="M275" s="55">
        <v>0.017421481</v>
      </c>
      <c r="N275" s="57">
        <f t="shared" si="1"/>
        <v>0.8641052356</v>
      </c>
      <c r="O275" s="57">
        <f t="shared" si="2"/>
        <v>18.12900675</v>
      </c>
      <c r="P275" s="56">
        <v>836.4311679</v>
      </c>
      <c r="Q275" s="56">
        <v>0.89394927</v>
      </c>
      <c r="R275" s="56">
        <v>0.997982388</v>
      </c>
      <c r="S275" s="56">
        <v>0.889286944</v>
      </c>
      <c r="T275" s="56">
        <v>0.761234388</v>
      </c>
      <c r="U275" s="56">
        <v>0.99832366</v>
      </c>
      <c r="V275" s="56">
        <v>0.889286944</v>
      </c>
      <c r="W275" s="56">
        <v>0.997982388</v>
      </c>
      <c r="X275" s="56">
        <v>0.816579477</v>
      </c>
      <c r="Y275" s="56">
        <v>0.998114547</v>
      </c>
      <c r="Z275" s="56">
        <v>0.921348388</v>
      </c>
      <c r="AA275" s="56">
        <v>0.755148232</v>
      </c>
      <c r="AB275" s="56">
        <v>0.749735324</v>
      </c>
      <c r="AC275" s="56">
        <v>0.629508197</v>
      </c>
      <c r="AD275" s="56">
        <v>0.860986547</v>
      </c>
      <c r="AE275" s="56">
        <v>0.727272727</v>
      </c>
      <c r="AF275" s="56">
        <v>0.92766783</v>
      </c>
      <c r="AG275" s="56">
        <v>0.654618474</v>
      </c>
      <c r="AH275" s="56">
        <v>0.808264463</v>
      </c>
      <c r="AI275" s="56">
        <v>0.723372781</v>
      </c>
      <c r="AJ275" s="56">
        <v>0.898534934</v>
      </c>
      <c r="AK275" s="56">
        <v>0.999576493</v>
      </c>
      <c r="AL275" s="56">
        <v>0.998609822</v>
      </c>
      <c r="AM275" s="56">
        <v>0.999092924</v>
      </c>
      <c r="AN275" s="56">
        <v>0.938305319</v>
      </c>
      <c r="AO275" s="58"/>
      <c r="AP275" s="58"/>
      <c r="AQ275" s="58"/>
    </row>
    <row r="276">
      <c r="A276" s="13"/>
      <c r="B276" s="59" t="s">
        <v>24</v>
      </c>
      <c r="C276" s="54">
        <v>1.0</v>
      </c>
      <c r="D276" s="55">
        <v>1.0</v>
      </c>
      <c r="E276" s="55">
        <v>1.0</v>
      </c>
      <c r="F276" s="55">
        <v>1.0</v>
      </c>
      <c r="G276" s="55">
        <v>0.002684414</v>
      </c>
      <c r="H276" s="55">
        <v>0.999782674</v>
      </c>
      <c r="I276" s="55">
        <v>2.06E-5</v>
      </c>
      <c r="J276" s="55">
        <v>0.549299593</v>
      </c>
      <c r="K276" s="55">
        <v>1.0</v>
      </c>
      <c r="L276" s="55">
        <v>0.5</v>
      </c>
      <c r="M276" s="55">
        <v>0.133486046</v>
      </c>
      <c r="N276" s="57">
        <f t="shared" si="1"/>
        <v>0.4577250167</v>
      </c>
      <c r="O276" s="57">
        <f t="shared" si="2"/>
        <v>27.95999807</v>
      </c>
      <c r="P276" s="56">
        <v>4139.029885</v>
      </c>
      <c r="Q276" s="56">
        <v>0.019667518</v>
      </c>
      <c r="R276" s="56">
        <v>0.995173218</v>
      </c>
      <c r="S276" s="56">
        <v>0.374782585</v>
      </c>
      <c r="T276" s="56">
        <v>0.41298187</v>
      </c>
      <c r="U276" s="56">
        <v>0.993603838</v>
      </c>
      <c r="V276" s="56">
        <v>0.374782585</v>
      </c>
      <c r="W276" s="56">
        <v>0.995173218</v>
      </c>
      <c r="X276" s="56">
        <v>0.3877148</v>
      </c>
      <c r="Y276" s="56">
        <v>0.994355246</v>
      </c>
      <c r="Z276" s="56">
        <v>0.264363586</v>
      </c>
      <c r="AA276" s="56">
        <v>0.102139762</v>
      </c>
      <c r="AB276" s="56">
        <v>0.096352309</v>
      </c>
      <c r="AC276" s="56">
        <v>0.140495868</v>
      </c>
      <c r="AD276" s="56">
        <v>0.076233184</v>
      </c>
      <c r="AE276" s="56">
        <v>0.098837209</v>
      </c>
      <c r="AF276" s="56">
        <v>0.276041744</v>
      </c>
      <c r="AG276" s="56">
        <v>0.101694915</v>
      </c>
      <c r="AH276" s="56">
        <v>0.049586777</v>
      </c>
      <c r="AI276" s="56">
        <v>0.066666667</v>
      </c>
      <c r="AJ276" s="56">
        <v>0.222553588</v>
      </c>
      <c r="AK276" s="56">
        <v>0.996754828</v>
      </c>
      <c r="AL276" s="56">
        <v>0.998527793</v>
      </c>
      <c r="AM276" s="56">
        <v>0.997640523</v>
      </c>
      <c r="AN276" s="56">
        <v>0.30074301</v>
      </c>
      <c r="AO276" s="58"/>
      <c r="AP276" s="58"/>
      <c r="AQ276" s="58"/>
    </row>
    <row r="277">
      <c r="A277" s="13"/>
      <c r="B277" s="13"/>
      <c r="C277" s="54">
        <v>2.0</v>
      </c>
      <c r="D277" s="55">
        <v>1.0</v>
      </c>
      <c r="E277" s="55">
        <v>1.0</v>
      </c>
      <c r="F277" s="55">
        <v>1.0</v>
      </c>
      <c r="G277" s="55">
        <v>0.002581167</v>
      </c>
      <c r="H277" s="55">
        <v>0.999720544</v>
      </c>
      <c r="I277" s="55">
        <v>1.93E-5</v>
      </c>
      <c r="J277" s="55">
        <v>0.548778132</v>
      </c>
      <c r="K277" s="55">
        <v>1.0</v>
      </c>
      <c r="L277" s="55">
        <v>0.5</v>
      </c>
      <c r="M277" s="55">
        <v>0.131982821</v>
      </c>
      <c r="N277" s="57">
        <f t="shared" si="1"/>
        <v>0.4613929011</v>
      </c>
      <c r="O277" s="57">
        <f t="shared" si="2"/>
        <v>27.96723345</v>
      </c>
      <c r="P277" s="56">
        <v>4139.029885</v>
      </c>
      <c r="Q277" s="56">
        <v>0.019787314</v>
      </c>
      <c r="R277" s="56">
        <v>0.995358201</v>
      </c>
      <c r="S277" s="56">
        <v>0.37184548</v>
      </c>
      <c r="T277" s="56">
        <v>0.427375771</v>
      </c>
      <c r="U277" s="56">
        <v>0.993785376</v>
      </c>
      <c r="V277" s="56">
        <v>0.37184548</v>
      </c>
      <c r="W277" s="56">
        <v>0.995358201</v>
      </c>
      <c r="X277" s="56">
        <v>0.386120901</v>
      </c>
      <c r="Y277" s="56">
        <v>0.994518232</v>
      </c>
      <c r="Z277" s="56">
        <v>0.261794461</v>
      </c>
      <c r="AA277" s="56">
        <v>0.12766956</v>
      </c>
      <c r="AB277" s="56">
        <v>0.119633668</v>
      </c>
      <c r="AC277" s="56">
        <v>0.142857143</v>
      </c>
      <c r="AD277" s="56">
        <v>0.03587444</v>
      </c>
      <c r="AE277" s="56">
        <v>0.05734767</v>
      </c>
      <c r="AF277" s="56">
        <v>0.189385914</v>
      </c>
      <c r="AG277" s="56">
        <v>0.142441861</v>
      </c>
      <c r="AH277" s="56">
        <v>0.080991736</v>
      </c>
      <c r="AI277" s="56">
        <v>0.103266596</v>
      </c>
      <c r="AJ277" s="56">
        <v>0.284409358</v>
      </c>
      <c r="AK277" s="56">
        <v>0.996828311</v>
      </c>
      <c r="AL277" s="56">
        <v>0.998670264</v>
      </c>
      <c r="AM277" s="56">
        <v>0.997748438</v>
      </c>
      <c r="AN277" s="56">
        <v>0.333111637</v>
      </c>
      <c r="AO277" s="58"/>
      <c r="AP277" s="58"/>
      <c r="AQ277" s="58"/>
    </row>
    <row r="278">
      <c r="A278" s="13"/>
      <c r="B278" s="13"/>
      <c r="C278" s="54">
        <v>3.0</v>
      </c>
      <c r="D278" s="55">
        <v>1.0</v>
      </c>
      <c r="E278" s="55">
        <v>1.0</v>
      </c>
      <c r="F278" s="55">
        <v>1.0</v>
      </c>
      <c r="G278" s="55">
        <v>0.007059492</v>
      </c>
      <c r="H278" s="55">
        <v>0.999870953</v>
      </c>
      <c r="I278" s="55">
        <v>1.62E-5</v>
      </c>
      <c r="J278" s="55">
        <v>0.560050669</v>
      </c>
      <c r="K278" s="55">
        <v>1.0</v>
      </c>
      <c r="L278" s="55">
        <v>0.5</v>
      </c>
      <c r="M278" s="55">
        <v>0.128671677</v>
      </c>
      <c r="N278" s="57">
        <f t="shared" si="1"/>
        <v>0.6241514913</v>
      </c>
      <c r="O278" s="57">
        <f t="shared" si="2"/>
        <v>33.18693861</v>
      </c>
      <c r="P278" s="56">
        <v>4139.029885</v>
      </c>
      <c r="Q278" s="56">
        <v>0.019723564</v>
      </c>
      <c r="R278" s="56">
        <v>0.994373056</v>
      </c>
      <c r="S278" s="56">
        <v>0.631771632</v>
      </c>
      <c r="T278" s="56">
        <v>0.512873334</v>
      </c>
      <c r="U278" s="56">
        <v>0.995153332</v>
      </c>
      <c r="V278" s="56">
        <v>0.631771632</v>
      </c>
      <c r="W278" s="56">
        <v>0.994373056</v>
      </c>
      <c r="X278" s="56">
        <v>0.55238951</v>
      </c>
      <c r="Y278" s="56">
        <v>0.994705264</v>
      </c>
      <c r="Z278" s="56">
        <v>0.624269922</v>
      </c>
      <c r="AA278" s="56">
        <v>0.320443577</v>
      </c>
      <c r="AB278" s="56">
        <v>0.317330203</v>
      </c>
      <c r="AC278" s="56">
        <v>0.330415755</v>
      </c>
      <c r="AD278" s="56">
        <v>0.677130045</v>
      </c>
      <c r="AE278" s="56">
        <v>0.444117647</v>
      </c>
      <c r="AF278" s="56">
        <v>0.822336803</v>
      </c>
      <c r="AG278" s="56">
        <v>0.210361068</v>
      </c>
      <c r="AH278" s="56">
        <v>0.221487603</v>
      </c>
      <c r="AI278" s="56">
        <v>0.215780998</v>
      </c>
      <c r="AJ278" s="56">
        <v>0.470113902</v>
      </c>
      <c r="AK278" s="56">
        <v>0.997843179</v>
      </c>
      <c r="AL278" s="56">
        <v>0.996697248</v>
      </c>
      <c r="AM278" s="56">
        <v>0.997269884</v>
      </c>
      <c r="AN278" s="56">
        <v>0.629309677</v>
      </c>
      <c r="AO278" s="58"/>
      <c r="AP278" s="58"/>
      <c r="AQ278" s="58"/>
    </row>
    <row r="279">
      <c r="A279" s="13"/>
      <c r="B279" s="16"/>
      <c r="C279" s="54">
        <v>4.0</v>
      </c>
      <c r="D279" s="55">
        <v>1.0</v>
      </c>
      <c r="E279" s="55">
        <v>1.0</v>
      </c>
      <c r="F279" s="55">
        <v>1.0</v>
      </c>
      <c r="G279" s="55">
        <v>0.009453524</v>
      </c>
      <c r="H279" s="55">
        <v>0.999716884</v>
      </c>
      <c r="I279" s="55">
        <v>2.8E-7</v>
      </c>
      <c r="J279" s="55">
        <v>0.564925086</v>
      </c>
      <c r="K279" s="55">
        <v>1.0</v>
      </c>
      <c r="L279" s="55">
        <v>0.5</v>
      </c>
      <c r="M279" s="55">
        <v>0.065504626</v>
      </c>
      <c r="N279" s="57">
        <f t="shared" si="1"/>
        <v>0.8093688025</v>
      </c>
      <c r="O279" s="57">
        <f t="shared" si="2"/>
        <v>29.60715414</v>
      </c>
      <c r="P279" s="56">
        <v>4139.029885</v>
      </c>
      <c r="Q279" s="56">
        <v>0.019950144</v>
      </c>
      <c r="R279" s="56">
        <v>0.996253006</v>
      </c>
      <c r="S279" s="56">
        <v>0.888314144</v>
      </c>
      <c r="T279" s="56">
        <v>0.637927872</v>
      </c>
      <c r="U279" s="56">
        <v>0.997721032</v>
      </c>
      <c r="V279" s="56">
        <v>0.888314144</v>
      </c>
      <c r="W279" s="56">
        <v>0.996253006</v>
      </c>
      <c r="X279" s="56">
        <v>0.725956844</v>
      </c>
      <c r="Y279" s="56">
        <v>0.996807323</v>
      </c>
      <c r="Z279" s="56">
        <v>0.922722673</v>
      </c>
      <c r="AA279" s="56">
        <v>0.644312153</v>
      </c>
      <c r="AB279" s="56">
        <v>0.618766413</v>
      </c>
      <c r="AC279" s="56">
        <v>0.436073059</v>
      </c>
      <c r="AD279" s="56">
        <v>0.856502242</v>
      </c>
      <c r="AE279" s="56">
        <v>0.577912254</v>
      </c>
      <c r="AF279" s="56">
        <v>0.924981765</v>
      </c>
      <c r="AG279" s="56">
        <v>0.478091529</v>
      </c>
      <c r="AH279" s="56">
        <v>0.811570248</v>
      </c>
      <c r="AI279" s="56">
        <v>0.601715686</v>
      </c>
      <c r="AJ279" s="56">
        <v>0.89982999</v>
      </c>
      <c r="AK279" s="56">
        <v>0.999619028</v>
      </c>
      <c r="AL279" s="56">
        <v>0.996869941</v>
      </c>
      <c r="AM279" s="56">
        <v>0.998242592</v>
      </c>
      <c r="AN279" s="56">
        <v>0.943886863</v>
      </c>
      <c r="AO279" s="58"/>
      <c r="AP279" s="58"/>
      <c r="AQ279" s="58"/>
    </row>
    <row r="280">
      <c r="A280" s="13"/>
      <c r="B280" s="59" t="s">
        <v>25</v>
      </c>
      <c r="C280" s="54">
        <v>1.0</v>
      </c>
      <c r="D280" s="55">
        <v>1.0</v>
      </c>
      <c r="E280" s="55">
        <v>1.0</v>
      </c>
      <c r="F280" s="55">
        <v>1.0</v>
      </c>
      <c r="G280" s="55">
        <v>0.009576129</v>
      </c>
      <c r="H280" s="55">
        <v>0.997323827</v>
      </c>
      <c r="I280" s="55">
        <v>9.96E-8</v>
      </c>
      <c r="J280" s="55">
        <v>0.562688352</v>
      </c>
      <c r="K280" s="55">
        <v>1.0</v>
      </c>
      <c r="L280" s="55">
        <v>0.5</v>
      </c>
      <c r="M280" s="55">
        <v>0.055085533</v>
      </c>
      <c r="N280" s="57">
        <f t="shared" si="1"/>
        <v>0.5192529885</v>
      </c>
      <c r="O280" s="57">
        <f t="shared" si="2"/>
        <v>21.16617708</v>
      </c>
      <c r="P280" s="56">
        <v>4250.648558</v>
      </c>
      <c r="Q280" s="56">
        <v>0.079893532</v>
      </c>
      <c r="R280" s="56">
        <v>0.991602604</v>
      </c>
      <c r="S280" s="56">
        <v>0.543445703</v>
      </c>
      <c r="T280" s="56">
        <v>0.604332703</v>
      </c>
      <c r="U280" s="56">
        <v>0.995741199</v>
      </c>
      <c r="V280" s="56">
        <v>0.543445703</v>
      </c>
      <c r="W280" s="56">
        <v>0.991602604</v>
      </c>
      <c r="X280" s="56">
        <v>0.399956579</v>
      </c>
      <c r="Y280" s="56">
        <v>0.992626827</v>
      </c>
      <c r="Z280" s="56">
        <v>0.386055051</v>
      </c>
      <c r="AA280" s="56">
        <v>0.160077185</v>
      </c>
      <c r="AB280" s="56">
        <v>0.153241123</v>
      </c>
      <c r="AC280" s="56">
        <v>0.093451569</v>
      </c>
      <c r="AD280" s="56">
        <v>0.614349776</v>
      </c>
      <c r="AE280" s="56">
        <v>0.162226169</v>
      </c>
      <c r="AF280" s="56">
        <v>0.781558693</v>
      </c>
      <c r="AG280" s="56">
        <v>0.722222222</v>
      </c>
      <c r="AH280" s="56">
        <v>0.021487603</v>
      </c>
      <c r="AI280" s="56">
        <v>0.041733547</v>
      </c>
      <c r="AJ280" s="56">
        <v>0.146584924</v>
      </c>
      <c r="AK280" s="56">
        <v>0.997324316</v>
      </c>
      <c r="AL280" s="56">
        <v>0.99449973</v>
      </c>
      <c r="AM280" s="56">
        <v>0.99591002</v>
      </c>
      <c r="AN280" s="56">
        <v>0.50222325</v>
      </c>
      <c r="AO280" s="58"/>
      <c r="AP280" s="58"/>
      <c r="AQ280" s="58"/>
    </row>
    <row r="281">
      <c r="A281" s="13"/>
      <c r="B281" s="13"/>
      <c r="C281" s="54">
        <v>2.0</v>
      </c>
      <c r="D281" s="55">
        <v>1.0</v>
      </c>
      <c r="E281" s="55">
        <v>1.0</v>
      </c>
      <c r="F281" s="55">
        <v>1.0</v>
      </c>
      <c r="G281" s="55">
        <v>0.007395043</v>
      </c>
      <c r="H281" s="55">
        <v>0.998318973</v>
      </c>
      <c r="I281" s="55">
        <v>1.02E-8</v>
      </c>
      <c r="J281" s="55">
        <v>0.559234447</v>
      </c>
      <c r="K281" s="55">
        <v>1.0</v>
      </c>
      <c r="L281" s="55">
        <v>0.5</v>
      </c>
      <c r="M281" s="55">
        <v>0.037620603</v>
      </c>
      <c r="N281" s="57">
        <f t="shared" si="1"/>
        <v>0.5472652984</v>
      </c>
      <c r="O281" s="57">
        <f t="shared" si="2"/>
        <v>18.75378995</v>
      </c>
      <c r="P281" s="56">
        <v>4250.648558</v>
      </c>
      <c r="Q281" s="56">
        <v>0.079680825</v>
      </c>
      <c r="R281" s="56">
        <v>0.993250248</v>
      </c>
      <c r="S281" s="56">
        <v>0.549156984</v>
      </c>
      <c r="T281" s="56">
        <v>0.622472633</v>
      </c>
      <c r="U281" s="56">
        <v>0.995908837</v>
      </c>
      <c r="V281" s="56">
        <v>0.549156984</v>
      </c>
      <c r="W281" s="56">
        <v>0.993250248</v>
      </c>
      <c r="X281" s="56">
        <v>0.450665956</v>
      </c>
      <c r="Y281" s="56">
        <v>0.993762973</v>
      </c>
      <c r="Z281" s="56">
        <v>0.489007198</v>
      </c>
      <c r="AA281" s="56">
        <v>0.205509527</v>
      </c>
      <c r="AB281" s="56">
        <v>0.202623606</v>
      </c>
      <c r="AC281" s="56">
        <v>0.116604478</v>
      </c>
      <c r="AD281" s="56">
        <v>0.560538117</v>
      </c>
      <c r="AE281" s="56">
        <v>0.193050193</v>
      </c>
      <c r="AF281" s="56">
        <v>0.74716285</v>
      </c>
      <c r="AG281" s="56">
        <v>0.753424658</v>
      </c>
      <c r="AH281" s="56">
        <v>0.090909091</v>
      </c>
      <c r="AI281" s="56">
        <v>0.162241888</v>
      </c>
      <c r="AJ281" s="56">
        <v>0.30149964</v>
      </c>
      <c r="AK281" s="56">
        <v>0.997388763</v>
      </c>
      <c r="AL281" s="56">
        <v>0.996023745</v>
      </c>
      <c r="AM281" s="56">
        <v>0.996705787</v>
      </c>
      <c r="AN281" s="56">
        <v>0.519091224</v>
      </c>
      <c r="AO281" s="58"/>
      <c r="AP281" s="58"/>
      <c r="AQ281" s="58"/>
    </row>
    <row r="282">
      <c r="A282" s="13"/>
      <c r="B282" s="13"/>
      <c r="C282" s="54">
        <v>3.0</v>
      </c>
      <c r="D282" s="55">
        <v>1.0</v>
      </c>
      <c r="E282" s="55">
        <v>1.0</v>
      </c>
      <c r="F282" s="55">
        <v>1.0</v>
      </c>
      <c r="G282" s="55">
        <v>0.004013715</v>
      </c>
      <c r="H282" s="55">
        <v>0.999505631</v>
      </c>
      <c r="I282" s="55">
        <v>0.0</v>
      </c>
      <c r="J282" s="55">
        <v>0.552702267</v>
      </c>
      <c r="K282" s="55">
        <v>1.0</v>
      </c>
      <c r="L282" s="55">
        <v>0.5</v>
      </c>
      <c r="M282" s="55">
        <v>0.017386323</v>
      </c>
      <c r="N282" s="57">
        <f t="shared" si="1"/>
        <v>0.6712400003</v>
      </c>
      <c r="O282" s="57">
        <f t="shared" si="2"/>
        <v>15.56717454</v>
      </c>
      <c r="P282" s="56">
        <v>4250.648558</v>
      </c>
      <c r="Q282" s="56">
        <v>0.079686965</v>
      </c>
      <c r="R282" s="56">
        <v>0.996515425</v>
      </c>
      <c r="S282" s="56">
        <v>0.646955862</v>
      </c>
      <c r="T282" s="56">
        <v>0.68910097</v>
      </c>
      <c r="U282" s="56">
        <v>0.99655696</v>
      </c>
      <c r="V282" s="56">
        <v>0.646955862</v>
      </c>
      <c r="W282" s="56">
        <v>0.996515425</v>
      </c>
      <c r="X282" s="56">
        <v>0.603498173</v>
      </c>
      <c r="Y282" s="56">
        <v>0.996130741</v>
      </c>
      <c r="Z282" s="56">
        <v>0.632557862</v>
      </c>
      <c r="AA282" s="56">
        <v>0.444508734</v>
      </c>
      <c r="AB282" s="56">
        <v>0.439794542</v>
      </c>
      <c r="AC282" s="56">
        <v>0.371040724</v>
      </c>
      <c r="AD282" s="56">
        <v>0.735426009</v>
      </c>
      <c r="AE282" s="56">
        <v>0.493233083</v>
      </c>
      <c r="AF282" s="56">
        <v>0.85705638</v>
      </c>
      <c r="AG282" s="56">
        <v>0.698324022</v>
      </c>
      <c r="AH282" s="56">
        <v>0.20661157</v>
      </c>
      <c r="AI282" s="56">
        <v>0.318877551</v>
      </c>
      <c r="AJ282" s="56">
        <v>0.454492517</v>
      </c>
      <c r="AK282" s="56">
        <v>0.997938162</v>
      </c>
      <c r="AL282" s="56">
        <v>0.998830005</v>
      </c>
      <c r="AM282" s="56">
        <v>0.998383885</v>
      </c>
      <c r="AN282" s="56">
        <v>0.649777463</v>
      </c>
      <c r="AO282" s="58"/>
      <c r="AP282" s="58"/>
      <c r="AQ282" s="58"/>
    </row>
    <row r="283">
      <c r="A283" s="13"/>
      <c r="B283" s="16"/>
      <c r="C283" s="54">
        <v>4.0</v>
      </c>
      <c r="D283" s="55">
        <v>1.0</v>
      </c>
      <c r="E283" s="55">
        <v>1.0</v>
      </c>
      <c r="F283" s="55">
        <v>1.0</v>
      </c>
      <c r="G283" s="55">
        <v>0.00827264</v>
      </c>
      <c r="H283" s="55">
        <v>0.999844741</v>
      </c>
      <c r="I283" s="55">
        <v>0.0</v>
      </c>
      <c r="J283" s="55">
        <v>0.562418936</v>
      </c>
      <c r="K283" s="55">
        <v>1.0</v>
      </c>
      <c r="L283" s="55">
        <v>0.5</v>
      </c>
      <c r="M283" s="55">
        <v>0.017437883</v>
      </c>
      <c r="N283" s="57">
        <f t="shared" si="1"/>
        <v>0.8275294551</v>
      </c>
      <c r="O283" s="57">
        <f t="shared" si="2"/>
        <v>17.67126259</v>
      </c>
      <c r="P283" s="56">
        <v>4250.648558</v>
      </c>
      <c r="Q283" s="56">
        <v>0.079728712</v>
      </c>
      <c r="R283" s="56">
        <v>0.996988639</v>
      </c>
      <c r="S283" s="56">
        <v>0.881953602</v>
      </c>
      <c r="T283" s="56">
        <v>0.680239931</v>
      </c>
      <c r="U283" s="56">
        <v>0.997906076</v>
      </c>
      <c r="V283" s="56">
        <v>0.881953602</v>
      </c>
      <c r="W283" s="56">
        <v>0.996988639</v>
      </c>
      <c r="X283" s="56">
        <v>0.757965496</v>
      </c>
      <c r="Y283" s="56">
        <v>0.997334411</v>
      </c>
      <c r="Z283" s="56">
        <v>0.916897181</v>
      </c>
      <c r="AA283" s="56">
        <v>0.683208779</v>
      </c>
      <c r="AB283" s="56">
        <v>0.667096245</v>
      </c>
      <c r="AC283" s="56">
        <v>0.493297587</v>
      </c>
      <c r="AD283" s="56">
        <v>0.825112108</v>
      </c>
      <c r="AE283" s="56">
        <v>0.617449664</v>
      </c>
      <c r="AF283" s="56">
        <v>0.90798711</v>
      </c>
      <c r="AG283" s="56">
        <v>0.547854786</v>
      </c>
      <c r="AH283" s="56">
        <v>0.823140496</v>
      </c>
      <c r="AI283" s="56">
        <v>0.657859974</v>
      </c>
      <c r="AJ283" s="56">
        <v>0.906466383</v>
      </c>
      <c r="AK283" s="56">
        <v>0.99956742</v>
      </c>
      <c r="AL283" s="56">
        <v>0.997608203</v>
      </c>
      <c r="AM283" s="56">
        <v>0.99858685</v>
      </c>
      <c r="AN283" s="56">
        <v>0.936549049</v>
      </c>
      <c r="AO283" s="58"/>
      <c r="AP283" s="58"/>
      <c r="AQ283" s="58"/>
    </row>
    <row r="284">
      <c r="A284" s="13"/>
      <c r="B284" s="59" t="s">
        <v>26</v>
      </c>
      <c r="C284" s="54">
        <v>1.0</v>
      </c>
      <c r="D284" s="55">
        <v>1.0</v>
      </c>
      <c r="E284" s="55">
        <v>1.0</v>
      </c>
      <c r="F284" s="55">
        <v>1.0</v>
      </c>
      <c r="G284" s="55">
        <v>0.001207</v>
      </c>
      <c r="H284" s="55">
        <v>0.998836</v>
      </c>
      <c r="I284" s="55">
        <v>2.542974E-6</v>
      </c>
      <c r="J284" s="55">
        <v>0.544893</v>
      </c>
      <c r="K284" s="55">
        <v>1.0</v>
      </c>
      <c r="L284" s="55">
        <v>0.5</v>
      </c>
      <c r="M284" s="55">
        <v>0.094049</v>
      </c>
      <c r="N284" s="57">
        <f t="shared" si="1"/>
        <v>0.5162336217</v>
      </c>
      <c r="O284" s="57">
        <f t="shared" si="2"/>
        <v>26.12458767</v>
      </c>
      <c r="P284" s="54">
        <v>4414.188851</v>
      </c>
      <c r="Q284" s="54">
        <v>0.05518</v>
      </c>
      <c r="R284" s="54">
        <v>0.996361</v>
      </c>
      <c r="S284" s="54">
        <v>0.4398</v>
      </c>
      <c r="T284" s="54">
        <v>0.733066</v>
      </c>
      <c r="U284" s="54">
        <v>0.995783</v>
      </c>
      <c r="V284" s="54">
        <v>0.4398</v>
      </c>
      <c r="W284" s="54">
        <v>0.996361</v>
      </c>
      <c r="X284" s="54">
        <v>0.455811</v>
      </c>
      <c r="Y284" s="54">
        <v>0.995057</v>
      </c>
      <c r="Z284" s="54">
        <v>0.28257</v>
      </c>
      <c r="AA284" s="54">
        <v>0.214728</v>
      </c>
      <c r="AB284" s="54">
        <v>0.166611</v>
      </c>
      <c r="AC284" s="54">
        <v>0.384181</v>
      </c>
      <c r="AD284" s="54">
        <v>0.304933</v>
      </c>
      <c r="AE284" s="54">
        <v>0.34</v>
      </c>
      <c r="AF284" s="54">
        <v>0.552078</v>
      </c>
      <c r="AG284" s="54">
        <v>0.818182</v>
      </c>
      <c r="AH284" s="54">
        <v>0.014876</v>
      </c>
      <c r="AI284" s="54">
        <v>0.029221</v>
      </c>
      <c r="AJ284" s="54">
        <v>0.121967</v>
      </c>
      <c r="AK284" s="54">
        <v>0.996836</v>
      </c>
      <c r="AL284" s="54">
        <v>0.99959</v>
      </c>
      <c r="AM284" s="54">
        <v>0.998211</v>
      </c>
      <c r="AN284" s="54">
        <v>0.335071</v>
      </c>
      <c r="AO284" s="69"/>
      <c r="AP284" s="69"/>
      <c r="AQ284" s="69"/>
    </row>
    <row r="285">
      <c r="A285" s="13"/>
      <c r="B285" s="13"/>
      <c r="C285" s="54">
        <v>2.0</v>
      </c>
      <c r="D285" s="55">
        <v>1.0</v>
      </c>
      <c r="E285" s="55">
        <v>1.0</v>
      </c>
      <c r="F285" s="55">
        <v>1.0</v>
      </c>
      <c r="G285" s="55">
        <v>0.001975</v>
      </c>
      <c r="H285" s="55">
        <v>0.999327</v>
      </c>
      <c r="I285" s="55">
        <v>2.315179E-6</v>
      </c>
      <c r="J285" s="55">
        <v>0.547354</v>
      </c>
      <c r="K285" s="55">
        <v>1.0</v>
      </c>
      <c r="L285" s="55">
        <v>0.5</v>
      </c>
      <c r="M285" s="55">
        <v>0.092666</v>
      </c>
      <c r="N285" s="57">
        <f t="shared" si="1"/>
        <v>0.6041349209</v>
      </c>
      <c r="O285" s="57">
        <f t="shared" si="2"/>
        <v>28.53964264</v>
      </c>
      <c r="P285" s="54">
        <v>4414.188851</v>
      </c>
      <c r="Q285" s="54">
        <v>0.055124</v>
      </c>
      <c r="R285" s="54">
        <v>0.996657</v>
      </c>
      <c r="S285" s="54">
        <v>0.536152</v>
      </c>
      <c r="T285" s="54">
        <v>0.704497</v>
      </c>
      <c r="U285" s="54">
        <v>0.995718</v>
      </c>
      <c r="V285" s="54">
        <v>0.536152</v>
      </c>
      <c r="W285" s="54">
        <v>0.996657</v>
      </c>
      <c r="X285" s="54">
        <v>0.558723</v>
      </c>
      <c r="Y285" s="54">
        <v>0.995706</v>
      </c>
      <c r="Z285" s="54">
        <v>0.464809</v>
      </c>
      <c r="AA285" s="54">
        <v>0.353793</v>
      </c>
      <c r="AB285" s="54">
        <v>0.31389</v>
      </c>
      <c r="AC285" s="54">
        <v>0.536697</v>
      </c>
      <c r="AD285" s="54">
        <v>0.524664</v>
      </c>
      <c r="AE285" s="54">
        <v>0.530612</v>
      </c>
      <c r="AF285" s="54">
        <v>0.724179</v>
      </c>
      <c r="AG285" s="54">
        <v>0.579545</v>
      </c>
      <c r="AH285" s="54">
        <v>0.084298</v>
      </c>
      <c r="AI285" s="54">
        <v>0.147186</v>
      </c>
      <c r="AJ285" s="54">
        <v>0.290317</v>
      </c>
      <c r="AK285" s="54">
        <v>0.997247</v>
      </c>
      <c r="AL285" s="54">
        <v>0.999495</v>
      </c>
      <c r="AM285" s="54">
        <v>0.99837</v>
      </c>
      <c r="AN285" s="54">
        <v>0.477646</v>
      </c>
      <c r="AO285" s="69"/>
      <c r="AP285" s="69"/>
      <c r="AQ285" s="69"/>
    </row>
    <row r="286">
      <c r="A286" s="13"/>
      <c r="B286" s="13"/>
      <c r="C286" s="54">
        <v>3.0</v>
      </c>
      <c r="D286" s="55">
        <v>1.0</v>
      </c>
      <c r="E286" s="55">
        <v>1.0</v>
      </c>
      <c r="F286" s="55">
        <v>1.0</v>
      </c>
      <c r="G286" s="55">
        <v>0.005892</v>
      </c>
      <c r="H286" s="55">
        <v>0.999775</v>
      </c>
      <c r="I286" s="55">
        <v>2.657005E-6</v>
      </c>
      <c r="J286" s="55">
        <v>0.557411</v>
      </c>
      <c r="K286" s="55">
        <v>1.0</v>
      </c>
      <c r="L286" s="55">
        <v>0.5</v>
      </c>
      <c r="M286" s="55">
        <v>0.095113</v>
      </c>
      <c r="N286" s="57">
        <f t="shared" si="1"/>
        <v>0.6956633995</v>
      </c>
      <c r="O286" s="57">
        <f t="shared" si="2"/>
        <v>31.38596202</v>
      </c>
      <c r="P286" s="54">
        <v>4414.188851</v>
      </c>
      <c r="Q286" s="54">
        <v>0.055073</v>
      </c>
      <c r="R286" s="54">
        <v>0.995982</v>
      </c>
      <c r="S286" s="54">
        <v>0.699616</v>
      </c>
      <c r="T286" s="54">
        <v>0.616002</v>
      </c>
      <c r="U286" s="54">
        <v>0.996375</v>
      </c>
      <c r="V286" s="54">
        <v>0.699616</v>
      </c>
      <c r="W286" s="54">
        <v>0.995982</v>
      </c>
      <c r="X286" s="54">
        <v>0.626172</v>
      </c>
      <c r="Y286" s="54">
        <v>0.996062</v>
      </c>
      <c r="Z286" s="54">
        <v>0.716562</v>
      </c>
      <c r="AA286" s="54">
        <v>0.462661</v>
      </c>
      <c r="AB286" s="54">
        <v>0.462041</v>
      </c>
      <c r="AC286" s="54">
        <v>0.334</v>
      </c>
      <c r="AD286" s="54">
        <v>0.748879</v>
      </c>
      <c r="AE286" s="54">
        <v>0.461964</v>
      </c>
      <c r="AF286" s="54">
        <v>0.864757</v>
      </c>
      <c r="AG286" s="54">
        <v>0.515738</v>
      </c>
      <c r="AH286" s="54">
        <v>0.352066</v>
      </c>
      <c r="AI286" s="54">
        <v>0.418468</v>
      </c>
      <c r="AJ286" s="54">
        <v>0.593096</v>
      </c>
      <c r="AK286" s="54">
        <v>0.998268</v>
      </c>
      <c r="AL286" s="54">
        <v>0.997902</v>
      </c>
      <c r="AM286" s="54">
        <v>0.998085</v>
      </c>
      <c r="AN286" s="54">
        <v>0.717369</v>
      </c>
      <c r="AO286" s="69"/>
      <c r="AP286" s="69"/>
      <c r="AQ286" s="69"/>
    </row>
    <row r="287">
      <c r="A287" s="13"/>
      <c r="B287" s="16"/>
      <c r="C287" s="54">
        <v>4.0</v>
      </c>
      <c r="D287" s="55">
        <v>1.0</v>
      </c>
      <c r="E287" s="55">
        <v>1.0</v>
      </c>
      <c r="F287" s="55">
        <v>1.0</v>
      </c>
      <c r="G287" s="55">
        <v>0.008408</v>
      </c>
      <c r="H287" s="55">
        <v>0.999825</v>
      </c>
      <c r="I287" s="55">
        <v>3.288466E-8</v>
      </c>
      <c r="J287" s="55">
        <v>0.562793</v>
      </c>
      <c r="K287" s="55">
        <v>1.0</v>
      </c>
      <c r="L287" s="55">
        <v>0.5</v>
      </c>
      <c r="M287" s="55">
        <v>0.045818</v>
      </c>
      <c r="N287" s="57">
        <f t="shared" si="1"/>
        <v>0.8295316365</v>
      </c>
      <c r="O287" s="57">
        <f t="shared" si="2"/>
        <v>26.044392</v>
      </c>
      <c r="P287" s="54">
        <v>4414.188851</v>
      </c>
      <c r="Q287" s="54">
        <v>0.054986</v>
      </c>
      <c r="R287" s="54">
        <v>0.996976</v>
      </c>
      <c r="S287" s="54">
        <v>0.891853</v>
      </c>
      <c r="T287" s="54">
        <v>0.672927</v>
      </c>
      <c r="U287" s="54">
        <v>0.997962</v>
      </c>
      <c r="V287" s="54">
        <v>0.891853</v>
      </c>
      <c r="W287" s="54">
        <v>0.996976</v>
      </c>
      <c r="X287" s="54">
        <v>0.754241</v>
      </c>
      <c r="Y287" s="54">
        <v>0.997345</v>
      </c>
      <c r="Z287" s="54">
        <v>0.925227</v>
      </c>
      <c r="AA287" s="54">
        <v>0.686788</v>
      </c>
      <c r="AB287" s="54">
        <v>0.669275</v>
      </c>
      <c r="AC287" s="54">
        <v>0.461353</v>
      </c>
      <c r="AD287" s="54">
        <v>0.856502</v>
      </c>
      <c r="AE287" s="54">
        <v>0.599686</v>
      </c>
      <c r="AF287" s="54">
        <v>0.92503</v>
      </c>
      <c r="AG287" s="54">
        <v>0.5578</v>
      </c>
      <c r="AH287" s="54">
        <v>0.821488</v>
      </c>
      <c r="AI287" s="54">
        <v>0.664439</v>
      </c>
      <c r="AJ287" s="54">
        <v>0.905589</v>
      </c>
      <c r="AK287" s="54">
        <v>0.999628</v>
      </c>
      <c r="AL287" s="54">
        <v>0.997569</v>
      </c>
      <c r="AM287" s="54">
        <v>0.998598</v>
      </c>
      <c r="AN287" s="54">
        <v>0.945493</v>
      </c>
      <c r="AO287" s="69"/>
      <c r="AP287" s="69"/>
      <c r="AQ287" s="69"/>
    </row>
    <row r="288">
      <c r="A288" s="13"/>
      <c r="B288" s="59" t="s">
        <v>27</v>
      </c>
      <c r="C288" s="54">
        <v>1.0</v>
      </c>
      <c r="D288" s="55">
        <v>1.0</v>
      </c>
      <c r="E288" s="55">
        <v>1.0</v>
      </c>
      <c r="F288" s="55">
        <v>1.0</v>
      </c>
      <c r="G288" s="55">
        <v>1.22605E-4</v>
      </c>
      <c r="H288" s="55">
        <v>0.998382547</v>
      </c>
      <c r="I288" s="55">
        <v>0.0</v>
      </c>
      <c r="J288" s="55">
        <v>0.541384252</v>
      </c>
      <c r="K288" s="55">
        <v>1.0</v>
      </c>
      <c r="L288" s="55">
        <v>0.5</v>
      </c>
      <c r="M288" s="55">
        <v>0.017323226</v>
      </c>
      <c r="N288" s="57">
        <f t="shared" si="1"/>
        <v>0.4524097456</v>
      </c>
      <c r="O288" s="57">
        <f t="shared" si="2"/>
        <v>12.26791278</v>
      </c>
      <c r="P288" s="54">
        <v>4765.958943</v>
      </c>
      <c r="Q288" s="54">
        <v>0.156374</v>
      </c>
      <c r="R288" s="54">
        <v>0.99652</v>
      </c>
      <c r="S288" s="54">
        <v>0.361734</v>
      </c>
      <c r="T288" s="54">
        <v>0.665506</v>
      </c>
      <c r="U288" s="54">
        <v>0.993929</v>
      </c>
      <c r="V288" s="54">
        <v>0.361734</v>
      </c>
      <c r="W288" s="54">
        <v>0.99652</v>
      </c>
      <c r="X288" s="54">
        <v>0.385094</v>
      </c>
      <c r="Y288" s="54">
        <v>0.994852</v>
      </c>
      <c r="Z288" s="54">
        <v>0.0</v>
      </c>
      <c r="AA288" s="54">
        <v>0.151363</v>
      </c>
      <c r="AB288" s="54">
        <v>0.044767</v>
      </c>
      <c r="AC288" s="54">
        <v>1.0</v>
      </c>
      <c r="AD288" s="54">
        <v>0.085202</v>
      </c>
      <c r="AE288" s="54">
        <v>0.157025</v>
      </c>
      <c r="AF288" s="54">
        <v>0.291893</v>
      </c>
      <c r="AG288" s="54">
        <v>0.0</v>
      </c>
      <c r="AH288" s="54">
        <v>0.0</v>
      </c>
      <c r="AI288" s="54">
        <v>0.0</v>
      </c>
      <c r="AJ288" s="54">
        <v>0.0</v>
      </c>
      <c r="AK288" s="54">
        <v>0.996519</v>
      </c>
      <c r="AL288" s="54">
        <v>1.0</v>
      </c>
      <c r="AM288" s="54">
        <v>0.998257</v>
      </c>
      <c r="AN288" s="54">
        <v>0.151482</v>
      </c>
      <c r="AO288" s="69"/>
      <c r="AP288" s="69"/>
      <c r="AQ288" s="69"/>
    </row>
    <row r="289">
      <c r="A289" s="13"/>
      <c r="B289" s="13"/>
      <c r="C289" s="54">
        <v>2.0</v>
      </c>
      <c r="D289" s="55">
        <v>1.0</v>
      </c>
      <c r="E289" s="55">
        <v>1.0</v>
      </c>
      <c r="F289" s="55">
        <v>1.0</v>
      </c>
      <c r="G289" s="55">
        <v>4.12987E-4</v>
      </c>
      <c r="H289" s="55">
        <v>0.998662028</v>
      </c>
      <c r="I289" s="55">
        <v>0.0</v>
      </c>
      <c r="J289" s="55">
        <v>0.542489565</v>
      </c>
      <c r="K289" s="55">
        <v>1.0</v>
      </c>
      <c r="L289" s="55">
        <v>0.5</v>
      </c>
      <c r="M289" s="55">
        <v>0.017329924</v>
      </c>
      <c r="N289" s="57">
        <f t="shared" si="1"/>
        <v>0.5103259039</v>
      </c>
      <c r="O289" s="57">
        <f t="shared" si="2"/>
        <v>13.18946657</v>
      </c>
      <c r="P289" s="54">
        <v>4765.958943</v>
      </c>
      <c r="Q289" s="54">
        <v>0.156172</v>
      </c>
      <c r="R289" s="54">
        <v>0.996679</v>
      </c>
      <c r="S289" s="54">
        <v>0.411927</v>
      </c>
      <c r="T289" s="54">
        <v>0.874211</v>
      </c>
      <c r="U289" s="54">
        <v>0.995868</v>
      </c>
      <c r="V289" s="54">
        <v>0.411927</v>
      </c>
      <c r="W289" s="54">
        <v>0.996679</v>
      </c>
      <c r="X289" s="54">
        <v>0.460708</v>
      </c>
      <c r="Y289" s="54">
        <v>0.995199</v>
      </c>
      <c r="Z289" s="54">
        <v>0.241296</v>
      </c>
      <c r="AA289" s="54">
        <v>0.260383</v>
      </c>
      <c r="AB289" s="54">
        <v>0.134232</v>
      </c>
      <c r="AC289" s="54">
        <v>0.925926</v>
      </c>
      <c r="AD289" s="54">
        <v>0.224215</v>
      </c>
      <c r="AE289" s="54">
        <v>0.361011</v>
      </c>
      <c r="AF289" s="54">
        <v>0.47351</v>
      </c>
      <c r="AG289" s="54">
        <v>0.7</v>
      </c>
      <c r="AH289" s="54">
        <v>0.01157</v>
      </c>
      <c r="AI289" s="54">
        <v>0.022764</v>
      </c>
      <c r="AJ289" s="54">
        <v>0.107564</v>
      </c>
      <c r="AK289" s="54">
        <v>0.996708</v>
      </c>
      <c r="AL289" s="54">
        <v>0.999996</v>
      </c>
      <c r="AM289" s="54">
        <v>0.998349</v>
      </c>
      <c r="AN289" s="54">
        <v>0.275838</v>
      </c>
      <c r="AO289" s="58"/>
      <c r="AP289" s="58"/>
      <c r="AQ289" s="58"/>
    </row>
    <row r="290">
      <c r="A290" s="13"/>
      <c r="B290" s="13"/>
      <c r="C290" s="54">
        <v>3.0</v>
      </c>
      <c r="D290" s="55">
        <v>1.0</v>
      </c>
      <c r="E290" s="55">
        <v>1.0</v>
      </c>
      <c r="F290" s="55">
        <v>1.0</v>
      </c>
      <c r="G290" s="55">
        <v>0.004271831</v>
      </c>
      <c r="H290" s="55">
        <v>0.99995699</v>
      </c>
      <c r="I290" s="55">
        <v>0.0</v>
      </c>
      <c r="J290" s="55">
        <v>0.553139254</v>
      </c>
      <c r="K290" s="55">
        <v>1.0</v>
      </c>
      <c r="L290" s="55">
        <v>0.5</v>
      </c>
      <c r="M290" s="55">
        <v>0.017389922</v>
      </c>
      <c r="N290" s="57">
        <f t="shared" si="1"/>
        <v>0.6563713795</v>
      </c>
      <c r="O290" s="57">
        <f t="shared" si="2"/>
        <v>15.36062317</v>
      </c>
      <c r="P290" s="54">
        <v>4765.958943</v>
      </c>
      <c r="Q290" s="54">
        <v>0.156371</v>
      </c>
      <c r="R290" s="54">
        <v>0.996339</v>
      </c>
      <c r="S290" s="54">
        <v>0.582634</v>
      </c>
      <c r="T290" s="54">
        <v>0.691356</v>
      </c>
      <c r="U290" s="54">
        <v>0.996013</v>
      </c>
      <c r="V290" s="54">
        <v>0.582634</v>
      </c>
      <c r="W290" s="54">
        <v>0.996339</v>
      </c>
      <c r="X290" s="54">
        <v>0.624905</v>
      </c>
      <c r="Y290" s="54">
        <v>0.996138</v>
      </c>
      <c r="Z290" s="54">
        <v>0.620774</v>
      </c>
      <c r="AA290" s="54">
        <v>0.429368</v>
      </c>
      <c r="AB290" s="54">
        <v>0.426608</v>
      </c>
      <c r="AC290" s="54">
        <v>0.69403</v>
      </c>
      <c r="AD290" s="54">
        <v>0.41704</v>
      </c>
      <c r="AE290" s="54">
        <v>0.521008</v>
      </c>
      <c r="AF290" s="54">
        <v>0.64573</v>
      </c>
      <c r="AG290" s="54">
        <v>0.382129</v>
      </c>
      <c r="AH290" s="54">
        <v>0.332231</v>
      </c>
      <c r="AI290" s="54">
        <v>0.355438</v>
      </c>
      <c r="AJ290" s="54">
        <v>0.575991</v>
      </c>
      <c r="AK290" s="54">
        <v>0.997908</v>
      </c>
      <c r="AL290" s="54">
        <v>0.998631</v>
      </c>
      <c r="AM290" s="54">
        <v>0.998269</v>
      </c>
      <c r="AN290" s="54">
        <v>0.643183</v>
      </c>
      <c r="AO290" s="58"/>
      <c r="AP290" s="58"/>
      <c r="AQ290" s="58"/>
    </row>
    <row r="291">
      <c r="A291" s="16"/>
      <c r="B291" s="16"/>
      <c r="C291" s="54">
        <v>4.0</v>
      </c>
      <c r="D291" s="55">
        <v>1.0</v>
      </c>
      <c r="E291" s="55">
        <v>1.0</v>
      </c>
      <c r="F291" s="55">
        <v>1.0</v>
      </c>
      <c r="G291" s="55">
        <v>0.007407949</v>
      </c>
      <c r="H291" s="55">
        <v>0.999903093</v>
      </c>
      <c r="I291" s="55">
        <v>0.0</v>
      </c>
      <c r="J291" s="55">
        <v>0.560682042</v>
      </c>
      <c r="K291" s="55">
        <v>1.0</v>
      </c>
      <c r="L291" s="55">
        <v>0.5</v>
      </c>
      <c r="M291" s="55">
        <v>0.017429065</v>
      </c>
      <c r="N291" s="57">
        <f t="shared" si="1"/>
        <v>0.8393884036</v>
      </c>
      <c r="O291" s="57">
        <f t="shared" si="2"/>
        <v>17.81916769</v>
      </c>
      <c r="P291" s="54">
        <v>4765.958943</v>
      </c>
      <c r="Q291" s="54">
        <v>0.156166</v>
      </c>
      <c r="R291" s="54">
        <v>0.997453</v>
      </c>
      <c r="S291" s="54">
        <v>0.881966</v>
      </c>
      <c r="T291" s="54">
        <v>0.707744</v>
      </c>
      <c r="U291" s="54">
        <v>0.998054</v>
      </c>
      <c r="V291" s="54">
        <v>0.881966</v>
      </c>
      <c r="W291" s="54">
        <v>0.997453</v>
      </c>
      <c r="X291" s="54">
        <v>0.775599</v>
      </c>
      <c r="Y291" s="54">
        <v>0.997683</v>
      </c>
      <c r="Z291" s="54">
        <v>0.913696</v>
      </c>
      <c r="AA291" s="54">
        <v>0.708435</v>
      </c>
      <c r="AB291" s="54">
        <v>0.699121</v>
      </c>
      <c r="AC291" s="54">
        <v>0.497409</v>
      </c>
      <c r="AD291" s="54">
        <v>0.860987</v>
      </c>
      <c r="AE291" s="54">
        <v>0.630542</v>
      </c>
      <c r="AF291" s="54">
        <v>0.927506</v>
      </c>
      <c r="AG291" s="54">
        <v>0.626316</v>
      </c>
      <c r="AH291" s="54">
        <v>0.786777</v>
      </c>
      <c r="AI291" s="54">
        <v>0.697436</v>
      </c>
      <c r="AJ291" s="54">
        <v>0.886461</v>
      </c>
      <c r="AK291" s="54">
        <v>0.999507</v>
      </c>
      <c r="AL291" s="54">
        <v>0.998135</v>
      </c>
      <c r="AM291" s="54">
        <v>0.998821</v>
      </c>
      <c r="AN291" s="54">
        <v>0.927745</v>
      </c>
      <c r="AO291" s="58"/>
      <c r="AP291" s="58"/>
      <c r="AQ291" s="58"/>
    </row>
    <row r="292">
      <c r="A292" s="44" t="s">
        <v>109</v>
      </c>
      <c r="B292" s="61" t="s">
        <v>22</v>
      </c>
      <c r="C292" s="46">
        <v>1.0</v>
      </c>
      <c r="D292" s="47">
        <v>1.0</v>
      </c>
      <c r="E292" s="47">
        <v>1.0</v>
      </c>
      <c r="F292" s="65">
        <v>1.0</v>
      </c>
      <c r="G292" s="65">
        <v>0.001433</v>
      </c>
      <c r="H292" s="65">
        <v>0.999233</v>
      </c>
      <c r="I292" s="65">
        <v>0.141106</v>
      </c>
      <c r="J292" s="65">
        <v>0.545377</v>
      </c>
      <c r="K292" s="65">
        <v>1.0</v>
      </c>
      <c r="L292" s="65">
        <v>0.5</v>
      </c>
      <c r="M292" s="65">
        <v>0.58096</v>
      </c>
      <c r="N292" s="48">
        <f t="shared" si="1"/>
        <v>0.4121067674</v>
      </c>
      <c r="O292" s="48">
        <f t="shared" si="2"/>
        <v>47.27857089</v>
      </c>
      <c r="P292" s="46">
        <v>152.288948</v>
      </c>
      <c r="Q292" s="46">
        <v>0.740107</v>
      </c>
      <c r="R292" s="46">
        <v>0.995539</v>
      </c>
      <c r="S292" s="46">
        <v>0.335231</v>
      </c>
      <c r="T292" s="46">
        <v>0.338164</v>
      </c>
      <c r="U292" s="46">
        <v>0.992971</v>
      </c>
      <c r="V292" s="46">
        <v>0.335231</v>
      </c>
      <c r="W292" s="46">
        <v>0.995539</v>
      </c>
      <c r="X292" s="46">
        <v>0.335816</v>
      </c>
      <c r="Y292" s="46">
        <v>0.994246</v>
      </c>
      <c r="Z292" s="46">
        <v>0.0</v>
      </c>
      <c r="AA292" s="46">
        <v>0.013591</v>
      </c>
      <c r="AB292" s="46">
        <v>0.011092</v>
      </c>
      <c r="AC292" s="46">
        <v>0.0</v>
      </c>
      <c r="AD292" s="46">
        <v>0.0</v>
      </c>
      <c r="AE292" s="46">
        <v>0.0</v>
      </c>
      <c r="AF292" s="46">
        <v>0.0</v>
      </c>
      <c r="AG292" s="46">
        <v>0.018018</v>
      </c>
      <c r="AH292" s="46">
        <v>0.006612</v>
      </c>
      <c r="AI292" s="46">
        <v>0.009674</v>
      </c>
      <c r="AJ292" s="46">
        <v>0.081273</v>
      </c>
      <c r="AK292" s="46">
        <v>0.996473</v>
      </c>
      <c r="AL292" s="46">
        <v>0.99908</v>
      </c>
      <c r="AM292" s="46">
        <v>0.997775</v>
      </c>
      <c r="AN292" s="46">
        <v>0.104209</v>
      </c>
      <c r="AO292" s="64"/>
      <c r="AP292" s="64"/>
      <c r="AQ292" s="64"/>
    </row>
    <row r="293">
      <c r="A293" s="13"/>
      <c r="B293" s="13"/>
      <c r="C293" s="46">
        <v>2.0</v>
      </c>
      <c r="D293" s="47">
        <v>1.0</v>
      </c>
      <c r="E293" s="47">
        <v>1.0</v>
      </c>
      <c r="F293" s="65">
        <v>1.0</v>
      </c>
      <c r="G293" s="65">
        <v>4.78E-4</v>
      </c>
      <c r="H293" s="65">
        <v>0.998784</v>
      </c>
      <c r="I293" s="65">
        <v>0.066928</v>
      </c>
      <c r="J293" s="65">
        <v>0.542613</v>
      </c>
      <c r="K293" s="65">
        <v>1.0</v>
      </c>
      <c r="L293" s="65">
        <v>0.5</v>
      </c>
      <c r="M293" s="65">
        <v>0.512573</v>
      </c>
      <c r="N293" s="48">
        <f t="shared" si="1"/>
        <v>0.4284289743</v>
      </c>
      <c r="O293" s="48">
        <f t="shared" si="2"/>
        <v>46.02879344</v>
      </c>
      <c r="P293" s="46">
        <v>152.288948</v>
      </c>
      <c r="Q293" s="46">
        <v>0.832432</v>
      </c>
      <c r="R293" s="46">
        <v>0.996283</v>
      </c>
      <c r="S293" s="46">
        <v>0.343173</v>
      </c>
      <c r="T293" s="46">
        <v>0.413255</v>
      </c>
      <c r="U293" s="46">
        <v>0.993606</v>
      </c>
      <c r="V293" s="46">
        <v>0.343173</v>
      </c>
      <c r="W293" s="46">
        <v>0.996283</v>
      </c>
      <c r="X293" s="46">
        <v>0.350387</v>
      </c>
      <c r="Y293" s="46">
        <v>0.994725</v>
      </c>
      <c r="Z293" s="46">
        <v>0.0</v>
      </c>
      <c r="AA293" s="46">
        <v>0.075957</v>
      </c>
      <c r="AB293" s="46">
        <v>0.041644</v>
      </c>
      <c r="AC293" s="46">
        <v>0.0</v>
      </c>
      <c r="AD293" s="46">
        <v>0.0</v>
      </c>
      <c r="AE293" s="46">
        <v>0.0</v>
      </c>
      <c r="AF293" s="46">
        <v>0.0</v>
      </c>
      <c r="AG293" s="46">
        <v>0.243243</v>
      </c>
      <c r="AH293" s="46">
        <v>0.029752</v>
      </c>
      <c r="AI293" s="46">
        <v>0.053019</v>
      </c>
      <c r="AJ293" s="46">
        <v>0.172467</v>
      </c>
      <c r="AK293" s="46">
        <v>0.996523</v>
      </c>
      <c r="AL293" s="46">
        <v>0.999767</v>
      </c>
      <c r="AM293" s="46">
        <v>0.998142</v>
      </c>
      <c r="AN293" s="46">
        <v>0.155399</v>
      </c>
      <c r="AO293" s="64"/>
      <c r="AP293" s="64"/>
      <c r="AQ293" s="64"/>
    </row>
    <row r="294">
      <c r="A294" s="13"/>
      <c r="B294" s="13"/>
      <c r="C294" s="46">
        <v>3.0</v>
      </c>
      <c r="D294" s="47">
        <v>1.0</v>
      </c>
      <c r="E294" s="47">
        <v>1.0</v>
      </c>
      <c r="F294" s="65">
        <v>1.0</v>
      </c>
      <c r="G294" s="65">
        <v>0.003188</v>
      </c>
      <c r="H294" s="65">
        <v>0.999758</v>
      </c>
      <c r="I294" s="65">
        <v>0.038836</v>
      </c>
      <c r="J294" s="65">
        <v>0.550151</v>
      </c>
      <c r="K294" s="65">
        <v>1.0</v>
      </c>
      <c r="L294" s="65">
        <v>0.5</v>
      </c>
      <c r="M294" s="65">
        <v>0.469278</v>
      </c>
      <c r="N294" s="48">
        <f t="shared" si="1"/>
        <v>0.5639887947</v>
      </c>
      <c r="O294" s="48">
        <f t="shared" si="2"/>
        <v>52.40037116</v>
      </c>
      <c r="P294" s="46">
        <v>152.288948</v>
      </c>
      <c r="Q294" s="46">
        <v>0.985218</v>
      </c>
      <c r="R294" s="46">
        <v>0.996068</v>
      </c>
      <c r="S294" s="46">
        <v>0.46358</v>
      </c>
      <c r="T294" s="46">
        <v>0.685857</v>
      </c>
      <c r="U294" s="46">
        <v>0.995418</v>
      </c>
      <c r="V294" s="46">
        <v>0.46358</v>
      </c>
      <c r="W294" s="46">
        <v>0.996068</v>
      </c>
      <c r="X294" s="46">
        <v>0.50699</v>
      </c>
      <c r="Y294" s="46">
        <v>0.995537</v>
      </c>
      <c r="Z294" s="46">
        <v>0.460102</v>
      </c>
      <c r="AA294" s="46">
        <v>0.31741</v>
      </c>
      <c r="AB294" s="46">
        <v>0.307064</v>
      </c>
      <c r="AC294" s="46">
        <v>0.72093</v>
      </c>
      <c r="AD294" s="46">
        <v>0.139013</v>
      </c>
      <c r="AE294" s="46">
        <v>0.233083</v>
      </c>
      <c r="AF294" s="46">
        <v>0.372835</v>
      </c>
      <c r="AG294" s="46">
        <v>0.339246</v>
      </c>
      <c r="AH294" s="46">
        <v>0.252893</v>
      </c>
      <c r="AI294" s="46">
        <v>0.289773</v>
      </c>
      <c r="AJ294" s="46">
        <v>0.502561</v>
      </c>
      <c r="AK294" s="46">
        <v>0.997396</v>
      </c>
      <c r="AL294" s="46">
        <v>0.998834</v>
      </c>
      <c r="AM294" s="46">
        <v>0.998115</v>
      </c>
      <c r="AN294" s="46">
        <v>0.519823</v>
      </c>
      <c r="AO294" s="64"/>
      <c r="AP294" s="64"/>
      <c r="AQ294" s="64"/>
    </row>
    <row r="295">
      <c r="A295" s="13"/>
      <c r="B295" s="16"/>
      <c r="C295" s="46">
        <v>4.0</v>
      </c>
      <c r="D295" s="47">
        <v>1.0</v>
      </c>
      <c r="E295" s="47">
        <v>1.0</v>
      </c>
      <c r="F295" s="65">
        <v>1.0</v>
      </c>
      <c r="G295" s="65">
        <v>0.006156</v>
      </c>
      <c r="H295" s="65">
        <v>0.999979</v>
      </c>
      <c r="I295" s="65">
        <v>0.001579</v>
      </c>
      <c r="J295" s="65">
        <v>0.557831</v>
      </c>
      <c r="K295" s="65">
        <v>1.0</v>
      </c>
      <c r="L295" s="65">
        <v>0.5</v>
      </c>
      <c r="M295" s="65">
        <v>0.27582</v>
      </c>
      <c r="N295" s="48">
        <f t="shared" si="1"/>
        <v>0.8489841747</v>
      </c>
      <c r="O295" s="48">
        <f t="shared" si="2"/>
        <v>54.14895236</v>
      </c>
      <c r="P295" s="46">
        <v>152.288948</v>
      </c>
      <c r="Q295" s="46">
        <v>1.067499</v>
      </c>
      <c r="R295" s="46">
        <v>0.997982</v>
      </c>
      <c r="S295" s="46">
        <v>0.855921</v>
      </c>
      <c r="T295" s="46">
        <v>0.765032</v>
      </c>
      <c r="U295" s="46">
        <v>0.998174</v>
      </c>
      <c r="V295" s="46">
        <v>0.855921</v>
      </c>
      <c r="W295" s="46">
        <v>0.997982</v>
      </c>
      <c r="X295" s="46">
        <v>0.804736</v>
      </c>
      <c r="Y295" s="46">
        <v>0.99806</v>
      </c>
      <c r="Z295" s="46">
        <v>0.893231</v>
      </c>
      <c r="AA295" s="46">
        <v>0.737873</v>
      </c>
      <c r="AB295" s="46">
        <v>0.736014</v>
      </c>
      <c r="AC295" s="46">
        <v>0.636667</v>
      </c>
      <c r="AD295" s="46">
        <v>0.856502</v>
      </c>
      <c r="AE295" s="46">
        <v>0.730402</v>
      </c>
      <c r="AF295" s="46">
        <v>0.925257</v>
      </c>
      <c r="AG295" s="46">
        <v>0.659021</v>
      </c>
      <c r="AH295" s="46">
        <v>0.712397</v>
      </c>
      <c r="AI295" s="46">
        <v>0.68467</v>
      </c>
      <c r="AJ295" s="46">
        <v>0.84363</v>
      </c>
      <c r="AK295" s="46">
        <v>0.999408</v>
      </c>
      <c r="AL295" s="46">
        <v>0.998865</v>
      </c>
      <c r="AM295" s="46">
        <v>0.999136</v>
      </c>
      <c r="AN295" s="46">
        <v>0.913013</v>
      </c>
      <c r="AO295" s="64"/>
      <c r="AP295" s="64"/>
      <c r="AQ295" s="64"/>
    </row>
    <row r="296">
      <c r="A296" s="13"/>
      <c r="B296" s="51" t="s">
        <v>23</v>
      </c>
      <c r="C296" s="46">
        <v>1.0</v>
      </c>
      <c r="D296" s="47">
        <v>1.0</v>
      </c>
      <c r="E296" s="47">
        <v>1.0</v>
      </c>
      <c r="F296" s="65">
        <v>1.0</v>
      </c>
      <c r="G296" s="65">
        <v>0.0</v>
      </c>
      <c r="H296" s="65">
        <v>0.998216703</v>
      </c>
      <c r="I296" s="65">
        <v>0.430757463</v>
      </c>
      <c r="J296" s="65">
        <v>0.540852083</v>
      </c>
      <c r="K296" s="65">
        <v>1.0</v>
      </c>
      <c r="L296" s="65">
        <v>0.5</v>
      </c>
      <c r="M296" s="65">
        <v>0.698636105</v>
      </c>
      <c r="N296" s="48">
        <f t="shared" si="1"/>
        <v>0.4080660711</v>
      </c>
      <c r="O296" s="48">
        <f t="shared" si="2"/>
        <v>50.5986235</v>
      </c>
      <c r="P296" s="62">
        <v>854.5435674</v>
      </c>
      <c r="Q296" s="62">
        <v>0.611804962</v>
      </c>
      <c r="R296" s="62">
        <v>0.99643799</v>
      </c>
      <c r="S296" s="62">
        <v>0.333333333</v>
      </c>
      <c r="T296" s="62">
        <v>0.332145997</v>
      </c>
      <c r="U296" s="62">
        <v>0.992888667</v>
      </c>
      <c r="V296" s="62">
        <v>0.333333333</v>
      </c>
      <c r="W296" s="62">
        <v>0.99643799</v>
      </c>
      <c r="X296" s="62">
        <v>0.332738606</v>
      </c>
      <c r="Y296" s="62">
        <v>0.994660162</v>
      </c>
      <c r="Z296" s="62">
        <v>0.0</v>
      </c>
      <c r="AA296" s="62">
        <v>0.0</v>
      </c>
      <c r="AB296" s="62">
        <v>0.0</v>
      </c>
      <c r="AC296" s="62">
        <v>0.0</v>
      </c>
      <c r="AD296" s="62">
        <v>0.0</v>
      </c>
      <c r="AE296" s="62">
        <v>0.0</v>
      </c>
      <c r="AF296" s="62">
        <v>0.0</v>
      </c>
      <c r="AG296" s="62">
        <v>0.0</v>
      </c>
      <c r="AH296" s="62">
        <v>0.0</v>
      </c>
      <c r="AI296" s="62">
        <v>0.0</v>
      </c>
      <c r="AJ296" s="62">
        <v>0.0</v>
      </c>
      <c r="AK296" s="62">
        <v>0.99643799</v>
      </c>
      <c r="AL296" s="62">
        <v>1.0</v>
      </c>
      <c r="AM296" s="62">
        <v>0.998215817</v>
      </c>
      <c r="AN296" s="62">
        <v>0.0</v>
      </c>
      <c r="AO296" s="49"/>
      <c r="AP296" s="49"/>
      <c r="AQ296" s="49"/>
    </row>
    <row r="297">
      <c r="A297" s="13"/>
      <c r="B297" s="13"/>
      <c r="C297" s="46">
        <v>2.0</v>
      </c>
      <c r="D297" s="47">
        <v>1.0</v>
      </c>
      <c r="E297" s="47">
        <v>1.0</v>
      </c>
      <c r="F297" s="65">
        <v>1.0</v>
      </c>
      <c r="G297" s="65">
        <v>4.83969E-4</v>
      </c>
      <c r="H297" s="65">
        <v>0.99878828</v>
      </c>
      <c r="I297" s="65">
        <v>0.496965244</v>
      </c>
      <c r="J297" s="65">
        <v>0.542633265</v>
      </c>
      <c r="K297" s="65">
        <v>1.0</v>
      </c>
      <c r="L297" s="65">
        <v>0.5</v>
      </c>
      <c r="M297" s="65">
        <v>0.715944426</v>
      </c>
      <c r="N297" s="48">
        <f t="shared" si="1"/>
        <v>0.4284424913</v>
      </c>
      <c r="O297" s="48">
        <f t="shared" si="2"/>
        <v>52.61229499</v>
      </c>
      <c r="P297" s="62">
        <v>854.5435674</v>
      </c>
      <c r="Q297" s="62">
        <v>0.641237736</v>
      </c>
      <c r="R297" s="62">
        <v>0.996339045</v>
      </c>
      <c r="S297" s="62">
        <v>0.33824596</v>
      </c>
      <c r="T297" s="62">
        <v>0.372207294</v>
      </c>
      <c r="U297" s="62">
        <v>0.993384227</v>
      </c>
      <c r="V297" s="62">
        <v>0.33824596</v>
      </c>
      <c r="W297" s="62">
        <v>0.996339045</v>
      </c>
      <c r="X297" s="62">
        <v>0.341569941</v>
      </c>
      <c r="Y297" s="62">
        <v>0.994752391</v>
      </c>
      <c r="Z297" s="62">
        <v>0.0</v>
      </c>
      <c r="AA297" s="62">
        <v>0.103571683</v>
      </c>
      <c r="AB297" s="62">
        <v>0.057103046</v>
      </c>
      <c r="AC297" s="62">
        <v>0.0</v>
      </c>
      <c r="AD297" s="62">
        <v>0.0</v>
      </c>
      <c r="AE297" s="62">
        <v>0.0</v>
      </c>
      <c r="AF297" s="62">
        <v>0.0</v>
      </c>
      <c r="AG297" s="62">
        <v>0.12</v>
      </c>
      <c r="AH297" s="62">
        <v>0.014876033</v>
      </c>
      <c r="AI297" s="62">
        <v>0.026470588</v>
      </c>
      <c r="AJ297" s="62">
        <v>0.121949983</v>
      </c>
      <c r="AK297" s="62">
        <v>0.996621883</v>
      </c>
      <c r="AL297" s="62">
        <v>0.999861846</v>
      </c>
      <c r="AM297" s="62">
        <v>0.998239236</v>
      </c>
      <c r="AN297" s="62">
        <v>0.227871</v>
      </c>
      <c r="AO297" s="49"/>
      <c r="AP297" s="49"/>
      <c r="AQ297" s="49"/>
    </row>
    <row r="298">
      <c r="A298" s="13"/>
      <c r="B298" s="13"/>
      <c r="C298" s="46">
        <v>3.0</v>
      </c>
      <c r="D298" s="47">
        <v>1.0</v>
      </c>
      <c r="E298" s="47">
        <v>1.0</v>
      </c>
      <c r="F298" s="65">
        <v>1.0</v>
      </c>
      <c r="G298" s="65">
        <v>2.58117E-4</v>
      </c>
      <c r="H298" s="65">
        <v>0.998633806</v>
      </c>
      <c r="I298" s="65">
        <v>0.713412834</v>
      </c>
      <c r="J298" s="65">
        <v>0.541955861</v>
      </c>
      <c r="K298" s="65">
        <v>1.0</v>
      </c>
      <c r="L298" s="65">
        <v>0.5</v>
      </c>
      <c r="M298" s="65">
        <v>0.760233233</v>
      </c>
      <c r="N298" s="48">
        <f t="shared" si="1"/>
        <v>0.4534832779</v>
      </c>
      <c r="O298" s="48">
        <f t="shared" si="2"/>
        <v>55.75906806</v>
      </c>
      <c r="P298" s="62">
        <v>854.5435674</v>
      </c>
      <c r="Q298" s="62">
        <v>0.747659683</v>
      </c>
      <c r="R298" s="62">
        <v>0.996519727</v>
      </c>
      <c r="S298" s="62">
        <v>0.358424453</v>
      </c>
      <c r="T298" s="62">
        <v>0.820289794</v>
      </c>
      <c r="U298" s="62">
        <v>0.995201546</v>
      </c>
      <c r="V298" s="62">
        <v>0.358424453</v>
      </c>
      <c r="W298" s="62">
        <v>0.996519727</v>
      </c>
      <c r="X298" s="62">
        <v>0.380492638</v>
      </c>
      <c r="Y298" s="62">
        <v>0.994925011</v>
      </c>
      <c r="Z298" s="62">
        <v>0.190288379</v>
      </c>
      <c r="AA298" s="62">
        <v>0.161716882</v>
      </c>
      <c r="AB298" s="62">
        <v>0.067728684</v>
      </c>
      <c r="AC298" s="62">
        <v>1.0</v>
      </c>
      <c r="AD298" s="62">
        <v>0.053811659</v>
      </c>
      <c r="AE298" s="62">
        <v>0.10212766</v>
      </c>
      <c r="AF298" s="62">
        <v>0.231973402</v>
      </c>
      <c r="AG298" s="62">
        <v>0.464285714</v>
      </c>
      <c r="AH298" s="62">
        <v>0.021487603</v>
      </c>
      <c r="AI298" s="62">
        <v>0.04107425</v>
      </c>
      <c r="AJ298" s="62">
        <v>0.146581763</v>
      </c>
      <c r="AK298" s="62">
        <v>0.996583668</v>
      </c>
      <c r="AL298" s="62">
        <v>0.999974096</v>
      </c>
      <c r="AM298" s="62">
        <v>0.998276003</v>
      </c>
      <c r="AN298" s="62">
        <v>0.202636962</v>
      </c>
      <c r="AO298" s="49"/>
      <c r="AP298" s="49"/>
      <c r="AQ298" s="49"/>
    </row>
    <row r="299">
      <c r="A299" s="13"/>
      <c r="B299" s="16"/>
      <c r="C299" s="46">
        <v>4.0</v>
      </c>
      <c r="D299" s="47">
        <v>1.0</v>
      </c>
      <c r="E299" s="47">
        <v>1.0</v>
      </c>
      <c r="F299" s="65">
        <v>1.0</v>
      </c>
      <c r="G299" s="65">
        <v>0.004988105</v>
      </c>
      <c r="H299" s="65">
        <v>0.999987509</v>
      </c>
      <c r="I299" s="65">
        <v>0.0</v>
      </c>
      <c r="J299" s="65">
        <v>0.555133302</v>
      </c>
      <c r="K299" s="65">
        <v>1.0</v>
      </c>
      <c r="L299" s="65">
        <v>0.5</v>
      </c>
      <c r="M299" s="65">
        <v>0.017400443</v>
      </c>
      <c r="N299" s="48">
        <f t="shared" si="1"/>
        <v>0.8451721178</v>
      </c>
      <c r="O299" s="48">
        <f t="shared" si="2"/>
        <v>17.88097594</v>
      </c>
      <c r="P299" s="62">
        <v>854.5435674</v>
      </c>
      <c r="Q299" s="62">
        <v>1.018120527</v>
      </c>
      <c r="R299" s="62">
        <v>0.998262014</v>
      </c>
      <c r="S299" s="62">
        <v>0.817762324</v>
      </c>
      <c r="T299" s="62">
        <v>0.821891646</v>
      </c>
      <c r="U299" s="62">
        <v>0.998210276</v>
      </c>
      <c r="V299" s="62">
        <v>0.817762324</v>
      </c>
      <c r="W299" s="62">
        <v>0.998262014</v>
      </c>
      <c r="X299" s="62">
        <v>0.817581558</v>
      </c>
      <c r="Y299" s="62">
        <v>0.998223233</v>
      </c>
      <c r="Z299" s="62">
        <v>0.855982497</v>
      </c>
      <c r="AA299" s="62">
        <v>0.747418772</v>
      </c>
      <c r="AB299" s="62">
        <v>0.746970032</v>
      </c>
      <c r="AC299" s="62">
        <v>0.71031746</v>
      </c>
      <c r="AD299" s="62">
        <v>0.802690583</v>
      </c>
      <c r="AE299" s="62">
        <v>0.753684211</v>
      </c>
      <c r="AF299" s="62">
        <v>0.895789184</v>
      </c>
      <c r="AG299" s="62">
        <v>0.756238004</v>
      </c>
      <c r="AH299" s="62">
        <v>0.651239669</v>
      </c>
      <c r="AI299" s="62">
        <v>0.69982238</v>
      </c>
      <c r="AJ299" s="62">
        <v>0.806773164</v>
      </c>
      <c r="AK299" s="62">
        <v>0.999119475</v>
      </c>
      <c r="AL299" s="62">
        <v>0.999356719</v>
      </c>
      <c r="AM299" s="62">
        <v>0.999238083</v>
      </c>
      <c r="AN299" s="62">
        <v>0.867835466</v>
      </c>
      <c r="AO299" s="49"/>
      <c r="AP299" s="49"/>
      <c r="AQ299" s="49"/>
    </row>
    <row r="300">
      <c r="A300" s="13"/>
      <c r="B300" s="51" t="s">
        <v>24</v>
      </c>
      <c r="C300" s="46">
        <v>1.0</v>
      </c>
      <c r="D300" s="47">
        <v>1.0</v>
      </c>
      <c r="E300" s="47">
        <v>1.0</v>
      </c>
      <c r="F300" s="65">
        <v>1.0</v>
      </c>
      <c r="G300" s="65">
        <v>0.00714338</v>
      </c>
      <c r="H300" s="65">
        <v>0.999280743</v>
      </c>
      <c r="I300" s="65">
        <v>0.002369669</v>
      </c>
      <c r="J300" s="65">
        <v>0.559900893</v>
      </c>
      <c r="K300" s="65">
        <v>1.0</v>
      </c>
      <c r="L300" s="65">
        <v>0.5</v>
      </c>
      <c r="M300" s="65">
        <v>0.295285921</v>
      </c>
      <c r="N300" s="48">
        <f t="shared" si="1"/>
        <v>0.5295182791</v>
      </c>
      <c r="O300" s="48">
        <f t="shared" si="2"/>
        <v>41.92042435</v>
      </c>
      <c r="P300" s="62">
        <v>4199.296667</v>
      </c>
      <c r="Q300" s="62">
        <v>0.020320635</v>
      </c>
      <c r="R300" s="62">
        <v>0.993353495</v>
      </c>
      <c r="S300" s="62">
        <v>0.480616642</v>
      </c>
      <c r="T300" s="62">
        <v>0.48538679</v>
      </c>
      <c r="U300" s="62">
        <v>0.994889239</v>
      </c>
      <c r="V300" s="62">
        <v>0.480616642</v>
      </c>
      <c r="W300" s="62">
        <v>0.993353495</v>
      </c>
      <c r="X300" s="62">
        <v>0.454095196</v>
      </c>
      <c r="Y300" s="62">
        <v>0.993981897</v>
      </c>
      <c r="Z300" s="62">
        <v>0.482969273</v>
      </c>
      <c r="AA300" s="62">
        <v>0.201484757</v>
      </c>
      <c r="AB300" s="62">
        <v>0.199277927</v>
      </c>
      <c r="AC300" s="62">
        <v>0.070283601</v>
      </c>
      <c r="AD300" s="62">
        <v>0.255605381</v>
      </c>
      <c r="AE300" s="62">
        <v>0.110251451</v>
      </c>
      <c r="AF300" s="62">
        <v>0.504752896</v>
      </c>
      <c r="AG300" s="62">
        <v>0.388513514</v>
      </c>
      <c r="AH300" s="62">
        <v>0.190082645</v>
      </c>
      <c r="AI300" s="62">
        <v>0.25527192</v>
      </c>
      <c r="AJ300" s="62">
        <v>0.435814468</v>
      </c>
      <c r="AK300" s="62">
        <v>0.997363257</v>
      </c>
      <c r="AL300" s="62">
        <v>0.9961619</v>
      </c>
      <c r="AM300" s="62">
        <v>0.996762216</v>
      </c>
      <c r="AN300" s="62">
        <v>0.512127435</v>
      </c>
      <c r="AO300" s="49"/>
      <c r="AP300" s="49"/>
      <c r="AQ300" s="49"/>
    </row>
    <row r="301">
      <c r="A301" s="13"/>
      <c r="B301" s="13"/>
      <c r="C301" s="46">
        <v>2.0</v>
      </c>
      <c r="D301" s="47">
        <v>1.0</v>
      </c>
      <c r="E301" s="47">
        <v>1.0</v>
      </c>
      <c r="F301" s="65">
        <v>1.0</v>
      </c>
      <c r="G301" s="65">
        <v>0.00548498</v>
      </c>
      <c r="H301" s="65">
        <v>0.999752827</v>
      </c>
      <c r="I301" s="65">
        <v>0.001867421</v>
      </c>
      <c r="J301" s="65">
        <v>0.556442036</v>
      </c>
      <c r="K301" s="65">
        <v>1.0</v>
      </c>
      <c r="L301" s="65">
        <v>0.5</v>
      </c>
      <c r="M301" s="65">
        <v>0.283522469</v>
      </c>
      <c r="N301" s="48">
        <f t="shared" si="1"/>
        <v>0.547712034</v>
      </c>
      <c r="O301" s="48">
        <f t="shared" si="2"/>
        <v>42.08878246</v>
      </c>
      <c r="P301" s="62">
        <v>4199.296667</v>
      </c>
      <c r="Q301" s="62">
        <v>0.020357223</v>
      </c>
      <c r="R301" s="62">
        <v>0.994566644</v>
      </c>
      <c r="S301" s="62">
        <v>0.487532984</v>
      </c>
      <c r="T301" s="62">
        <v>0.492867982</v>
      </c>
      <c r="U301" s="62">
        <v>0.994917419</v>
      </c>
      <c r="V301" s="62">
        <v>0.487532984</v>
      </c>
      <c r="W301" s="62">
        <v>0.994566644</v>
      </c>
      <c r="X301" s="62">
        <v>0.476082081</v>
      </c>
      <c r="Y301" s="62">
        <v>0.994671568</v>
      </c>
      <c r="Z301" s="62">
        <v>0.494754024</v>
      </c>
      <c r="AA301" s="62">
        <v>0.245381232</v>
      </c>
      <c r="AB301" s="62">
        <v>0.245320015</v>
      </c>
      <c r="AC301" s="62">
        <v>0.111340206</v>
      </c>
      <c r="AD301" s="62">
        <v>0.242152466</v>
      </c>
      <c r="AE301" s="62">
        <v>0.152542373</v>
      </c>
      <c r="AF301" s="62">
        <v>0.491633045</v>
      </c>
      <c r="AG301" s="62">
        <v>0.369863014</v>
      </c>
      <c r="AH301" s="62">
        <v>0.223140496</v>
      </c>
      <c r="AI301" s="62">
        <v>0.278350516</v>
      </c>
      <c r="AJ301" s="62">
        <v>0.472143129</v>
      </c>
      <c r="AK301" s="62">
        <v>0.997400725</v>
      </c>
      <c r="AL301" s="62">
        <v>0.99730599</v>
      </c>
      <c r="AM301" s="62">
        <v>0.997353355</v>
      </c>
      <c r="AN301" s="62">
        <v>0.521738956</v>
      </c>
      <c r="AO301" s="49"/>
      <c r="AP301" s="49"/>
      <c r="AQ301" s="49"/>
    </row>
    <row r="302">
      <c r="A302" s="13"/>
      <c r="B302" s="13"/>
      <c r="C302" s="46">
        <v>3.0</v>
      </c>
      <c r="D302" s="47">
        <v>1.0</v>
      </c>
      <c r="E302" s="47">
        <v>1.0</v>
      </c>
      <c r="F302" s="65">
        <v>1.0</v>
      </c>
      <c r="G302" s="65">
        <v>0.005981854</v>
      </c>
      <c r="H302" s="65">
        <v>0.999990248</v>
      </c>
      <c r="I302" s="65">
        <v>6.38028E-4</v>
      </c>
      <c r="J302" s="65">
        <v>0.557365906</v>
      </c>
      <c r="K302" s="65">
        <v>1.0</v>
      </c>
      <c r="L302" s="65">
        <v>0.5</v>
      </c>
      <c r="M302" s="65">
        <v>0.237132436</v>
      </c>
      <c r="N302" s="48">
        <f t="shared" si="1"/>
        <v>0.6812623673</v>
      </c>
      <c r="O302" s="48">
        <f t="shared" si="2"/>
        <v>44.66681899</v>
      </c>
      <c r="P302" s="62">
        <v>4199.296667</v>
      </c>
      <c r="Q302" s="62">
        <v>0.020375464</v>
      </c>
      <c r="R302" s="62">
        <v>0.99590885</v>
      </c>
      <c r="S302" s="62">
        <v>0.648004735</v>
      </c>
      <c r="T302" s="62">
        <v>0.607972785</v>
      </c>
      <c r="U302" s="62">
        <v>0.996159712</v>
      </c>
      <c r="V302" s="62">
        <v>0.648004735</v>
      </c>
      <c r="W302" s="62">
        <v>0.99590885</v>
      </c>
      <c r="X302" s="62">
        <v>0.626482477</v>
      </c>
      <c r="Y302" s="62">
        <v>0.996028603</v>
      </c>
      <c r="Z302" s="62">
        <v>0.697201583</v>
      </c>
      <c r="AA302" s="62">
        <v>0.457217559</v>
      </c>
      <c r="AB302" s="62">
        <v>0.456485232</v>
      </c>
      <c r="AC302" s="62">
        <v>0.439849624</v>
      </c>
      <c r="AD302" s="62">
        <v>0.524663677</v>
      </c>
      <c r="AE302" s="62">
        <v>0.478527607</v>
      </c>
      <c r="AF302" s="62">
        <v>0.724104309</v>
      </c>
      <c r="AG302" s="62">
        <v>0.385779123</v>
      </c>
      <c r="AH302" s="62">
        <v>0.421487603</v>
      </c>
      <c r="AI302" s="62">
        <v>0.402843602</v>
      </c>
      <c r="AJ302" s="62">
        <v>0.648652077</v>
      </c>
      <c r="AK302" s="62">
        <v>0.998289609</v>
      </c>
      <c r="AL302" s="62">
        <v>0.997862925</v>
      </c>
      <c r="AM302" s="62">
        <v>0.998076221</v>
      </c>
      <c r="AN302" s="62">
        <v>0.721542885</v>
      </c>
      <c r="AO302" s="49"/>
      <c r="AP302" s="49"/>
      <c r="AQ302" s="49"/>
    </row>
    <row r="303">
      <c r="A303" s="13"/>
      <c r="B303" s="16"/>
      <c r="C303" s="46">
        <v>4.0</v>
      </c>
      <c r="D303" s="47">
        <v>1.0</v>
      </c>
      <c r="E303" s="47">
        <v>1.0</v>
      </c>
      <c r="F303" s="65">
        <v>1.0</v>
      </c>
      <c r="G303" s="65">
        <v>0.008169393</v>
      </c>
      <c r="H303" s="65">
        <v>0.9998469</v>
      </c>
      <c r="I303" s="65">
        <v>1.86E-5</v>
      </c>
      <c r="J303" s="65">
        <v>0.562289351</v>
      </c>
      <c r="K303" s="65">
        <v>1.0</v>
      </c>
      <c r="L303" s="65">
        <v>0.5</v>
      </c>
      <c r="M303" s="65">
        <v>0.131759507</v>
      </c>
      <c r="N303" s="48">
        <f t="shared" si="1"/>
        <v>0.7821011576</v>
      </c>
      <c r="O303" s="48">
        <f t="shared" si="2"/>
        <v>38.35928837</v>
      </c>
      <c r="P303" s="62">
        <v>4199.296667</v>
      </c>
      <c r="Q303" s="62">
        <v>0.020328918</v>
      </c>
      <c r="R303" s="62">
        <v>0.996485311</v>
      </c>
      <c r="S303" s="62">
        <v>0.815733774</v>
      </c>
      <c r="T303" s="62">
        <v>0.634877155</v>
      </c>
      <c r="U303" s="62">
        <v>0.997502715</v>
      </c>
      <c r="V303" s="62">
        <v>0.815733774</v>
      </c>
      <c r="W303" s="62">
        <v>0.996485311</v>
      </c>
      <c r="X303" s="62">
        <v>0.70306193</v>
      </c>
      <c r="Y303" s="62">
        <v>0.996899029</v>
      </c>
      <c r="Z303" s="62">
        <v>0.869615068</v>
      </c>
      <c r="AA303" s="62">
        <v>0.622362534</v>
      </c>
      <c r="AB303" s="62">
        <v>0.608502617</v>
      </c>
      <c r="AC303" s="62">
        <v>0.413366337</v>
      </c>
      <c r="AD303" s="62">
        <v>0.748878924</v>
      </c>
      <c r="AE303" s="62">
        <v>0.532695375</v>
      </c>
      <c r="AF303" s="62">
        <v>0.864936219</v>
      </c>
      <c r="AG303" s="62">
        <v>0.49187935</v>
      </c>
      <c r="AH303" s="62">
        <v>0.700826446</v>
      </c>
      <c r="AI303" s="62">
        <v>0.578050443</v>
      </c>
      <c r="AJ303" s="62">
        <v>0.836362641</v>
      </c>
      <c r="AK303" s="62">
        <v>0.999385779</v>
      </c>
      <c r="AL303" s="62">
        <v>0.997495953</v>
      </c>
      <c r="AM303" s="62">
        <v>0.998439971</v>
      </c>
      <c r="AN303" s="62">
        <v>0.909080748</v>
      </c>
      <c r="AO303" s="49"/>
      <c r="AP303" s="49"/>
      <c r="AQ303" s="49"/>
    </row>
    <row r="304">
      <c r="A304" s="13"/>
      <c r="B304" s="51" t="s">
        <v>25</v>
      </c>
      <c r="C304" s="46">
        <v>1.0</v>
      </c>
      <c r="D304" s="47">
        <v>1.0</v>
      </c>
      <c r="E304" s="47">
        <v>1.0</v>
      </c>
      <c r="F304" s="65">
        <v>1.0</v>
      </c>
      <c r="G304" s="65">
        <v>0.00418149</v>
      </c>
      <c r="H304" s="65">
        <v>0.999304321</v>
      </c>
      <c r="I304" s="65">
        <v>1.49385E-4</v>
      </c>
      <c r="J304" s="65">
        <v>0.552925805</v>
      </c>
      <c r="K304" s="65">
        <v>1.0</v>
      </c>
      <c r="L304" s="65">
        <v>0.5</v>
      </c>
      <c r="M304" s="65">
        <v>0.185897571</v>
      </c>
      <c r="N304" s="48">
        <f t="shared" si="1"/>
        <v>0.5065379855</v>
      </c>
      <c r="O304" s="48">
        <f t="shared" si="2"/>
        <v>33.9216288</v>
      </c>
      <c r="P304" s="62">
        <v>4243.88814</v>
      </c>
      <c r="Q304" s="62">
        <v>0.07990854</v>
      </c>
      <c r="R304" s="62">
        <v>0.994678494</v>
      </c>
      <c r="S304" s="62">
        <v>0.458793048</v>
      </c>
      <c r="T304" s="62">
        <v>0.458373402</v>
      </c>
      <c r="U304" s="62">
        <v>0.994206391</v>
      </c>
      <c r="V304" s="62">
        <v>0.458793048</v>
      </c>
      <c r="W304" s="62">
        <v>0.994678494</v>
      </c>
      <c r="X304" s="62">
        <v>0.42639964</v>
      </c>
      <c r="Y304" s="62">
        <v>0.994251557</v>
      </c>
      <c r="Z304" s="62">
        <v>0.373209943</v>
      </c>
      <c r="AA304" s="62">
        <v>0.160857094</v>
      </c>
      <c r="AB304" s="62">
        <v>0.159566471</v>
      </c>
      <c r="AC304" s="62">
        <v>0.141472868</v>
      </c>
      <c r="AD304" s="62">
        <v>0.32735426</v>
      </c>
      <c r="AE304" s="62">
        <v>0.197564276</v>
      </c>
      <c r="AF304" s="62">
        <v>0.571602836</v>
      </c>
      <c r="AG304" s="62">
        <v>0.236641221</v>
      </c>
      <c r="AH304" s="62">
        <v>0.051239669</v>
      </c>
      <c r="AI304" s="62">
        <v>0.08423913</v>
      </c>
      <c r="AJ304" s="62">
        <v>0.226312989</v>
      </c>
      <c r="AK304" s="62">
        <v>0.997006117</v>
      </c>
      <c r="AL304" s="62">
        <v>0.997785213</v>
      </c>
      <c r="AM304" s="62">
        <v>0.997395513</v>
      </c>
      <c r="AN304" s="62">
        <v>0.401842403</v>
      </c>
      <c r="AO304" s="49"/>
      <c r="AP304" s="49"/>
      <c r="AQ304" s="49"/>
    </row>
    <row r="305">
      <c r="A305" s="13"/>
      <c r="B305" s="13"/>
      <c r="C305" s="46">
        <v>2.0</v>
      </c>
      <c r="D305" s="47">
        <v>1.0</v>
      </c>
      <c r="E305" s="47">
        <v>1.0</v>
      </c>
      <c r="F305" s="65">
        <v>1.0</v>
      </c>
      <c r="G305" s="65">
        <v>0.010169798</v>
      </c>
      <c r="H305" s="65">
        <v>0.999614101</v>
      </c>
      <c r="I305" s="65">
        <v>3.97792E-4</v>
      </c>
      <c r="J305" s="65">
        <v>0.566525578</v>
      </c>
      <c r="K305" s="65">
        <v>1.0</v>
      </c>
      <c r="L305" s="65">
        <v>0.5</v>
      </c>
      <c r="M305" s="65">
        <v>0.219758822</v>
      </c>
      <c r="N305" s="48">
        <f t="shared" si="1"/>
        <v>0.577706053</v>
      </c>
      <c r="O305" s="48">
        <f t="shared" si="2"/>
        <v>39.24665775</v>
      </c>
      <c r="P305" s="62">
        <v>4243.88814</v>
      </c>
      <c r="Q305" s="62">
        <v>0.080159628</v>
      </c>
      <c r="R305" s="62">
        <v>0.99219197</v>
      </c>
      <c r="S305" s="62">
        <v>0.581594567</v>
      </c>
      <c r="T305" s="62">
        <v>0.45124807</v>
      </c>
      <c r="U305" s="62">
        <v>0.994839927</v>
      </c>
      <c r="V305" s="62">
        <v>0.581594567</v>
      </c>
      <c r="W305" s="62">
        <v>0.99219197</v>
      </c>
      <c r="X305" s="62">
        <v>0.492194831</v>
      </c>
      <c r="Y305" s="62">
        <v>0.99342071</v>
      </c>
      <c r="Z305" s="62">
        <v>0.603243777</v>
      </c>
      <c r="AA305" s="62">
        <v>0.253898829</v>
      </c>
      <c r="AB305" s="62">
        <v>0.241274338</v>
      </c>
      <c r="AC305" s="62">
        <v>0.212523719</v>
      </c>
      <c r="AD305" s="62">
        <v>0.502242153</v>
      </c>
      <c r="AE305" s="62">
        <v>0.298666667</v>
      </c>
      <c r="AF305" s="62">
        <v>0.708056943</v>
      </c>
      <c r="AG305" s="62">
        <v>0.143403442</v>
      </c>
      <c r="AH305" s="62">
        <v>0.247933884</v>
      </c>
      <c r="AI305" s="62">
        <v>0.181708056</v>
      </c>
      <c r="AJ305" s="62">
        <v>0.496966517</v>
      </c>
      <c r="AK305" s="62">
        <v>0.997817048</v>
      </c>
      <c r="AL305" s="62">
        <v>0.994607663</v>
      </c>
      <c r="AM305" s="62">
        <v>0.996209771</v>
      </c>
      <c r="AN305" s="62">
        <v>0.623854393</v>
      </c>
      <c r="AO305" s="49"/>
      <c r="AP305" s="49"/>
      <c r="AQ305" s="49"/>
    </row>
    <row r="306">
      <c r="A306" s="13"/>
      <c r="B306" s="13"/>
      <c r="C306" s="46">
        <v>3.0</v>
      </c>
      <c r="D306" s="47">
        <v>1.0</v>
      </c>
      <c r="E306" s="47">
        <v>1.0</v>
      </c>
      <c r="F306" s="65">
        <v>1.0</v>
      </c>
      <c r="G306" s="65">
        <v>0.011053847</v>
      </c>
      <c r="H306" s="65">
        <v>0.999491042</v>
      </c>
      <c r="I306" s="65">
        <v>8.79E-5</v>
      </c>
      <c r="J306" s="65">
        <v>0.567656493</v>
      </c>
      <c r="K306" s="65">
        <v>1.0</v>
      </c>
      <c r="L306" s="65">
        <v>0.5</v>
      </c>
      <c r="M306" s="65">
        <v>0.170912298</v>
      </c>
      <c r="N306" s="48">
        <f t="shared" si="1"/>
        <v>0.6933136285</v>
      </c>
      <c r="O306" s="48">
        <f t="shared" si="2"/>
        <v>39.59744532</v>
      </c>
      <c r="P306" s="62">
        <v>4243.88814</v>
      </c>
      <c r="Q306" s="62">
        <v>0.079958667</v>
      </c>
      <c r="R306" s="62">
        <v>0.993856823</v>
      </c>
      <c r="S306" s="62">
        <v>0.72646222</v>
      </c>
      <c r="T306" s="62">
        <v>0.54911843</v>
      </c>
      <c r="U306" s="62">
        <v>0.996484548</v>
      </c>
      <c r="V306" s="62">
        <v>0.72646222</v>
      </c>
      <c r="W306" s="62">
        <v>0.993856823</v>
      </c>
      <c r="X306" s="62">
        <v>0.609235194</v>
      </c>
      <c r="Y306" s="62">
        <v>0.99497573</v>
      </c>
      <c r="Z306" s="62">
        <v>0.791342934</v>
      </c>
      <c r="AA306" s="62">
        <v>0.459183283</v>
      </c>
      <c r="AB306" s="62">
        <v>0.431103611</v>
      </c>
      <c r="AC306" s="62">
        <v>0.367952522</v>
      </c>
      <c r="AD306" s="62">
        <v>0.556053812</v>
      </c>
      <c r="AE306" s="62">
        <v>0.442857143</v>
      </c>
      <c r="AF306" s="62">
        <v>0.745348108</v>
      </c>
      <c r="AG306" s="62">
        <v>0.280442804</v>
      </c>
      <c r="AH306" s="62">
        <v>0.628099174</v>
      </c>
      <c r="AI306" s="62">
        <v>0.387755102</v>
      </c>
      <c r="AJ306" s="62">
        <v>0.790858902</v>
      </c>
      <c r="AK306" s="62">
        <v>0.998959963</v>
      </c>
      <c r="AL306" s="62">
        <v>0.995233675</v>
      </c>
      <c r="AM306" s="62">
        <v>0.997093338</v>
      </c>
      <c r="AN306" s="62">
        <v>0.84069028</v>
      </c>
      <c r="AO306" s="49"/>
      <c r="AP306" s="49"/>
      <c r="AQ306" s="49"/>
    </row>
    <row r="307">
      <c r="A307" s="13"/>
      <c r="B307" s="16"/>
      <c r="C307" s="46">
        <v>4.0</v>
      </c>
      <c r="D307" s="47">
        <v>1.0</v>
      </c>
      <c r="E307" s="47">
        <v>1.0</v>
      </c>
      <c r="F307" s="65">
        <v>1.0</v>
      </c>
      <c r="G307" s="65">
        <v>0.006943339</v>
      </c>
      <c r="H307" s="65">
        <v>0.999946716</v>
      </c>
      <c r="I307" s="65">
        <v>4.75E-7</v>
      </c>
      <c r="J307" s="65">
        <v>0.559554836</v>
      </c>
      <c r="K307" s="65">
        <v>1.0</v>
      </c>
      <c r="L307" s="65">
        <v>0.5</v>
      </c>
      <c r="M307" s="65">
        <v>0.071434445</v>
      </c>
      <c r="N307" s="48">
        <f t="shared" si="1"/>
        <v>0.8129997842</v>
      </c>
      <c r="O307" s="48">
        <f t="shared" si="2"/>
        <v>30.73387554</v>
      </c>
      <c r="P307" s="62">
        <v>4243.88814</v>
      </c>
      <c r="Q307" s="62">
        <v>0.079746796</v>
      </c>
      <c r="R307" s="62">
        <v>0.997306983</v>
      </c>
      <c r="S307" s="62">
        <v>0.826927686</v>
      </c>
      <c r="T307" s="62">
        <v>0.702153581</v>
      </c>
      <c r="U307" s="62">
        <v>0.997778111</v>
      </c>
      <c r="V307" s="62">
        <v>0.826927686</v>
      </c>
      <c r="W307" s="62">
        <v>0.997306983</v>
      </c>
      <c r="X307" s="62">
        <v>0.754976745</v>
      </c>
      <c r="Y307" s="62">
        <v>0.997501705</v>
      </c>
      <c r="Z307" s="62">
        <v>0.873780715</v>
      </c>
      <c r="AA307" s="62">
        <v>0.675955186</v>
      </c>
      <c r="AB307" s="62">
        <v>0.670160483</v>
      </c>
      <c r="AC307" s="62">
        <v>0.534375</v>
      </c>
      <c r="AD307" s="62">
        <v>0.766816144</v>
      </c>
      <c r="AE307" s="62">
        <v>0.629834254</v>
      </c>
      <c r="AF307" s="62">
        <v>0.875399423</v>
      </c>
      <c r="AG307" s="62">
        <v>0.572751323</v>
      </c>
      <c r="AH307" s="62">
        <v>0.715702479</v>
      </c>
      <c r="AI307" s="62">
        <v>0.636296841</v>
      </c>
      <c r="AJ307" s="62">
        <v>0.845402505</v>
      </c>
      <c r="AK307" s="62">
        <v>0.99933442</v>
      </c>
      <c r="AL307" s="62">
        <v>0.998264436</v>
      </c>
      <c r="AM307" s="62">
        <v>0.998799141</v>
      </c>
      <c r="AN307" s="62">
        <v>0.901441566</v>
      </c>
      <c r="AO307" s="49"/>
      <c r="AP307" s="49"/>
      <c r="AQ307" s="49"/>
    </row>
    <row r="308">
      <c r="A308" s="13"/>
      <c r="B308" s="51" t="s">
        <v>26</v>
      </c>
      <c r="C308" s="46">
        <v>1.0</v>
      </c>
      <c r="D308" s="47">
        <v>1.0</v>
      </c>
      <c r="E308" s="47">
        <v>1.0</v>
      </c>
      <c r="F308" s="65">
        <v>1.0</v>
      </c>
      <c r="G308" s="65">
        <v>0.011648</v>
      </c>
      <c r="H308" s="65">
        <v>0.999189</v>
      </c>
      <c r="I308" s="65">
        <v>0.012035</v>
      </c>
      <c r="J308" s="65">
        <v>0.569805</v>
      </c>
      <c r="K308" s="65">
        <v>1.0</v>
      </c>
      <c r="L308" s="65">
        <v>0.5</v>
      </c>
      <c r="M308" s="65">
        <v>0.388269</v>
      </c>
      <c r="N308" s="48">
        <f t="shared" si="1"/>
        <v>0.5481415686</v>
      </c>
      <c r="O308" s="48">
        <f t="shared" si="2"/>
        <v>47.75168817</v>
      </c>
      <c r="P308" s="46">
        <v>4379.020769</v>
      </c>
      <c r="Q308" s="46">
        <v>0.055295</v>
      </c>
      <c r="R308" s="46">
        <v>0.991061</v>
      </c>
      <c r="S308" s="46">
        <v>0.537419</v>
      </c>
      <c r="T308" s="46">
        <v>0.426852</v>
      </c>
      <c r="U308" s="46">
        <v>0.994788</v>
      </c>
      <c r="V308" s="46">
        <v>0.537419</v>
      </c>
      <c r="W308" s="46">
        <v>0.991061</v>
      </c>
      <c r="X308" s="46">
        <v>0.454212</v>
      </c>
      <c r="Y308" s="46">
        <v>0.992826</v>
      </c>
      <c r="Z308" s="46">
        <v>0.571184</v>
      </c>
      <c r="AA308" s="46">
        <v>0.22439</v>
      </c>
      <c r="AB308" s="46">
        <v>0.208202</v>
      </c>
      <c r="AC308" s="46">
        <v>0.076841</v>
      </c>
      <c r="AD308" s="46">
        <v>0.32287</v>
      </c>
      <c r="AE308" s="46">
        <v>0.124138</v>
      </c>
      <c r="AF308" s="46">
        <v>0.567157</v>
      </c>
      <c r="AG308" s="46">
        <v>0.205984</v>
      </c>
      <c r="AH308" s="46">
        <v>0.295868</v>
      </c>
      <c r="AI308" s="46">
        <v>0.242877</v>
      </c>
      <c r="AJ308" s="46">
        <v>0.543127</v>
      </c>
      <c r="AK308" s="46">
        <v>0.997732</v>
      </c>
      <c r="AL308" s="46">
        <v>0.99352</v>
      </c>
      <c r="AM308" s="46">
        <v>0.995622</v>
      </c>
      <c r="AN308" s="46">
        <v>0.604955</v>
      </c>
      <c r="AO308" s="70"/>
      <c r="AP308" s="70"/>
      <c r="AQ308" s="70"/>
    </row>
    <row r="309">
      <c r="A309" s="13"/>
      <c r="B309" s="13"/>
      <c r="C309" s="46">
        <v>2.0</v>
      </c>
      <c r="D309" s="47">
        <v>1.0</v>
      </c>
      <c r="E309" s="47">
        <v>1.0</v>
      </c>
      <c r="F309" s="65">
        <v>1.0</v>
      </c>
      <c r="G309" s="65">
        <v>0.009937</v>
      </c>
      <c r="H309" s="65">
        <v>0.999455</v>
      </c>
      <c r="I309" s="65">
        <v>0.002791</v>
      </c>
      <c r="J309" s="65">
        <v>0.566312</v>
      </c>
      <c r="K309" s="65">
        <v>1.0</v>
      </c>
      <c r="L309" s="65">
        <v>0.5</v>
      </c>
      <c r="M309" s="65">
        <v>0.304039</v>
      </c>
      <c r="N309" s="48">
        <f t="shared" si="1"/>
        <v>0.5902627121</v>
      </c>
      <c r="O309" s="48">
        <f t="shared" si="2"/>
        <v>45.2687943</v>
      </c>
      <c r="P309" s="46">
        <v>4379.020769</v>
      </c>
      <c r="Q309" s="46">
        <v>0.055313</v>
      </c>
      <c r="R309" s="46">
        <v>0.992708</v>
      </c>
      <c r="S309" s="46">
        <v>0.586676</v>
      </c>
      <c r="T309" s="46">
        <v>0.466702</v>
      </c>
      <c r="U309" s="46">
        <v>0.995305</v>
      </c>
      <c r="V309" s="46">
        <v>0.586676</v>
      </c>
      <c r="W309" s="46">
        <v>0.992708</v>
      </c>
      <c r="X309" s="46">
        <v>0.498181</v>
      </c>
      <c r="Y309" s="46">
        <v>0.993916</v>
      </c>
      <c r="Z309" s="46">
        <v>0.632303</v>
      </c>
      <c r="AA309" s="46">
        <v>0.295868</v>
      </c>
      <c r="AB309" s="46">
        <v>0.282021</v>
      </c>
      <c r="AC309" s="46">
        <v>0.115629</v>
      </c>
      <c r="AD309" s="46">
        <v>0.408072</v>
      </c>
      <c r="AE309" s="46">
        <v>0.180198</v>
      </c>
      <c r="AF309" s="46">
        <v>0.637847</v>
      </c>
      <c r="AG309" s="46">
        <v>0.286472</v>
      </c>
      <c r="AH309" s="46">
        <v>0.357025</v>
      </c>
      <c r="AI309" s="46">
        <v>0.317881</v>
      </c>
      <c r="AJ309" s="46">
        <v>0.596822</v>
      </c>
      <c r="AK309" s="46">
        <v>0.998004</v>
      </c>
      <c r="AL309" s="46">
        <v>0.994931</v>
      </c>
      <c r="AM309" s="46">
        <v>0.996465</v>
      </c>
      <c r="AN309" s="46">
        <v>0.664071</v>
      </c>
      <c r="AO309" s="70"/>
      <c r="AP309" s="70"/>
      <c r="AQ309" s="70"/>
    </row>
    <row r="310">
      <c r="A310" s="13"/>
      <c r="B310" s="13"/>
      <c r="C310" s="46">
        <v>3.0</v>
      </c>
      <c r="D310" s="47">
        <v>1.0</v>
      </c>
      <c r="E310" s="47">
        <v>1.0</v>
      </c>
      <c r="F310" s="65">
        <v>1.0</v>
      </c>
      <c r="G310" s="65">
        <v>0.014171</v>
      </c>
      <c r="H310" s="65">
        <v>0.998803</v>
      </c>
      <c r="I310" s="65">
        <v>0.002809</v>
      </c>
      <c r="J310" s="65">
        <v>0.574752</v>
      </c>
      <c r="K310" s="65">
        <v>1.0</v>
      </c>
      <c r="L310" s="65">
        <v>0.5</v>
      </c>
      <c r="M310" s="65">
        <v>0.305078</v>
      </c>
      <c r="N310" s="48">
        <f t="shared" si="1"/>
        <v>0.6565325971</v>
      </c>
      <c r="O310" s="48">
        <f t="shared" si="2"/>
        <v>48.31902169</v>
      </c>
      <c r="P310" s="46">
        <v>4379.020769</v>
      </c>
      <c r="Q310" s="46">
        <v>0.055159</v>
      </c>
      <c r="R310" s="46">
        <v>0.991564</v>
      </c>
      <c r="S310" s="46">
        <v>0.731681</v>
      </c>
      <c r="T310" s="46">
        <v>0.482353</v>
      </c>
      <c r="U310" s="46">
        <v>0.996274</v>
      </c>
      <c r="V310" s="46">
        <v>0.731681</v>
      </c>
      <c r="W310" s="46">
        <v>0.991564</v>
      </c>
      <c r="X310" s="46">
        <v>0.540801</v>
      </c>
      <c r="Y310" s="46">
        <v>0.993653</v>
      </c>
      <c r="Z310" s="46">
        <v>0.790631</v>
      </c>
      <c r="AA310" s="46">
        <v>0.392029</v>
      </c>
      <c r="AB310" s="46">
        <v>0.349204</v>
      </c>
      <c r="AC310" s="46">
        <v>0.125</v>
      </c>
      <c r="AD310" s="46">
        <v>0.605381</v>
      </c>
      <c r="AE310" s="46">
        <v>0.207214</v>
      </c>
      <c r="AF310" s="46">
        <v>0.776478</v>
      </c>
      <c r="AG310" s="46">
        <v>0.323187</v>
      </c>
      <c r="AH310" s="46">
        <v>0.596694</v>
      </c>
      <c r="AI310" s="46">
        <v>0.41928</v>
      </c>
      <c r="AJ310" s="46">
        <v>0.771199</v>
      </c>
      <c r="AK310" s="46">
        <v>0.998871</v>
      </c>
      <c r="AL310" s="46">
        <v>0.992967</v>
      </c>
      <c r="AM310" s="46">
        <v>0.99591</v>
      </c>
      <c r="AN310" s="46">
        <v>0.825328</v>
      </c>
      <c r="AO310" s="70"/>
      <c r="AP310" s="70"/>
      <c r="AQ310" s="70"/>
    </row>
    <row r="311">
      <c r="A311" s="13"/>
      <c r="B311" s="16"/>
      <c r="C311" s="46">
        <v>4.0</v>
      </c>
      <c r="D311" s="47">
        <v>1.0</v>
      </c>
      <c r="E311" s="47">
        <v>1.0</v>
      </c>
      <c r="F311" s="65">
        <v>1.0</v>
      </c>
      <c r="G311" s="65">
        <v>0.007285</v>
      </c>
      <c r="H311" s="65">
        <v>0.999918</v>
      </c>
      <c r="I311" s="65">
        <v>1.1E-5</v>
      </c>
      <c r="J311" s="65">
        <v>0.560376</v>
      </c>
      <c r="K311" s="65">
        <v>1.0</v>
      </c>
      <c r="L311" s="65">
        <v>0.5</v>
      </c>
      <c r="M311" s="65">
        <v>0.120007</v>
      </c>
      <c r="N311" s="48">
        <f t="shared" si="1"/>
        <v>0.8048805347</v>
      </c>
      <c r="O311" s="48">
        <f t="shared" si="2"/>
        <v>37.5942553</v>
      </c>
      <c r="P311" s="46">
        <v>4379.020769</v>
      </c>
      <c r="Q311" s="46">
        <v>0.055314</v>
      </c>
      <c r="R311" s="46">
        <v>0.997096</v>
      </c>
      <c r="S311" s="46">
        <v>0.82773</v>
      </c>
      <c r="T311" s="46">
        <v>0.677946</v>
      </c>
      <c r="U311" s="46">
        <v>0.997718</v>
      </c>
      <c r="V311" s="46">
        <v>0.82773</v>
      </c>
      <c r="W311" s="46">
        <v>0.997096</v>
      </c>
      <c r="X311" s="46">
        <v>0.737855</v>
      </c>
      <c r="Y311" s="46">
        <v>0.997349</v>
      </c>
      <c r="Z311" s="46">
        <v>0.876182</v>
      </c>
      <c r="AA311" s="46">
        <v>0.661886</v>
      </c>
      <c r="AB311" s="46">
        <v>0.653959</v>
      </c>
      <c r="AC311" s="46">
        <v>0.484848</v>
      </c>
      <c r="AD311" s="46">
        <v>0.789238</v>
      </c>
      <c r="AE311" s="46">
        <v>0.600683</v>
      </c>
      <c r="AF311" s="46">
        <v>0.888033</v>
      </c>
      <c r="AG311" s="46">
        <v>0.549608</v>
      </c>
      <c r="AH311" s="46">
        <v>0.695868</v>
      </c>
      <c r="AI311" s="46">
        <v>0.61415</v>
      </c>
      <c r="AJ311" s="46">
        <v>0.833566</v>
      </c>
      <c r="AK311" s="46">
        <v>0.999382</v>
      </c>
      <c r="AL311" s="46">
        <v>0.998083</v>
      </c>
      <c r="AM311" s="46">
        <v>0.998732</v>
      </c>
      <c r="AN311" s="46">
        <v>0.908685</v>
      </c>
      <c r="AO311" s="70"/>
      <c r="AP311" s="70"/>
      <c r="AQ311" s="70"/>
    </row>
    <row r="312">
      <c r="A312" s="13"/>
      <c r="B312" s="51" t="s">
        <v>27</v>
      </c>
      <c r="C312" s="46">
        <v>1.0</v>
      </c>
      <c r="D312" s="47">
        <v>1.0</v>
      </c>
      <c r="E312" s="47">
        <v>1.0</v>
      </c>
      <c r="F312" s="65">
        <v>1.0</v>
      </c>
      <c r="G312" s="65">
        <v>0.251702495</v>
      </c>
      <c r="H312" s="65">
        <v>0.920134007</v>
      </c>
      <c r="I312" s="65">
        <v>0.234077329</v>
      </c>
      <c r="J312" s="65">
        <v>0.742143862</v>
      </c>
      <c r="K312" s="65">
        <v>1.0</v>
      </c>
      <c r="L312" s="65">
        <v>0.5</v>
      </c>
      <c r="M312" s="65">
        <v>0.65631363</v>
      </c>
      <c r="N312" s="48">
        <f t="shared" si="1"/>
        <v>0.5007589473</v>
      </c>
      <c r="O312" s="48">
        <f t="shared" si="2"/>
        <v>55.79840697</v>
      </c>
      <c r="P312" s="46">
        <v>4519.331994</v>
      </c>
      <c r="Q312" s="46">
        <v>0.156049</v>
      </c>
      <c r="R312" s="46">
        <v>0.834534</v>
      </c>
      <c r="S312" s="46">
        <v>0.631265</v>
      </c>
      <c r="T312" s="46">
        <v>0.365419</v>
      </c>
      <c r="U312" s="46">
        <v>0.99611</v>
      </c>
      <c r="V312" s="46">
        <v>0.631265</v>
      </c>
      <c r="W312" s="46">
        <v>0.834534</v>
      </c>
      <c r="X312" s="46">
        <v>0.351907</v>
      </c>
      <c r="Y312" s="46">
        <v>0.906899</v>
      </c>
      <c r="Z312" s="46">
        <v>0.693924</v>
      </c>
      <c r="AA312" s="46">
        <v>0.102582</v>
      </c>
      <c r="AB312" s="46">
        <v>0.026891</v>
      </c>
      <c r="AC312" s="46">
        <v>0.083333</v>
      </c>
      <c r="AD312" s="46">
        <v>0.210762</v>
      </c>
      <c r="AE312" s="46">
        <v>0.119441</v>
      </c>
      <c r="AF312" s="46">
        <v>0.458577</v>
      </c>
      <c r="AG312" s="46">
        <v>0.013369</v>
      </c>
      <c r="AH312" s="46">
        <v>0.847934</v>
      </c>
      <c r="AI312" s="46">
        <v>0.026323</v>
      </c>
      <c r="AJ312" s="46">
        <v>0.8423</v>
      </c>
      <c r="AK312" s="46">
        <v>0.999556</v>
      </c>
      <c r="AL312" s="46">
        <v>0.8351</v>
      </c>
      <c r="AM312" s="46">
        <v>0.909957</v>
      </c>
      <c r="AN312" s="46">
        <v>0.865079</v>
      </c>
      <c r="AO312" s="49"/>
      <c r="AP312" s="49"/>
      <c r="AQ312" s="49"/>
    </row>
    <row r="313">
      <c r="A313" s="13"/>
      <c r="B313" s="13"/>
      <c r="C313" s="46">
        <v>2.0</v>
      </c>
      <c r="D313" s="47">
        <v>1.0</v>
      </c>
      <c r="E313" s="47">
        <v>1.0</v>
      </c>
      <c r="F313" s="65">
        <v>1.0</v>
      </c>
      <c r="G313" s="65">
        <v>0.509509449</v>
      </c>
      <c r="H313" s="65">
        <v>0.815330929</v>
      </c>
      <c r="I313" s="65">
        <v>0.186512633</v>
      </c>
      <c r="J313" s="65">
        <v>0.7962774</v>
      </c>
      <c r="K313" s="65">
        <v>1.0</v>
      </c>
      <c r="L313" s="65">
        <v>0.5</v>
      </c>
      <c r="M313" s="65">
        <v>0.626632277</v>
      </c>
      <c r="N313" s="48">
        <f t="shared" si="1"/>
        <v>0.4731626083</v>
      </c>
      <c r="O313" s="48">
        <f t="shared" si="2"/>
        <v>52.9433423</v>
      </c>
      <c r="P313" s="46">
        <v>4519.331994</v>
      </c>
      <c r="Q313" s="46">
        <v>0.155998</v>
      </c>
      <c r="R313" s="46">
        <v>0.662775</v>
      </c>
      <c r="S313" s="46">
        <v>0.569458</v>
      </c>
      <c r="T313" s="46">
        <v>0.416773</v>
      </c>
      <c r="U313" s="46">
        <v>0.996281</v>
      </c>
      <c r="V313" s="46">
        <v>0.569458</v>
      </c>
      <c r="W313" s="46">
        <v>0.662775</v>
      </c>
      <c r="X313" s="46">
        <v>0.326833</v>
      </c>
      <c r="Y313" s="46">
        <v>0.794314</v>
      </c>
      <c r="Z313" s="46">
        <v>0.603439</v>
      </c>
      <c r="AA313" s="46">
        <v>0.065656</v>
      </c>
      <c r="AB313" s="46">
        <v>0.010874</v>
      </c>
      <c r="AC313" s="46">
        <v>0.243697</v>
      </c>
      <c r="AD313" s="46">
        <v>0.130045</v>
      </c>
      <c r="AE313" s="46">
        <v>0.169591</v>
      </c>
      <c r="AF313" s="46">
        <v>0.360547</v>
      </c>
      <c r="AG313" s="46">
        <v>0.007031</v>
      </c>
      <c r="AH313" s="46">
        <v>0.915702</v>
      </c>
      <c r="AI313" s="46">
        <v>0.013956</v>
      </c>
      <c r="AJ313" s="46">
        <v>0.778911</v>
      </c>
      <c r="AK313" s="46">
        <v>0.99959</v>
      </c>
      <c r="AL313" s="46">
        <v>0.662627</v>
      </c>
      <c r="AM313" s="46">
        <v>0.796954</v>
      </c>
      <c r="AN313" s="46">
        <v>0.782438</v>
      </c>
      <c r="AO313" s="49"/>
      <c r="AP313" s="49"/>
      <c r="AQ313" s="49"/>
    </row>
    <row r="314">
      <c r="A314" s="13"/>
      <c r="B314" s="13"/>
      <c r="C314" s="46">
        <v>3.0</v>
      </c>
      <c r="D314" s="47">
        <v>1.0</v>
      </c>
      <c r="E314" s="47">
        <v>1.0</v>
      </c>
      <c r="F314" s="65">
        <v>1.0</v>
      </c>
      <c r="G314" s="65">
        <v>0.129297105</v>
      </c>
      <c r="H314" s="65">
        <v>0.963313635</v>
      </c>
      <c r="I314" s="65">
        <v>0.024684393</v>
      </c>
      <c r="J314" s="65">
        <v>0.680056507</v>
      </c>
      <c r="K314" s="65">
        <v>1.0</v>
      </c>
      <c r="L314" s="65">
        <v>0.5</v>
      </c>
      <c r="M314" s="65">
        <v>0.448006376</v>
      </c>
      <c r="N314" s="48">
        <f t="shared" si="1"/>
        <v>0.5586591943</v>
      </c>
      <c r="O314" s="48">
        <f t="shared" si="2"/>
        <v>51.14484283</v>
      </c>
      <c r="P314" s="46">
        <v>4519.331994</v>
      </c>
      <c r="Q314" s="46">
        <v>0.155842</v>
      </c>
      <c r="R314" s="46">
        <v>0.915759</v>
      </c>
      <c r="S314" s="46">
        <v>0.70804</v>
      </c>
      <c r="T314" s="46">
        <v>0.451809</v>
      </c>
      <c r="U314" s="46">
        <v>0.996239</v>
      </c>
      <c r="V314" s="46">
        <v>0.70804</v>
      </c>
      <c r="W314" s="46">
        <v>0.915759</v>
      </c>
      <c r="X314" s="46">
        <v>0.453125</v>
      </c>
      <c r="Y314" s="46">
        <v>0.953229</v>
      </c>
      <c r="Z314" s="46">
        <v>0.77982</v>
      </c>
      <c r="AA314" s="46">
        <v>0.149818</v>
      </c>
      <c r="AB314" s="46">
        <v>0.056192</v>
      </c>
      <c r="AC314" s="46">
        <v>0.330739</v>
      </c>
      <c r="AD314" s="46">
        <v>0.381166</v>
      </c>
      <c r="AE314" s="46">
        <v>0.354167</v>
      </c>
      <c r="AF314" s="46">
        <v>0.617158</v>
      </c>
      <c r="AG314" s="46">
        <v>0.02527</v>
      </c>
      <c r="AH314" s="46">
        <v>0.826446</v>
      </c>
      <c r="AI314" s="46">
        <v>0.049041</v>
      </c>
      <c r="AJ314" s="46">
        <v>0.870459</v>
      </c>
      <c r="AK314" s="46">
        <v>0.999416</v>
      </c>
      <c r="AL314" s="46">
        <v>0.916507</v>
      </c>
      <c r="AM314" s="46">
        <v>0.956168</v>
      </c>
      <c r="AN314" s="46">
        <v>0.882753</v>
      </c>
      <c r="AO314" s="49"/>
      <c r="AP314" s="49"/>
      <c r="AQ314" s="49"/>
    </row>
    <row r="315">
      <c r="A315" s="16"/>
      <c r="B315" s="16"/>
      <c r="C315" s="46">
        <v>4.0</v>
      </c>
      <c r="D315" s="47">
        <v>1.0</v>
      </c>
      <c r="E315" s="47">
        <v>1.0</v>
      </c>
      <c r="F315" s="65">
        <v>1.0</v>
      </c>
      <c r="G315" s="65">
        <v>0.006743299</v>
      </c>
      <c r="H315" s="65">
        <v>0.999955989</v>
      </c>
      <c r="I315" s="65">
        <v>1.29E-6</v>
      </c>
      <c r="J315" s="65">
        <v>0.559134324</v>
      </c>
      <c r="K315" s="65">
        <v>1.0</v>
      </c>
      <c r="L315" s="65">
        <v>0.5</v>
      </c>
      <c r="M315" s="65">
        <v>0.084419275</v>
      </c>
      <c r="N315" s="48">
        <f t="shared" si="1"/>
        <v>0.8162733174</v>
      </c>
      <c r="O315" s="48">
        <f t="shared" si="2"/>
        <v>32.93654251</v>
      </c>
      <c r="P315" s="46">
        <v>4519.331994</v>
      </c>
      <c r="Q315" s="46">
        <v>0.15577</v>
      </c>
      <c r="R315" s="46">
        <v>0.997432</v>
      </c>
      <c r="S315" s="46">
        <v>0.826265</v>
      </c>
      <c r="T315" s="46">
        <v>0.709521</v>
      </c>
      <c r="U315" s="46">
        <v>0.997835</v>
      </c>
      <c r="V315" s="46">
        <v>0.826265</v>
      </c>
      <c r="W315" s="46">
        <v>0.997432</v>
      </c>
      <c r="X315" s="46">
        <v>0.759167</v>
      </c>
      <c r="Y315" s="46">
        <v>0.997599</v>
      </c>
      <c r="Z315" s="46">
        <v>0.873532</v>
      </c>
      <c r="AA315" s="46">
        <v>0.684891</v>
      </c>
      <c r="AB315" s="46">
        <v>0.68025</v>
      </c>
      <c r="AC315" s="46">
        <v>0.5375</v>
      </c>
      <c r="AD315" s="46">
        <v>0.7713</v>
      </c>
      <c r="AE315" s="46">
        <v>0.633517</v>
      </c>
      <c r="AF315" s="46">
        <v>0.877957</v>
      </c>
      <c r="AG315" s="46">
        <v>0.591724</v>
      </c>
      <c r="AH315" s="46">
        <v>0.709091</v>
      </c>
      <c r="AI315" s="46">
        <v>0.645113</v>
      </c>
      <c r="AJ315" s="46">
        <v>0.841538</v>
      </c>
      <c r="AK315" s="46">
        <v>0.999339</v>
      </c>
      <c r="AL315" s="46">
        <v>0.998403</v>
      </c>
      <c r="AM315" s="46">
        <v>0.99887</v>
      </c>
      <c r="AN315" s="46">
        <v>0.902172</v>
      </c>
      <c r="AO315" s="49"/>
      <c r="AP315" s="49"/>
      <c r="AQ315" s="49"/>
    </row>
    <row r="316">
      <c r="A316" s="71"/>
      <c r="B316" s="72"/>
      <c r="C316" s="72"/>
      <c r="D316" s="73"/>
      <c r="E316" s="73"/>
      <c r="F316" s="73"/>
      <c r="G316" s="73"/>
      <c r="H316" s="73"/>
      <c r="I316" s="73"/>
      <c r="J316" s="73"/>
      <c r="K316" s="73"/>
      <c r="L316" s="73"/>
      <c r="M316" s="73"/>
      <c r="N316" s="73"/>
      <c r="O316" s="73"/>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row>
    <row r="317">
      <c r="A317" s="71"/>
      <c r="B317" s="72"/>
      <c r="C317" s="72"/>
      <c r="D317" s="73"/>
      <c r="E317" s="73"/>
      <c r="F317" s="73"/>
      <c r="G317" s="73"/>
      <c r="H317" s="73"/>
      <c r="I317" s="73"/>
      <c r="J317" s="73"/>
      <c r="K317" s="73"/>
      <c r="L317" s="73"/>
      <c r="M317" s="73"/>
      <c r="N317" s="73"/>
      <c r="O317" s="73"/>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row>
    <row r="318">
      <c r="A318" s="71"/>
      <c r="B318" s="72"/>
      <c r="C318" s="72"/>
      <c r="D318" s="73"/>
      <c r="E318" s="73"/>
      <c r="F318" s="73"/>
      <c r="G318" s="73"/>
      <c r="H318" s="73"/>
      <c r="I318" s="73"/>
      <c r="J318" s="73"/>
      <c r="K318" s="73"/>
      <c r="L318" s="73"/>
      <c r="M318" s="73"/>
      <c r="N318" s="73"/>
      <c r="O318" s="73"/>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row>
    <row r="319">
      <c r="A319" s="71"/>
      <c r="B319" s="72"/>
      <c r="C319" s="72"/>
      <c r="D319" s="73"/>
      <c r="E319" s="73"/>
      <c r="F319" s="73"/>
      <c r="G319" s="73"/>
      <c r="H319" s="73"/>
      <c r="I319" s="73"/>
      <c r="J319" s="73"/>
      <c r="K319" s="73"/>
      <c r="L319" s="73"/>
      <c r="M319" s="73"/>
      <c r="N319" s="73"/>
      <c r="O319" s="73"/>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row>
    <row r="320">
      <c r="A320" s="71"/>
      <c r="B320" s="72"/>
      <c r="C320" s="72"/>
      <c r="D320" s="73"/>
      <c r="E320" s="73"/>
      <c r="F320" s="73"/>
      <c r="G320" s="73"/>
      <c r="H320" s="73"/>
      <c r="I320" s="73"/>
      <c r="J320" s="73"/>
      <c r="K320" s="73"/>
      <c r="L320" s="73"/>
      <c r="M320" s="73"/>
      <c r="N320" s="73"/>
      <c r="O320" s="73"/>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row>
    <row r="321">
      <c r="A321" s="71"/>
      <c r="B321" s="72"/>
      <c r="C321" s="72"/>
      <c r="D321" s="73"/>
      <c r="E321" s="73"/>
      <c r="F321" s="73"/>
      <c r="G321" s="73"/>
      <c r="H321" s="73"/>
      <c r="I321" s="73"/>
      <c r="J321" s="73"/>
      <c r="K321" s="73"/>
      <c r="L321" s="73"/>
      <c r="M321" s="73"/>
      <c r="N321" s="73"/>
      <c r="O321" s="73"/>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row>
    <row r="322">
      <c r="A322" s="71"/>
      <c r="B322" s="72"/>
      <c r="C322" s="72"/>
      <c r="D322" s="73"/>
      <c r="E322" s="73"/>
      <c r="F322" s="73"/>
      <c r="G322" s="73"/>
      <c r="H322" s="73"/>
      <c r="I322" s="73"/>
      <c r="J322" s="73"/>
      <c r="K322" s="73"/>
      <c r="L322" s="73"/>
      <c r="M322" s="73"/>
      <c r="N322" s="73"/>
      <c r="O322" s="73"/>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row>
    <row r="323">
      <c r="A323" s="71"/>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row>
    <row r="324">
      <c r="A324" s="71"/>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row>
    <row r="325">
      <c r="A325" s="71"/>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row>
    <row r="326">
      <c r="A326" s="71"/>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row>
    <row r="327">
      <c r="A327" s="71"/>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row>
    <row r="328">
      <c r="A328" s="71"/>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row>
    <row r="329">
      <c r="A329" s="71"/>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row>
    <row r="330">
      <c r="A330" s="71"/>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row>
    <row r="331">
      <c r="A331" s="71"/>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row>
    <row r="332">
      <c r="A332" s="71"/>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row>
    <row r="333">
      <c r="A333" s="71"/>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row>
    <row r="334">
      <c r="A334" s="71"/>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row>
    <row r="335">
      <c r="A335" s="71"/>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row>
    <row r="336">
      <c r="A336" s="71"/>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row>
    <row r="337">
      <c r="A337" s="71"/>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row>
    <row r="338">
      <c r="A338" s="71"/>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row>
    <row r="339">
      <c r="A339" s="71"/>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row>
    <row r="340">
      <c r="A340" s="71"/>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row>
    <row r="341">
      <c r="A341" s="71"/>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row>
    <row r="342">
      <c r="A342" s="71"/>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row>
    <row r="343">
      <c r="A343" s="71"/>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row>
    <row r="344">
      <c r="A344" s="71"/>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row>
    <row r="345">
      <c r="A345" s="71"/>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row>
    <row r="346">
      <c r="A346" s="71"/>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row>
    <row r="347">
      <c r="A347" s="71"/>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row>
    <row r="348">
      <c r="A348" s="71"/>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row>
    <row r="349">
      <c r="A349" s="71"/>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row>
    <row r="350">
      <c r="A350" s="71"/>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row>
    <row r="351">
      <c r="A351" s="71"/>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row>
    <row r="352">
      <c r="A352" s="71"/>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row>
    <row r="353">
      <c r="A353" s="71"/>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row>
    <row r="354">
      <c r="A354" s="71"/>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row>
    <row r="355">
      <c r="A355" s="71"/>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row>
    <row r="356">
      <c r="A356" s="71"/>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row>
    <row r="357">
      <c r="A357" s="71"/>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row>
    <row r="358">
      <c r="A358" s="71"/>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row>
    <row r="359">
      <c r="A359" s="71"/>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row>
    <row r="360">
      <c r="A360" s="71"/>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row>
    <row r="361">
      <c r="A361" s="71"/>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row>
    <row r="362">
      <c r="A362" s="71"/>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row>
    <row r="363">
      <c r="A363" s="71"/>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row>
    <row r="364">
      <c r="A364" s="71"/>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row>
    <row r="365">
      <c r="A365" s="71"/>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row>
    <row r="366">
      <c r="A366" s="71"/>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row>
    <row r="367">
      <c r="A367" s="71"/>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row>
    <row r="368">
      <c r="A368" s="71"/>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row>
    <row r="369">
      <c r="A369" s="71"/>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row>
    <row r="370">
      <c r="A370" s="71"/>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row>
    <row r="371">
      <c r="A371" s="71"/>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row>
    <row r="372">
      <c r="A372" s="71"/>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row>
    <row r="373">
      <c r="A373" s="71"/>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row>
    <row r="374">
      <c r="A374" s="71"/>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row>
    <row r="375">
      <c r="A375" s="71"/>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row>
    <row r="376">
      <c r="A376" s="71"/>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row>
    <row r="377">
      <c r="A377" s="71"/>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row>
    <row r="378">
      <c r="A378" s="71"/>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row>
    <row r="379">
      <c r="A379" s="71"/>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row>
    <row r="380">
      <c r="A380" s="71"/>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row>
    <row r="381">
      <c r="A381" s="71"/>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row>
    <row r="382">
      <c r="A382" s="71"/>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row>
    <row r="383">
      <c r="A383" s="71"/>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row>
    <row r="384">
      <c r="A384" s="71"/>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row>
    <row r="385">
      <c r="A385" s="71"/>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row>
    <row r="386">
      <c r="A386" s="71"/>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row>
    <row r="387">
      <c r="A387" s="71"/>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row>
    <row r="388">
      <c r="A388" s="71"/>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row>
    <row r="389">
      <c r="A389" s="71"/>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row>
    <row r="390">
      <c r="A390" s="71"/>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row>
    <row r="391">
      <c r="A391" s="71"/>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row>
    <row r="392">
      <c r="A392" s="71"/>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row>
    <row r="393">
      <c r="A393" s="71"/>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row>
    <row r="394">
      <c r="A394" s="71"/>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row>
    <row r="395">
      <c r="A395" s="71"/>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row>
    <row r="396">
      <c r="A396" s="71"/>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row>
    <row r="397">
      <c r="A397" s="71"/>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row>
    <row r="398">
      <c r="A398" s="71"/>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row>
    <row r="399">
      <c r="A399" s="71"/>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row>
    <row r="400">
      <c r="A400" s="71"/>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row>
    <row r="401">
      <c r="A401" s="71"/>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row>
    <row r="402">
      <c r="A402" s="71"/>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row>
    <row r="403">
      <c r="A403" s="71"/>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row>
    <row r="404">
      <c r="A404" s="71"/>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row>
    <row r="405">
      <c r="A405" s="71"/>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row>
    <row r="406">
      <c r="A406" s="71"/>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row>
    <row r="407">
      <c r="A407" s="71"/>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row>
    <row r="408">
      <c r="A408" s="71"/>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row>
    <row r="409">
      <c r="A409" s="71"/>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row>
    <row r="410">
      <c r="A410" s="71"/>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row>
    <row r="411">
      <c r="A411" s="71"/>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row>
    <row r="412">
      <c r="A412" s="71"/>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row>
    <row r="413">
      <c r="A413" s="71"/>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row>
    <row r="414">
      <c r="A414" s="71"/>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row>
    <row r="415">
      <c r="A415" s="71"/>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row>
    <row r="416">
      <c r="A416" s="71"/>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row>
    <row r="417">
      <c r="A417" s="71"/>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row>
    <row r="418">
      <c r="A418" s="71"/>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row>
    <row r="419">
      <c r="A419" s="71"/>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row>
    <row r="420">
      <c r="A420" s="71"/>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row>
    <row r="421">
      <c r="A421" s="71"/>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row>
    <row r="422">
      <c r="A422" s="71"/>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row>
    <row r="423">
      <c r="A423" s="71"/>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row>
    <row r="424">
      <c r="A424" s="71"/>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row>
    <row r="425">
      <c r="A425" s="71"/>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row>
    <row r="426">
      <c r="A426" s="71"/>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row>
    <row r="427">
      <c r="A427" s="71"/>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row>
    <row r="428">
      <c r="A428" s="71"/>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row>
    <row r="429">
      <c r="A429" s="71"/>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row>
    <row r="430">
      <c r="A430" s="71"/>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row>
    <row r="431">
      <c r="A431" s="71"/>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row>
    <row r="432">
      <c r="A432" s="71"/>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row>
    <row r="433">
      <c r="A433" s="71"/>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row>
    <row r="434">
      <c r="A434" s="71"/>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row>
    <row r="435">
      <c r="A435" s="71"/>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row>
    <row r="436">
      <c r="A436" s="71"/>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row>
    <row r="437">
      <c r="A437" s="71"/>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row>
    <row r="438">
      <c r="A438" s="71"/>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row>
    <row r="439">
      <c r="A439" s="71"/>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row>
    <row r="440">
      <c r="A440" s="71"/>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row>
    <row r="441">
      <c r="A441" s="71"/>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row>
    <row r="442">
      <c r="A442" s="71"/>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row>
    <row r="443">
      <c r="A443" s="71"/>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row>
    <row r="444">
      <c r="A444" s="71"/>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row>
    <row r="445">
      <c r="A445" s="71"/>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row>
    <row r="446">
      <c r="A446" s="71"/>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row>
    <row r="447">
      <c r="A447" s="71"/>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row>
    <row r="448">
      <c r="A448" s="71"/>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row>
    <row r="449">
      <c r="A449" s="71"/>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row>
    <row r="450">
      <c r="A450" s="71"/>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row>
    <row r="451">
      <c r="A451" s="71"/>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row>
    <row r="452">
      <c r="A452" s="71"/>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row>
    <row r="453">
      <c r="A453" s="71"/>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row>
    <row r="454">
      <c r="A454" s="71"/>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row>
    <row r="455">
      <c r="A455" s="71"/>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row>
    <row r="456">
      <c r="A456" s="71"/>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row>
    <row r="457">
      <c r="A457" s="71"/>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row>
    <row r="458">
      <c r="A458" s="71"/>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row>
    <row r="459">
      <c r="A459" s="71"/>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row>
    <row r="460">
      <c r="A460" s="71"/>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row>
    <row r="461">
      <c r="A461" s="71"/>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row>
    <row r="462">
      <c r="A462" s="71"/>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row>
    <row r="463">
      <c r="A463" s="71"/>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row>
    <row r="464">
      <c r="A464" s="71"/>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row>
    <row r="465">
      <c r="A465" s="71"/>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row>
    <row r="466">
      <c r="A466" s="71"/>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row>
    <row r="467">
      <c r="A467" s="71"/>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row>
    <row r="468">
      <c r="A468" s="71"/>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row>
    <row r="469">
      <c r="A469" s="71"/>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row>
    <row r="470">
      <c r="A470" s="71"/>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row>
    <row r="471">
      <c r="A471" s="71"/>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row>
    <row r="472">
      <c r="A472" s="71"/>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row>
    <row r="473">
      <c r="A473" s="71"/>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row>
    <row r="474">
      <c r="A474" s="71"/>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row>
    <row r="475">
      <c r="A475" s="71"/>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row>
    <row r="476">
      <c r="A476" s="71"/>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row>
    <row r="477">
      <c r="A477" s="71"/>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row>
    <row r="478">
      <c r="A478" s="71"/>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row>
    <row r="479">
      <c r="A479" s="71"/>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row>
    <row r="480">
      <c r="A480" s="71"/>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row>
    <row r="481">
      <c r="A481" s="71"/>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row>
    <row r="482">
      <c r="A482" s="71"/>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row>
    <row r="483">
      <c r="A483" s="71"/>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row>
    <row r="484">
      <c r="A484" s="71"/>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row>
    <row r="485">
      <c r="A485" s="71"/>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row>
    <row r="486">
      <c r="A486" s="71"/>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row>
    <row r="487">
      <c r="A487" s="71"/>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row>
    <row r="488">
      <c r="A488" s="71"/>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row>
    <row r="489">
      <c r="A489" s="71"/>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row>
    <row r="490">
      <c r="A490" s="71"/>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row>
    <row r="491">
      <c r="A491" s="71"/>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row>
    <row r="492">
      <c r="A492" s="71"/>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row>
    <row r="493">
      <c r="A493" s="71"/>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row>
    <row r="494">
      <c r="A494" s="71"/>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row>
    <row r="495">
      <c r="A495" s="71"/>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row>
    <row r="496">
      <c r="A496" s="71"/>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row>
    <row r="497">
      <c r="A497" s="71"/>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row>
    <row r="498">
      <c r="A498" s="71"/>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row>
    <row r="499">
      <c r="A499" s="71"/>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row>
    <row r="500">
      <c r="A500" s="71"/>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row>
    <row r="501">
      <c r="A501" s="71"/>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row>
    <row r="502">
      <c r="A502" s="71"/>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row>
    <row r="503">
      <c r="A503" s="71"/>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row>
    <row r="504">
      <c r="A504" s="71"/>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row>
    <row r="505">
      <c r="A505" s="71"/>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row>
    <row r="506">
      <c r="A506" s="71"/>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row>
    <row r="507">
      <c r="A507" s="71"/>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row>
    <row r="508">
      <c r="A508" s="71"/>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row>
    <row r="509">
      <c r="A509" s="71"/>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row>
    <row r="510">
      <c r="A510" s="71"/>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row>
    <row r="511">
      <c r="A511" s="71"/>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row>
    <row r="512">
      <c r="A512" s="71"/>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row>
    <row r="513">
      <c r="A513" s="71"/>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row>
    <row r="514">
      <c r="A514" s="71"/>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row>
    <row r="515">
      <c r="A515" s="71"/>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row>
    <row r="516">
      <c r="A516" s="71"/>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row>
    <row r="517">
      <c r="A517" s="71"/>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row>
    <row r="518">
      <c r="A518" s="71"/>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row>
    <row r="519">
      <c r="A519" s="71"/>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row>
    <row r="520">
      <c r="A520" s="71"/>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row>
    <row r="521">
      <c r="A521" s="71"/>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row>
    <row r="522">
      <c r="A522" s="71"/>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row>
    <row r="523">
      <c r="A523" s="71"/>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row>
    <row r="524">
      <c r="A524" s="71"/>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row>
    <row r="525">
      <c r="A525" s="71"/>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row>
    <row r="526">
      <c r="A526" s="71"/>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row>
    <row r="527">
      <c r="A527" s="71"/>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row>
    <row r="528">
      <c r="A528" s="71"/>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row>
    <row r="529">
      <c r="A529" s="71"/>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row>
    <row r="530">
      <c r="A530" s="71"/>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row>
    <row r="531">
      <c r="A531" s="71"/>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row>
    <row r="532">
      <c r="A532" s="71"/>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row>
    <row r="533">
      <c r="A533" s="71"/>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row>
    <row r="534">
      <c r="A534" s="71"/>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row>
    <row r="535">
      <c r="A535" s="71"/>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row>
    <row r="536">
      <c r="A536" s="71"/>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row>
    <row r="537">
      <c r="A537" s="71"/>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row>
    <row r="538">
      <c r="A538" s="71"/>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row>
    <row r="539">
      <c r="A539" s="71"/>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row>
    <row r="540">
      <c r="A540" s="71"/>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row>
    <row r="541">
      <c r="A541" s="71"/>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row>
    <row r="542">
      <c r="A542" s="71"/>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row>
    <row r="543">
      <c r="A543" s="71"/>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row>
    <row r="544">
      <c r="A544" s="71"/>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row>
    <row r="545">
      <c r="A545" s="71"/>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row>
    <row r="546">
      <c r="A546" s="71"/>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row>
    <row r="547">
      <c r="A547" s="71"/>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row>
    <row r="548">
      <c r="A548" s="71"/>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row>
    <row r="549">
      <c r="A549" s="71"/>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row>
    <row r="550">
      <c r="A550" s="71"/>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row>
    <row r="551">
      <c r="A551" s="71"/>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row>
    <row r="552">
      <c r="A552" s="71"/>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row>
    <row r="553">
      <c r="A553" s="71"/>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row>
    <row r="554">
      <c r="A554" s="71"/>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row>
    <row r="555">
      <c r="A555" s="71"/>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row>
    <row r="556">
      <c r="A556" s="71"/>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row>
    <row r="557">
      <c r="A557" s="71"/>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row>
    <row r="558">
      <c r="A558" s="71"/>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row>
    <row r="559">
      <c r="A559" s="71"/>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row>
    <row r="560">
      <c r="A560" s="71"/>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row>
    <row r="561">
      <c r="A561" s="71"/>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row>
    <row r="562">
      <c r="A562" s="71"/>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row>
    <row r="563">
      <c r="A563" s="71"/>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row>
    <row r="564">
      <c r="A564" s="71"/>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row>
    <row r="565">
      <c r="A565" s="71"/>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row>
    <row r="566">
      <c r="A566" s="71"/>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row>
    <row r="567">
      <c r="A567" s="71"/>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row>
    <row r="568">
      <c r="A568" s="71"/>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row>
    <row r="569">
      <c r="A569" s="71"/>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row>
    <row r="570">
      <c r="A570" s="71"/>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row>
    <row r="571">
      <c r="A571" s="71"/>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row>
    <row r="572">
      <c r="A572" s="71"/>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row>
    <row r="573">
      <c r="A573" s="71"/>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row>
    <row r="574">
      <c r="A574" s="71"/>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row>
    <row r="575">
      <c r="A575" s="71"/>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row>
    <row r="576">
      <c r="A576" s="71"/>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row>
    <row r="577">
      <c r="A577" s="71"/>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row>
    <row r="578">
      <c r="A578" s="71"/>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row>
    <row r="579">
      <c r="A579" s="71"/>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row>
    <row r="580">
      <c r="A580" s="71"/>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row>
    <row r="581">
      <c r="A581" s="71"/>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row>
    <row r="582">
      <c r="A582" s="71"/>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row>
    <row r="583">
      <c r="A583" s="71"/>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row>
    <row r="584">
      <c r="A584" s="71"/>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row>
    <row r="585">
      <c r="A585" s="71"/>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row>
    <row r="586">
      <c r="A586" s="71"/>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row>
    <row r="587">
      <c r="A587" s="71"/>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row>
    <row r="588">
      <c r="A588" s="71"/>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row>
    <row r="589">
      <c r="A589" s="71"/>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row>
    <row r="590">
      <c r="A590" s="71"/>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row>
    <row r="591">
      <c r="A591" s="71"/>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row>
    <row r="592">
      <c r="A592" s="71"/>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row>
    <row r="593">
      <c r="A593" s="71"/>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row>
    <row r="594">
      <c r="A594" s="71"/>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row>
    <row r="595">
      <c r="A595" s="71"/>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row>
    <row r="596">
      <c r="A596" s="71"/>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row>
    <row r="597">
      <c r="A597" s="71"/>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row>
    <row r="598">
      <c r="A598" s="71"/>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row>
    <row r="599">
      <c r="A599" s="71"/>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row>
    <row r="600">
      <c r="A600" s="71"/>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row>
    <row r="601">
      <c r="A601" s="71"/>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row>
    <row r="602">
      <c r="A602" s="71"/>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row>
    <row r="603">
      <c r="A603" s="71"/>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row>
    <row r="604">
      <c r="A604" s="71"/>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row>
    <row r="605">
      <c r="A605" s="71"/>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row>
    <row r="606">
      <c r="A606" s="71"/>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row>
    <row r="607">
      <c r="A607" s="71"/>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row>
    <row r="608">
      <c r="A608" s="71"/>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row>
    <row r="609">
      <c r="A609" s="71"/>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row>
    <row r="610">
      <c r="A610" s="71"/>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row>
    <row r="611">
      <c r="A611" s="71"/>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row>
    <row r="612">
      <c r="A612" s="71"/>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row>
    <row r="613">
      <c r="A613" s="71"/>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row>
    <row r="614">
      <c r="A614" s="71"/>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row>
    <row r="615">
      <c r="A615" s="71"/>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row>
    <row r="616">
      <c r="A616" s="71"/>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row>
    <row r="617">
      <c r="A617" s="71"/>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row>
    <row r="618">
      <c r="A618" s="71"/>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row>
    <row r="619">
      <c r="A619" s="71"/>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row>
    <row r="620">
      <c r="A620" s="71"/>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row>
    <row r="621">
      <c r="A621" s="71"/>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row>
    <row r="622">
      <c r="A622" s="71"/>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row>
    <row r="623">
      <c r="A623" s="71"/>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row>
    <row r="624">
      <c r="A624" s="71"/>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row>
    <row r="625">
      <c r="A625" s="71"/>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row>
    <row r="626">
      <c r="A626" s="71"/>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row>
    <row r="627">
      <c r="A627" s="71"/>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row>
    <row r="628">
      <c r="A628" s="71"/>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row>
    <row r="629">
      <c r="A629" s="71"/>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row>
    <row r="630">
      <c r="A630" s="71"/>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row>
    <row r="631">
      <c r="A631" s="71"/>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row>
    <row r="632">
      <c r="A632" s="71"/>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row>
    <row r="633">
      <c r="A633" s="71"/>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row>
    <row r="634">
      <c r="A634" s="71"/>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row>
    <row r="635">
      <c r="A635" s="71"/>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row>
    <row r="636">
      <c r="A636" s="71"/>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row>
    <row r="637">
      <c r="A637" s="71"/>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row>
    <row r="638">
      <c r="A638" s="71"/>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row>
    <row r="639">
      <c r="A639" s="71"/>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row>
    <row r="640">
      <c r="A640" s="71"/>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row>
    <row r="641">
      <c r="A641" s="71"/>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row>
    <row r="642">
      <c r="A642" s="71"/>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row>
    <row r="643">
      <c r="A643" s="71"/>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row>
    <row r="644">
      <c r="A644" s="71"/>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row>
    <row r="645">
      <c r="A645" s="71"/>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row>
    <row r="646">
      <c r="A646" s="71"/>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row>
    <row r="647">
      <c r="A647" s="71"/>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row>
    <row r="648">
      <c r="A648" s="71"/>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row>
    <row r="649">
      <c r="A649" s="71"/>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row>
    <row r="650">
      <c r="A650" s="71"/>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row>
    <row r="651">
      <c r="A651" s="71"/>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row>
    <row r="652">
      <c r="A652" s="71"/>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row>
    <row r="653">
      <c r="A653" s="71"/>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row>
    <row r="654">
      <c r="A654" s="71"/>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row>
    <row r="655">
      <c r="A655" s="71"/>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row>
    <row r="656">
      <c r="A656" s="71"/>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row>
    <row r="657">
      <c r="A657" s="71"/>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row>
    <row r="658">
      <c r="A658" s="71"/>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row>
    <row r="659">
      <c r="A659" s="71"/>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row>
    <row r="660">
      <c r="A660" s="71"/>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row>
    <row r="661">
      <c r="A661" s="71"/>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row>
    <row r="662">
      <c r="A662" s="71"/>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row>
    <row r="663">
      <c r="A663" s="71"/>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row>
    <row r="664">
      <c r="A664" s="71"/>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row>
    <row r="665">
      <c r="A665" s="71"/>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row>
    <row r="666">
      <c r="A666" s="71"/>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row>
    <row r="667">
      <c r="A667" s="71"/>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row>
    <row r="668">
      <c r="A668" s="71"/>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row>
    <row r="669">
      <c r="A669" s="71"/>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row>
    <row r="670">
      <c r="A670" s="71"/>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row>
    <row r="671">
      <c r="A671" s="71"/>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row>
    <row r="672">
      <c r="A672" s="71"/>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row>
    <row r="673">
      <c r="A673" s="71"/>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row>
    <row r="674">
      <c r="A674" s="71"/>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row>
    <row r="675">
      <c r="A675" s="71"/>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row>
    <row r="676">
      <c r="A676" s="71"/>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row>
    <row r="677">
      <c r="A677" s="71"/>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row>
    <row r="678">
      <c r="A678" s="71"/>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row>
    <row r="679">
      <c r="A679" s="71"/>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row>
    <row r="680">
      <c r="A680" s="71"/>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row>
    <row r="681">
      <c r="A681" s="71"/>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row>
    <row r="682">
      <c r="A682" s="71"/>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row>
    <row r="683">
      <c r="A683" s="71"/>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row>
    <row r="684">
      <c r="A684" s="71"/>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row>
    <row r="685">
      <c r="A685" s="71"/>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row>
    <row r="686">
      <c r="A686" s="71"/>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row>
    <row r="687">
      <c r="A687" s="71"/>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row>
    <row r="688">
      <c r="A688" s="71"/>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row>
    <row r="689">
      <c r="A689" s="71"/>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row>
    <row r="690">
      <c r="A690" s="71"/>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row>
    <row r="691">
      <c r="A691" s="71"/>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row>
    <row r="692">
      <c r="A692" s="71"/>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row>
    <row r="693">
      <c r="A693" s="71"/>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row>
    <row r="694">
      <c r="A694" s="71"/>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row>
    <row r="695">
      <c r="A695" s="71"/>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row>
    <row r="696">
      <c r="A696" s="71"/>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row>
    <row r="697">
      <c r="A697" s="71"/>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row>
    <row r="698">
      <c r="A698" s="71"/>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row>
    <row r="699">
      <c r="A699" s="71"/>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row>
    <row r="700">
      <c r="A700" s="71"/>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row>
    <row r="701">
      <c r="A701" s="71"/>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row>
    <row r="702">
      <c r="A702" s="71"/>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row>
    <row r="703">
      <c r="A703" s="71"/>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row>
    <row r="704">
      <c r="A704" s="71"/>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row>
    <row r="705">
      <c r="A705" s="71"/>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row>
    <row r="706">
      <c r="A706" s="71"/>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row>
    <row r="707">
      <c r="A707" s="71"/>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row>
    <row r="708">
      <c r="A708" s="71"/>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row>
    <row r="709">
      <c r="A709" s="71"/>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row>
    <row r="710">
      <c r="A710" s="71"/>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row>
    <row r="711">
      <c r="A711" s="71"/>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row>
    <row r="712">
      <c r="A712" s="71"/>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row>
    <row r="713">
      <c r="A713" s="71"/>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row>
    <row r="714">
      <c r="A714" s="71"/>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row>
    <row r="715">
      <c r="A715" s="71"/>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row>
    <row r="716">
      <c r="A716" s="71"/>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row>
    <row r="717">
      <c r="A717" s="71"/>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row>
    <row r="718">
      <c r="A718" s="71"/>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row>
    <row r="719">
      <c r="A719" s="71"/>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row>
    <row r="720">
      <c r="A720" s="71"/>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row>
    <row r="721">
      <c r="A721" s="71"/>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row>
    <row r="722">
      <c r="A722" s="71"/>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row>
    <row r="723">
      <c r="A723" s="71"/>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row>
    <row r="724">
      <c r="A724" s="71"/>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row>
    <row r="725">
      <c r="A725" s="71"/>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row>
    <row r="726">
      <c r="A726" s="71"/>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row>
    <row r="727">
      <c r="A727" s="71"/>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row>
    <row r="728">
      <c r="A728" s="71"/>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row>
    <row r="729">
      <c r="A729" s="71"/>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row>
    <row r="730">
      <c r="A730" s="71"/>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row>
    <row r="731">
      <c r="A731" s="71"/>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row>
    <row r="732">
      <c r="A732" s="71"/>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row>
    <row r="733">
      <c r="A733" s="71"/>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row>
    <row r="734">
      <c r="A734" s="71"/>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row>
    <row r="735">
      <c r="A735" s="71"/>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row>
    <row r="736">
      <c r="A736" s="71"/>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row>
    <row r="737">
      <c r="A737" s="71"/>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row>
    <row r="738">
      <c r="A738" s="71"/>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row>
    <row r="739">
      <c r="A739" s="71"/>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row>
    <row r="740">
      <c r="A740" s="71"/>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row>
    <row r="741">
      <c r="A741" s="71"/>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row>
    <row r="742">
      <c r="A742" s="71"/>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row>
    <row r="743">
      <c r="A743" s="71"/>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row>
    <row r="744">
      <c r="A744" s="71"/>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row>
    <row r="745">
      <c r="A745" s="71"/>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row>
    <row r="746">
      <c r="A746" s="71"/>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row>
    <row r="747">
      <c r="A747" s="71"/>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row>
    <row r="748">
      <c r="A748" s="71"/>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row>
    <row r="749">
      <c r="A749" s="71"/>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row>
    <row r="750">
      <c r="A750" s="71"/>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row>
    <row r="751">
      <c r="A751" s="71"/>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row>
    <row r="752">
      <c r="A752" s="71"/>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row>
    <row r="753">
      <c r="A753" s="71"/>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row>
    <row r="754">
      <c r="A754" s="71"/>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row>
    <row r="755">
      <c r="A755" s="71"/>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row>
    <row r="756">
      <c r="A756" s="71"/>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row>
    <row r="757">
      <c r="A757" s="71"/>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row>
    <row r="758">
      <c r="A758" s="71"/>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row>
    <row r="759">
      <c r="A759" s="71"/>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row>
    <row r="760">
      <c r="A760" s="71"/>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row>
    <row r="761">
      <c r="A761" s="71"/>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row>
    <row r="762">
      <c r="A762" s="71"/>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row>
    <row r="763">
      <c r="A763" s="71"/>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row>
    <row r="764">
      <c r="A764" s="71"/>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row>
    <row r="765">
      <c r="A765" s="71"/>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row>
    <row r="766">
      <c r="A766" s="71"/>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row>
    <row r="767">
      <c r="A767" s="71"/>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row>
    <row r="768">
      <c r="A768" s="71"/>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row>
    <row r="769">
      <c r="A769" s="71"/>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row>
    <row r="770">
      <c r="A770" s="71"/>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row>
    <row r="771">
      <c r="A771" s="71"/>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row>
    <row r="772">
      <c r="A772" s="71"/>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row>
    <row r="773">
      <c r="A773" s="71"/>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row>
    <row r="774">
      <c r="A774" s="71"/>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row>
    <row r="775">
      <c r="A775" s="71"/>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row>
    <row r="776">
      <c r="A776" s="71"/>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row>
    <row r="777">
      <c r="A777" s="71"/>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row>
    <row r="778">
      <c r="A778" s="71"/>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row>
    <row r="779">
      <c r="A779" s="71"/>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row>
    <row r="780">
      <c r="A780" s="71"/>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row>
    <row r="781">
      <c r="A781" s="71"/>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row>
    <row r="782">
      <c r="A782" s="71"/>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row>
    <row r="783">
      <c r="A783" s="71"/>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row>
    <row r="784">
      <c r="A784" s="71"/>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row>
    <row r="785">
      <c r="A785" s="71"/>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row>
    <row r="786">
      <c r="A786" s="71"/>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row>
    <row r="787">
      <c r="A787" s="71"/>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row>
    <row r="788">
      <c r="A788" s="71"/>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row>
    <row r="789">
      <c r="A789" s="71"/>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row>
    <row r="790">
      <c r="A790" s="71"/>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row>
    <row r="791">
      <c r="A791" s="71"/>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row>
    <row r="792">
      <c r="A792" s="71"/>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row>
    <row r="793">
      <c r="A793" s="71"/>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row>
    <row r="794">
      <c r="A794" s="71"/>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row>
    <row r="795">
      <c r="A795" s="71"/>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row>
    <row r="796">
      <c r="A796" s="71"/>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row>
    <row r="797">
      <c r="A797" s="71"/>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row>
    <row r="798">
      <c r="A798" s="71"/>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row>
    <row r="799">
      <c r="A799" s="71"/>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row>
    <row r="800">
      <c r="A800" s="71"/>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row>
    <row r="801">
      <c r="A801" s="71"/>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row>
    <row r="802">
      <c r="A802" s="71"/>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row>
    <row r="803">
      <c r="A803" s="71"/>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row>
    <row r="804">
      <c r="A804" s="71"/>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row>
    <row r="805">
      <c r="A805" s="71"/>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row>
    <row r="806">
      <c r="A806" s="71"/>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row>
    <row r="807">
      <c r="A807" s="71"/>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row>
    <row r="808">
      <c r="A808" s="71"/>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row>
    <row r="809">
      <c r="A809" s="71"/>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row>
    <row r="810">
      <c r="A810" s="71"/>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row>
    <row r="811">
      <c r="A811" s="71"/>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row>
    <row r="812">
      <c r="A812" s="71"/>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row>
    <row r="813">
      <c r="A813" s="71"/>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row>
    <row r="814">
      <c r="A814" s="71"/>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row>
    <row r="815">
      <c r="A815" s="71"/>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row>
    <row r="816">
      <c r="A816" s="71"/>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row>
    <row r="817">
      <c r="A817" s="71"/>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row>
    <row r="818">
      <c r="A818" s="71"/>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row>
    <row r="819">
      <c r="A819" s="71"/>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row>
    <row r="820">
      <c r="A820" s="71"/>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row>
    <row r="821">
      <c r="A821" s="71"/>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row>
    <row r="822">
      <c r="A822" s="71"/>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row>
    <row r="823">
      <c r="A823" s="71"/>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row>
    <row r="824">
      <c r="A824" s="71"/>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row>
    <row r="825">
      <c r="A825" s="71"/>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row>
    <row r="826">
      <c r="A826" s="71"/>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row>
    <row r="827">
      <c r="A827" s="71"/>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row>
    <row r="828">
      <c r="A828" s="71"/>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row>
    <row r="829">
      <c r="A829" s="71"/>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row>
    <row r="830">
      <c r="A830" s="71"/>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row>
    <row r="831">
      <c r="A831" s="71"/>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row>
    <row r="832">
      <c r="A832" s="71"/>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row>
    <row r="833">
      <c r="A833" s="71"/>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row>
    <row r="834">
      <c r="A834" s="71"/>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row>
    <row r="835">
      <c r="A835" s="71"/>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row>
    <row r="836">
      <c r="A836" s="71"/>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row>
    <row r="837">
      <c r="A837" s="71"/>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row>
    <row r="838">
      <c r="A838" s="71"/>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row>
    <row r="839">
      <c r="A839" s="71"/>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row>
    <row r="840">
      <c r="A840" s="71"/>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row>
    <row r="841">
      <c r="A841" s="71"/>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row>
    <row r="842">
      <c r="A842" s="71"/>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row>
    <row r="843">
      <c r="A843" s="71"/>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row>
    <row r="844">
      <c r="A844" s="71"/>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row>
    <row r="845">
      <c r="A845" s="71"/>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row>
    <row r="846">
      <c r="A846" s="71"/>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row>
    <row r="847">
      <c r="A847" s="71"/>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row>
    <row r="848">
      <c r="A848" s="71"/>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row>
    <row r="849">
      <c r="A849" s="71"/>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row>
    <row r="850">
      <c r="A850" s="71"/>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row>
    <row r="851">
      <c r="A851" s="71"/>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row>
    <row r="852">
      <c r="A852" s="71"/>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row>
    <row r="853">
      <c r="A853" s="71"/>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row>
    <row r="854">
      <c r="A854" s="71"/>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row>
    <row r="855">
      <c r="A855" s="71"/>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row>
    <row r="856">
      <c r="A856" s="71"/>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row>
    <row r="857">
      <c r="A857" s="71"/>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row>
    <row r="858">
      <c r="A858" s="71"/>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row>
    <row r="859">
      <c r="A859" s="71"/>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row>
    <row r="860">
      <c r="A860" s="71"/>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row>
    <row r="861">
      <c r="A861" s="71"/>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row>
    <row r="862">
      <c r="A862" s="71"/>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row>
    <row r="863">
      <c r="A863" s="71"/>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row>
    <row r="864">
      <c r="A864" s="71"/>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row>
    <row r="865">
      <c r="A865" s="71"/>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row>
    <row r="866">
      <c r="A866" s="71"/>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row>
    <row r="867">
      <c r="A867" s="71"/>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row>
    <row r="868">
      <c r="A868" s="71"/>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row>
    <row r="869">
      <c r="A869" s="71"/>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row>
    <row r="870">
      <c r="A870" s="71"/>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row>
    <row r="871">
      <c r="A871" s="71"/>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row>
    <row r="872">
      <c r="A872" s="71"/>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row>
    <row r="873">
      <c r="A873" s="71"/>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row>
    <row r="874">
      <c r="A874" s="71"/>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row>
    <row r="875">
      <c r="A875" s="71"/>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row>
    <row r="876">
      <c r="A876" s="71"/>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row>
    <row r="877">
      <c r="A877" s="71"/>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row>
    <row r="878">
      <c r="A878" s="71"/>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row>
    <row r="879">
      <c r="A879" s="71"/>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row>
    <row r="880">
      <c r="A880" s="71"/>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row>
    <row r="881">
      <c r="A881" s="71"/>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row>
    <row r="882">
      <c r="A882" s="71"/>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row>
    <row r="883">
      <c r="A883" s="71"/>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row>
    <row r="884">
      <c r="A884" s="71"/>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row>
    <row r="885">
      <c r="A885" s="71"/>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row>
    <row r="886">
      <c r="A886" s="71"/>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row>
    <row r="887">
      <c r="A887" s="71"/>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row>
    <row r="888">
      <c r="A888" s="71"/>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row>
    <row r="889">
      <c r="A889" s="71"/>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row>
    <row r="890">
      <c r="A890" s="71"/>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row>
    <row r="891">
      <c r="A891" s="71"/>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row>
    <row r="892">
      <c r="A892" s="71"/>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row>
    <row r="893">
      <c r="A893" s="71"/>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row>
    <row r="894">
      <c r="A894" s="71"/>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row>
    <row r="895">
      <c r="A895" s="71"/>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row>
    <row r="896">
      <c r="A896" s="71"/>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row>
    <row r="897">
      <c r="A897" s="71"/>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row>
    <row r="898">
      <c r="A898" s="71"/>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row>
    <row r="899">
      <c r="A899" s="71"/>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row>
    <row r="900">
      <c r="A900" s="71"/>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row>
    <row r="901">
      <c r="A901" s="71"/>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row>
    <row r="902">
      <c r="A902" s="71"/>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row>
    <row r="903">
      <c r="A903" s="71"/>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row>
    <row r="904">
      <c r="A904" s="71"/>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row>
    <row r="905">
      <c r="A905" s="71"/>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row>
    <row r="906">
      <c r="A906" s="71"/>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row>
    <row r="907">
      <c r="A907" s="71"/>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row>
    <row r="908">
      <c r="A908" s="71"/>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row>
    <row r="909">
      <c r="A909" s="71"/>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row>
    <row r="910">
      <c r="A910" s="71"/>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row>
    <row r="911">
      <c r="A911" s="71"/>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row>
    <row r="912">
      <c r="A912" s="71"/>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row>
    <row r="913">
      <c r="A913" s="71"/>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row>
    <row r="914">
      <c r="A914" s="71"/>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row>
    <row r="915">
      <c r="A915" s="71"/>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row>
    <row r="916">
      <c r="A916" s="71"/>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row>
    <row r="917">
      <c r="A917" s="71"/>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row>
    <row r="918">
      <c r="A918" s="71"/>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row>
    <row r="919">
      <c r="A919" s="71"/>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row>
    <row r="920">
      <c r="A920" s="71"/>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row>
    <row r="921">
      <c r="A921" s="71"/>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row>
    <row r="922">
      <c r="A922" s="71"/>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row>
    <row r="923">
      <c r="A923" s="71"/>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row>
    <row r="924">
      <c r="A924" s="71"/>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row>
    <row r="925">
      <c r="A925" s="71"/>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row>
    <row r="926">
      <c r="A926" s="71"/>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row>
    <row r="927">
      <c r="A927" s="71"/>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row>
    <row r="928">
      <c r="A928" s="71"/>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row>
    <row r="929">
      <c r="A929" s="71"/>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row>
    <row r="930">
      <c r="A930" s="71"/>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row>
    <row r="931">
      <c r="A931" s="71"/>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row>
    <row r="932">
      <c r="A932" s="71"/>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row>
    <row r="933">
      <c r="A933" s="71"/>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row>
    <row r="934">
      <c r="A934" s="71"/>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row>
    <row r="935">
      <c r="A935" s="71"/>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row>
    <row r="936">
      <c r="A936" s="71"/>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row>
    <row r="937">
      <c r="A937" s="71"/>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row>
    <row r="938">
      <c r="A938" s="71"/>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row>
    <row r="939">
      <c r="A939" s="71"/>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row>
    <row r="940">
      <c r="A940" s="71"/>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row>
    <row r="941">
      <c r="A941" s="71"/>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row>
    <row r="942">
      <c r="A942" s="71"/>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row>
    <row r="943">
      <c r="A943" s="71"/>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row>
    <row r="944">
      <c r="A944" s="71"/>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row>
    <row r="945">
      <c r="A945" s="71"/>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row>
    <row r="946">
      <c r="A946" s="71"/>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row>
    <row r="947">
      <c r="A947" s="71"/>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row>
    <row r="948">
      <c r="A948" s="71"/>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row>
    <row r="949">
      <c r="A949" s="71"/>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row>
    <row r="950">
      <c r="A950" s="71"/>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row>
    <row r="951">
      <c r="A951" s="71"/>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row>
    <row r="952">
      <c r="A952" s="71"/>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row>
    <row r="953">
      <c r="A953" s="71"/>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row>
    <row r="954">
      <c r="A954" s="71"/>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row>
    <row r="955">
      <c r="A955" s="71"/>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row>
    <row r="956">
      <c r="A956" s="71"/>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row>
    <row r="957">
      <c r="A957" s="71"/>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row>
    <row r="958">
      <c r="A958" s="71"/>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row>
    <row r="959">
      <c r="A959" s="71"/>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row>
    <row r="960">
      <c r="A960" s="71"/>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row>
    <row r="961">
      <c r="A961" s="71"/>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row>
    <row r="962">
      <c r="A962" s="71"/>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row>
    <row r="963">
      <c r="A963" s="71"/>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row>
    <row r="964">
      <c r="A964" s="71"/>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row>
    <row r="965">
      <c r="A965" s="71"/>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row>
    <row r="966">
      <c r="A966" s="71"/>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row>
    <row r="967">
      <c r="A967" s="71"/>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row>
    <row r="968">
      <c r="A968" s="71"/>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row>
    <row r="969">
      <c r="A969" s="71"/>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row>
    <row r="970">
      <c r="A970" s="71"/>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row>
    <row r="971">
      <c r="A971" s="71"/>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row>
    <row r="972">
      <c r="A972" s="71"/>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row>
    <row r="973">
      <c r="A973" s="71"/>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row>
    <row r="974">
      <c r="A974" s="71"/>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row>
    <row r="975">
      <c r="A975" s="71"/>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row>
    <row r="976">
      <c r="A976" s="71"/>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row>
    <row r="977">
      <c r="A977" s="71"/>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row>
    <row r="978">
      <c r="A978" s="71"/>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row>
    <row r="979">
      <c r="A979" s="71"/>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row>
    <row r="980">
      <c r="A980" s="71"/>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row>
    <row r="981">
      <c r="A981" s="71"/>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row>
    <row r="982">
      <c r="A982" s="71"/>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row>
    <row r="983">
      <c r="A983" s="71"/>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row>
    <row r="984">
      <c r="A984" s="71"/>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c r="AB984" s="72"/>
      <c r="AC984" s="72"/>
      <c r="AD984" s="72"/>
      <c r="AE984" s="72"/>
      <c r="AF984" s="72"/>
      <c r="AG984" s="72"/>
      <c r="AH984" s="72"/>
      <c r="AI984" s="72"/>
      <c r="AJ984" s="72"/>
      <c r="AK984" s="72"/>
      <c r="AL984" s="72"/>
      <c r="AM984" s="72"/>
      <c r="AN984" s="72"/>
      <c r="AO984" s="72"/>
      <c r="AP984" s="72"/>
      <c r="AQ984" s="72"/>
    </row>
    <row r="985">
      <c r="A985" s="71"/>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c r="AB985" s="72"/>
      <c r="AC985" s="72"/>
      <c r="AD985" s="72"/>
      <c r="AE985" s="72"/>
      <c r="AF985" s="72"/>
      <c r="AG985" s="72"/>
      <c r="AH985" s="72"/>
      <c r="AI985" s="72"/>
      <c r="AJ985" s="72"/>
      <c r="AK985" s="72"/>
      <c r="AL985" s="72"/>
      <c r="AM985" s="72"/>
      <c r="AN985" s="72"/>
      <c r="AO985" s="72"/>
      <c r="AP985" s="72"/>
      <c r="AQ985" s="72"/>
    </row>
    <row r="986">
      <c r="A986" s="71"/>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c r="AB986" s="72"/>
      <c r="AC986" s="72"/>
      <c r="AD986" s="72"/>
      <c r="AE986" s="72"/>
      <c r="AF986" s="72"/>
      <c r="AG986" s="72"/>
      <c r="AH986" s="72"/>
      <c r="AI986" s="72"/>
      <c r="AJ986" s="72"/>
      <c r="AK986" s="72"/>
      <c r="AL986" s="72"/>
      <c r="AM986" s="72"/>
      <c r="AN986" s="72"/>
      <c r="AO986" s="72"/>
      <c r="AP986" s="72"/>
      <c r="AQ986" s="72"/>
    </row>
    <row r="987">
      <c r="A987" s="71"/>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c r="AB987" s="72"/>
      <c r="AC987" s="72"/>
      <c r="AD987" s="72"/>
      <c r="AE987" s="72"/>
      <c r="AF987" s="72"/>
      <c r="AG987" s="72"/>
      <c r="AH987" s="72"/>
      <c r="AI987" s="72"/>
      <c r="AJ987" s="72"/>
      <c r="AK987" s="72"/>
      <c r="AL987" s="72"/>
      <c r="AM987" s="72"/>
      <c r="AN987" s="72"/>
      <c r="AO987" s="72"/>
      <c r="AP987" s="72"/>
      <c r="AQ987" s="72"/>
    </row>
    <row r="988">
      <c r="A988" s="71"/>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c r="AB988" s="72"/>
      <c r="AC988" s="72"/>
      <c r="AD988" s="72"/>
      <c r="AE988" s="72"/>
      <c r="AF988" s="72"/>
      <c r="AG988" s="72"/>
      <c r="AH988" s="72"/>
      <c r="AI988" s="72"/>
      <c r="AJ988" s="72"/>
      <c r="AK988" s="72"/>
      <c r="AL988" s="72"/>
      <c r="AM988" s="72"/>
      <c r="AN988" s="72"/>
      <c r="AO988" s="72"/>
      <c r="AP988" s="72"/>
      <c r="AQ988" s="72"/>
    </row>
    <row r="989">
      <c r="A989" s="71"/>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c r="AB989" s="72"/>
      <c r="AC989" s="72"/>
      <c r="AD989" s="72"/>
      <c r="AE989" s="72"/>
      <c r="AF989" s="72"/>
      <c r="AG989" s="72"/>
      <c r="AH989" s="72"/>
      <c r="AI989" s="72"/>
      <c r="AJ989" s="72"/>
      <c r="AK989" s="72"/>
      <c r="AL989" s="72"/>
      <c r="AM989" s="72"/>
      <c r="AN989" s="72"/>
      <c r="AO989" s="72"/>
      <c r="AP989" s="72"/>
      <c r="AQ989" s="72"/>
    </row>
    <row r="990">
      <c r="A990" s="71"/>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c r="AB990" s="72"/>
      <c r="AC990" s="72"/>
      <c r="AD990" s="72"/>
      <c r="AE990" s="72"/>
      <c r="AF990" s="72"/>
      <c r="AG990" s="72"/>
      <c r="AH990" s="72"/>
      <c r="AI990" s="72"/>
      <c r="AJ990" s="72"/>
      <c r="AK990" s="72"/>
      <c r="AL990" s="72"/>
      <c r="AM990" s="72"/>
      <c r="AN990" s="72"/>
      <c r="AO990" s="72"/>
      <c r="AP990" s="72"/>
      <c r="AQ990" s="72"/>
    </row>
    <row r="991">
      <c r="A991" s="71"/>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c r="AB991" s="72"/>
      <c r="AC991" s="72"/>
      <c r="AD991" s="72"/>
      <c r="AE991" s="72"/>
      <c r="AF991" s="72"/>
      <c r="AG991" s="72"/>
      <c r="AH991" s="72"/>
      <c r="AI991" s="72"/>
      <c r="AJ991" s="72"/>
      <c r="AK991" s="72"/>
      <c r="AL991" s="72"/>
      <c r="AM991" s="72"/>
      <c r="AN991" s="72"/>
      <c r="AO991" s="72"/>
      <c r="AP991" s="72"/>
      <c r="AQ991" s="72"/>
    </row>
    <row r="992">
      <c r="A992" s="71"/>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c r="AB992" s="72"/>
      <c r="AC992" s="72"/>
      <c r="AD992" s="72"/>
      <c r="AE992" s="72"/>
      <c r="AF992" s="72"/>
      <c r="AG992" s="72"/>
      <c r="AH992" s="72"/>
      <c r="AI992" s="72"/>
      <c r="AJ992" s="72"/>
      <c r="AK992" s="72"/>
      <c r="AL992" s="72"/>
      <c r="AM992" s="72"/>
      <c r="AN992" s="72"/>
      <c r="AO992" s="72"/>
      <c r="AP992" s="72"/>
      <c r="AQ992" s="72"/>
    </row>
    <row r="993">
      <c r="A993" s="71"/>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c r="AB993" s="72"/>
      <c r="AC993" s="72"/>
      <c r="AD993" s="72"/>
      <c r="AE993" s="72"/>
      <c r="AF993" s="72"/>
      <c r="AG993" s="72"/>
      <c r="AH993" s="72"/>
      <c r="AI993" s="72"/>
      <c r="AJ993" s="72"/>
      <c r="AK993" s="72"/>
      <c r="AL993" s="72"/>
      <c r="AM993" s="72"/>
      <c r="AN993" s="72"/>
      <c r="AO993" s="72"/>
      <c r="AP993" s="72"/>
      <c r="AQ993" s="72"/>
    </row>
    <row r="994">
      <c r="A994" s="71"/>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c r="AB994" s="72"/>
      <c r="AC994" s="72"/>
      <c r="AD994" s="72"/>
      <c r="AE994" s="72"/>
      <c r="AF994" s="72"/>
      <c r="AG994" s="72"/>
      <c r="AH994" s="72"/>
      <c r="AI994" s="72"/>
      <c r="AJ994" s="72"/>
      <c r="AK994" s="72"/>
      <c r="AL994" s="72"/>
      <c r="AM994" s="72"/>
      <c r="AN994" s="72"/>
      <c r="AO994" s="72"/>
      <c r="AP994" s="72"/>
      <c r="AQ994" s="72"/>
    </row>
    <row r="995">
      <c r="A995" s="71"/>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c r="AB995" s="72"/>
      <c r="AC995" s="72"/>
      <c r="AD995" s="72"/>
      <c r="AE995" s="72"/>
      <c r="AF995" s="72"/>
      <c r="AG995" s="72"/>
      <c r="AH995" s="72"/>
      <c r="AI995" s="72"/>
      <c r="AJ995" s="72"/>
      <c r="AK995" s="72"/>
      <c r="AL995" s="72"/>
      <c r="AM995" s="72"/>
      <c r="AN995" s="72"/>
      <c r="AO995" s="72"/>
      <c r="AP995" s="72"/>
      <c r="AQ995" s="72"/>
    </row>
    <row r="996">
      <c r="A996" s="71"/>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c r="AB996" s="72"/>
      <c r="AC996" s="72"/>
      <c r="AD996" s="72"/>
      <c r="AE996" s="72"/>
      <c r="AF996" s="72"/>
      <c r="AG996" s="72"/>
      <c r="AH996" s="72"/>
      <c r="AI996" s="72"/>
      <c r="AJ996" s="72"/>
      <c r="AK996" s="72"/>
      <c r="AL996" s="72"/>
      <c r="AM996" s="72"/>
      <c r="AN996" s="72"/>
      <c r="AO996" s="72"/>
      <c r="AP996" s="72"/>
      <c r="AQ996" s="72"/>
    </row>
    <row r="997">
      <c r="A997" s="71"/>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c r="AB997" s="72"/>
      <c r="AC997" s="72"/>
      <c r="AD997" s="72"/>
      <c r="AE997" s="72"/>
      <c r="AF997" s="72"/>
      <c r="AG997" s="72"/>
      <c r="AH997" s="72"/>
      <c r="AI997" s="72"/>
      <c r="AJ997" s="72"/>
      <c r="AK997" s="72"/>
      <c r="AL997" s="72"/>
      <c r="AM997" s="72"/>
      <c r="AN997" s="72"/>
      <c r="AO997" s="72"/>
      <c r="AP997" s="72"/>
      <c r="AQ997" s="72"/>
    </row>
    <row r="998">
      <c r="A998" s="71"/>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c r="AB998" s="72"/>
      <c r="AC998" s="72"/>
      <c r="AD998" s="72"/>
      <c r="AE998" s="72"/>
      <c r="AF998" s="72"/>
      <c r="AG998" s="72"/>
      <c r="AH998" s="72"/>
      <c r="AI998" s="72"/>
      <c r="AJ998" s="72"/>
      <c r="AK998" s="72"/>
      <c r="AL998" s="72"/>
      <c r="AM998" s="72"/>
      <c r="AN998" s="72"/>
      <c r="AO998" s="72"/>
      <c r="AP998" s="72"/>
      <c r="AQ998" s="72"/>
    </row>
    <row r="999">
      <c r="A999" s="71"/>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c r="AB999" s="72"/>
      <c r="AC999" s="72"/>
      <c r="AD999" s="72"/>
      <c r="AE999" s="72"/>
      <c r="AF999" s="72"/>
      <c r="AG999" s="72"/>
      <c r="AH999" s="72"/>
      <c r="AI999" s="72"/>
      <c r="AJ999" s="72"/>
      <c r="AK999" s="72"/>
      <c r="AL999" s="72"/>
      <c r="AM999" s="72"/>
      <c r="AN999" s="72"/>
      <c r="AO999" s="72"/>
      <c r="AP999" s="72"/>
      <c r="AQ999" s="72"/>
    </row>
    <row r="1000">
      <c r="A1000" s="71"/>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c r="AC1000" s="72"/>
      <c r="AD1000" s="72"/>
      <c r="AE1000" s="72"/>
      <c r="AF1000" s="72"/>
      <c r="AG1000" s="72"/>
      <c r="AH1000" s="72"/>
      <c r="AI1000" s="72"/>
      <c r="AJ1000" s="72"/>
      <c r="AK1000" s="72"/>
      <c r="AL1000" s="72"/>
      <c r="AM1000" s="72"/>
      <c r="AN1000" s="72"/>
      <c r="AO1000" s="72"/>
      <c r="AP1000" s="72"/>
      <c r="AQ1000" s="72"/>
    </row>
    <row r="1001">
      <c r="A1001" s="71"/>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c r="AB1001" s="72"/>
      <c r="AC1001" s="72"/>
      <c r="AD1001" s="72"/>
      <c r="AE1001" s="72"/>
      <c r="AF1001" s="72"/>
      <c r="AG1001" s="72"/>
      <c r="AH1001" s="72"/>
      <c r="AI1001" s="72"/>
      <c r="AJ1001" s="72"/>
      <c r="AK1001" s="72"/>
      <c r="AL1001" s="72"/>
      <c r="AM1001" s="72"/>
      <c r="AN1001" s="72"/>
      <c r="AO1001" s="72"/>
      <c r="AP1001" s="72"/>
      <c r="AQ1001" s="72"/>
    </row>
  </sheetData>
  <mergeCells count="125">
    <mergeCell ref="S2:S3"/>
    <mergeCell ref="T2:T3"/>
    <mergeCell ref="U2:U3"/>
    <mergeCell ref="V2:V3"/>
    <mergeCell ref="W2:W3"/>
    <mergeCell ref="X2:X3"/>
    <mergeCell ref="Y2:Y3"/>
    <mergeCell ref="Z2:Z3"/>
    <mergeCell ref="AA2:AA3"/>
    <mergeCell ref="AB2:AB3"/>
    <mergeCell ref="AC2:AF2"/>
    <mergeCell ref="AG2:AJ2"/>
    <mergeCell ref="A1:A3"/>
    <mergeCell ref="B1:B3"/>
    <mergeCell ref="C1:C3"/>
    <mergeCell ref="D1:O1"/>
    <mergeCell ref="P1:Q1"/>
    <mergeCell ref="R1:AN1"/>
    <mergeCell ref="D2:D3"/>
    <mergeCell ref="AK2:AN2"/>
    <mergeCell ref="G2:G3"/>
    <mergeCell ref="H2:H3"/>
    <mergeCell ref="I2:I3"/>
    <mergeCell ref="J2:J3"/>
    <mergeCell ref="K2:K3"/>
    <mergeCell ref="L2:L3"/>
    <mergeCell ref="M2:M3"/>
    <mergeCell ref="N2:N3"/>
    <mergeCell ref="O2:O3"/>
    <mergeCell ref="P2:P3"/>
    <mergeCell ref="Q2:Q3"/>
    <mergeCell ref="R2:R3"/>
    <mergeCell ref="E2:E3"/>
    <mergeCell ref="F2:F3"/>
    <mergeCell ref="A4:A27"/>
    <mergeCell ref="B4:B7"/>
    <mergeCell ref="B8:B11"/>
    <mergeCell ref="B12:B15"/>
    <mergeCell ref="B16:B19"/>
    <mergeCell ref="B132:B135"/>
    <mergeCell ref="B136:B139"/>
    <mergeCell ref="B104:B107"/>
    <mergeCell ref="B108:B111"/>
    <mergeCell ref="B112:B115"/>
    <mergeCell ref="B116:B119"/>
    <mergeCell ref="B120:B123"/>
    <mergeCell ref="B124:B127"/>
    <mergeCell ref="B128:B131"/>
    <mergeCell ref="B168:B171"/>
    <mergeCell ref="B172:B175"/>
    <mergeCell ref="B140:B143"/>
    <mergeCell ref="B144:B147"/>
    <mergeCell ref="B148:B151"/>
    <mergeCell ref="B152:B155"/>
    <mergeCell ref="B156:B159"/>
    <mergeCell ref="B160:B163"/>
    <mergeCell ref="B164:B167"/>
    <mergeCell ref="B204:B207"/>
    <mergeCell ref="B208:B211"/>
    <mergeCell ref="B176:B179"/>
    <mergeCell ref="B180:B183"/>
    <mergeCell ref="B184:B187"/>
    <mergeCell ref="B188:B191"/>
    <mergeCell ref="B192:B195"/>
    <mergeCell ref="B196:B199"/>
    <mergeCell ref="B200:B203"/>
    <mergeCell ref="A220:A243"/>
    <mergeCell ref="A244:A267"/>
    <mergeCell ref="A268:A291"/>
    <mergeCell ref="A292:A315"/>
    <mergeCell ref="A52:A75"/>
    <mergeCell ref="A76:A99"/>
    <mergeCell ref="A100:A123"/>
    <mergeCell ref="A124:A147"/>
    <mergeCell ref="A148:A171"/>
    <mergeCell ref="A172:A195"/>
    <mergeCell ref="A196:A219"/>
    <mergeCell ref="B240:B243"/>
    <mergeCell ref="B244:B247"/>
    <mergeCell ref="B248:B251"/>
    <mergeCell ref="B252:B255"/>
    <mergeCell ref="B256:B259"/>
    <mergeCell ref="B260:B263"/>
    <mergeCell ref="B264:B267"/>
    <mergeCell ref="B296:B299"/>
    <mergeCell ref="B300:B303"/>
    <mergeCell ref="B304:B307"/>
    <mergeCell ref="B308:B311"/>
    <mergeCell ref="B312:B315"/>
    <mergeCell ref="B268:B271"/>
    <mergeCell ref="B272:B275"/>
    <mergeCell ref="B276:B279"/>
    <mergeCell ref="B280:B283"/>
    <mergeCell ref="B284:B287"/>
    <mergeCell ref="B288:B291"/>
    <mergeCell ref="B292:B295"/>
    <mergeCell ref="B44:B47"/>
    <mergeCell ref="B48:B51"/>
    <mergeCell ref="B40:B43"/>
    <mergeCell ref="B52:B55"/>
    <mergeCell ref="B56:B59"/>
    <mergeCell ref="B60:B63"/>
    <mergeCell ref="B64:B67"/>
    <mergeCell ref="B68:B71"/>
    <mergeCell ref="B20:B23"/>
    <mergeCell ref="B24:B27"/>
    <mergeCell ref="A28:A51"/>
    <mergeCell ref="B28:B31"/>
    <mergeCell ref="B32:B35"/>
    <mergeCell ref="B36:B39"/>
    <mergeCell ref="B72:B75"/>
    <mergeCell ref="B76:B79"/>
    <mergeCell ref="B80:B83"/>
    <mergeCell ref="B84:B87"/>
    <mergeCell ref="B88:B91"/>
    <mergeCell ref="B92:B95"/>
    <mergeCell ref="B96:B99"/>
    <mergeCell ref="B100:B103"/>
    <mergeCell ref="B212:B215"/>
    <mergeCell ref="B216:B219"/>
    <mergeCell ref="B220:B223"/>
    <mergeCell ref="B224:B227"/>
    <mergeCell ref="B228:B231"/>
    <mergeCell ref="B232:B235"/>
    <mergeCell ref="B236:B2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sheetData>
    <row r="1">
      <c r="A1" s="74" t="s">
        <v>59</v>
      </c>
      <c r="B1" s="75" t="s">
        <v>60</v>
      </c>
      <c r="C1" s="75" t="s">
        <v>61</v>
      </c>
      <c r="D1" s="76" t="s">
        <v>62</v>
      </c>
      <c r="E1" s="10"/>
      <c r="F1" s="10"/>
      <c r="G1" s="10"/>
      <c r="H1" s="10"/>
      <c r="I1" s="10"/>
      <c r="J1" s="10"/>
      <c r="K1" s="10"/>
      <c r="L1" s="10"/>
      <c r="M1" s="10"/>
      <c r="N1" s="10"/>
      <c r="O1" s="11"/>
      <c r="P1" s="77" t="s">
        <v>63</v>
      </c>
      <c r="Q1" s="11"/>
      <c r="R1" s="78" t="s">
        <v>64</v>
      </c>
      <c r="S1" s="10"/>
      <c r="T1" s="10"/>
      <c r="U1" s="10"/>
      <c r="V1" s="10"/>
      <c r="W1" s="10"/>
      <c r="X1" s="10"/>
      <c r="Y1" s="10"/>
      <c r="Z1" s="10"/>
      <c r="AA1" s="10"/>
      <c r="AB1" s="10"/>
      <c r="AC1" s="10"/>
      <c r="AD1" s="10"/>
      <c r="AE1" s="10"/>
      <c r="AF1" s="10"/>
      <c r="AG1" s="10"/>
      <c r="AH1" s="10"/>
      <c r="AI1" s="10"/>
      <c r="AJ1" s="10"/>
      <c r="AK1" s="10"/>
      <c r="AL1" s="10"/>
      <c r="AM1" s="10"/>
      <c r="AN1" s="11"/>
      <c r="AO1" s="34"/>
      <c r="AP1" s="34"/>
      <c r="AQ1" s="34"/>
    </row>
    <row r="2">
      <c r="A2" s="13"/>
      <c r="B2" s="13"/>
      <c r="C2" s="13"/>
      <c r="D2" s="75" t="s">
        <v>65</v>
      </c>
      <c r="E2" s="75" t="s">
        <v>66</v>
      </c>
      <c r="F2" s="75" t="s">
        <v>67</v>
      </c>
      <c r="G2" s="79" t="s">
        <v>68</v>
      </c>
      <c r="H2" s="75" t="s">
        <v>69</v>
      </c>
      <c r="I2" s="75" t="s">
        <v>70</v>
      </c>
      <c r="J2" s="75" t="s">
        <v>71</v>
      </c>
      <c r="K2" s="36" t="s">
        <v>72</v>
      </c>
      <c r="L2" s="75" t="s">
        <v>73</v>
      </c>
      <c r="M2" s="75" t="s">
        <v>74</v>
      </c>
      <c r="N2" s="75" t="s">
        <v>75</v>
      </c>
      <c r="O2" s="75" t="s">
        <v>76</v>
      </c>
      <c r="P2" s="80" t="s">
        <v>77</v>
      </c>
      <c r="Q2" s="80" t="s">
        <v>78</v>
      </c>
      <c r="R2" s="81" t="s">
        <v>79</v>
      </c>
      <c r="S2" s="81" t="s">
        <v>80</v>
      </c>
      <c r="T2" s="75" t="s">
        <v>81</v>
      </c>
      <c r="U2" s="75" t="s">
        <v>82</v>
      </c>
      <c r="V2" s="75" t="s">
        <v>83</v>
      </c>
      <c r="W2" s="75" t="s">
        <v>84</v>
      </c>
      <c r="X2" s="81" t="s">
        <v>85</v>
      </c>
      <c r="Y2" s="75" t="s">
        <v>86</v>
      </c>
      <c r="Z2" s="75" t="s">
        <v>87</v>
      </c>
      <c r="AA2" s="81" t="s">
        <v>88</v>
      </c>
      <c r="AB2" s="81" t="s">
        <v>89</v>
      </c>
      <c r="AC2" s="82" t="s">
        <v>90</v>
      </c>
      <c r="AD2" s="10"/>
      <c r="AE2" s="10"/>
      <c r="AF2" s="11"/>
      <c r="AG2" s="82" t="s">
        <v>91</v>
      </c>
      <c r="AH2" s="10"/>
      <c r="AI2" s="10"/>
      <c r="AJ2" s="11"/>
      <c r="AK2" s="82" t="s">
        <v>110</v>
      </c>
      <c r="AL2" s="10"/>
      <c r="AM2" s="10"/>
      <c r="AN2" s="11"/>
      <c r="AO2" s="40"/>
      <c r="AP2" s="40"/>
      <c r="AQ2" s="40"/>
    </row>
    <row r="3">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83" t="s">
        <v>93</v>
      </c>
      <c r="AD3" s="83" t="s">
        <v>94</v>
      </c>
      <c r="AE3" s="83" t="s">
        <v>95</v>
      </c>
      <c r="AF3" s="84" t="s">
        <v>96</v>
      </c>
      <c r="AG3" s="83" t="s">
        <v>93</v>
      </c>
      <c r="AH3" s="83" t="s">
        <v>94</v>
      </c>
      <c r="AI3" s="83" t="s">
        <v>95</v>
      </c>
      <c r="AJ3" s="84" t="s">
        <v>96</v>
      </c>
      <c r="AK3" s="83" t="s">
        <v>93</v>
      </c>
      <c r="AL3" s="83" t="s">
        <v>94</v>
      </c>
      <c r="AM3" s="83" t="s">
        <v>95</v>
      </c>
      <c r="AN3" s="84" t="s">
        <v>96</v>
      </c>
      <c r="AO3" s="43"/>
      <c r="AP3" s="43"/>
      <c r="AQ3" s="43"/>
    </row>
    <row r="4">
      <c r="A4" s="85" t="s">
        <v>97</v>
      </c>
      <c r="B4" s="86" t="s">
        <v>111</v>
      </c>
      <c r="C4" s="87">
        <v>1.0</v>
      </c>
      <c r="D4" s="88">
        <v>0.5034</v>
      </c>
      <c r="E4" s="88">
        <v>0.73845</v>
      </c>
      <c r="F4" s="89"/>
      <c r="G4" s="89"/>
      <c r="H4" s="89"/>
      <c r="I4" s="89"/>
      <c r="J4" s="89"/>
      <c r="K4" s="89"/>
      <c r="L4" s="89"/>
      <c r="M4" s="89"/>
      <c r="N4" s="89"/>
      <c r="O4" s="48">
        <f t="shared" ref="O4:O315" si="1">100*(N4^0.6)*(M4^0.4)
</f>
        <v>0</v>
      </c>
      <c r="P4" s="90"/>
      <c r="Q4" s="90"/>
      <c r="R4" s="90"/>
      <c r="S4" s="90"/>
      <c r="T4" s="90"/>
      <c r="U4" s="90"/>
      <c r="V4" s="89"/>
      <c r="W4" s="89"/>
      <c r="X4" s="89"/>
      <c r="Y4" s="89"/>
      <c r="Z4" s="89"/>
      <c r="AA4" s="89"/>
      <c r="AB4" s="89"/>
      <c r="AC4" s="89"/>
      <c r="AD4" s="89"/>
      <c r="AE4" s="89"/>
      <c r="AF4" s="89"/>
      <c r="AG4" s="89"/>
      <c r="AH4" s="89"/>
      <c r="AI4" s="89"/>
      <c r="AJ4" s="89"/>
      <c r="AK4" s="89"/>
      <c r="AL4" s="89"/>
      <c r="AM4" s="89"/>
      <c r="AN4" s="89"/>
      <c r="AO4" s="49"/>
      <c r="AP4" s="49"/>
      <c r="AQ4" s="49"/>
    </row>
    <row r="5">
      <c r="A5" s="13"/>
      <c r="B5" s="13"/>
      <c r="C5" s="87">
        <v>2.0</v>
      </c>
      <c r="D5" s="88"/>
      <c r="E5" s="88"/>
      <c r="F5" s="89"/>
      <c r="G5" s="89"/>
      <c r="H5" s="89"/>
      <c r="I5" s="89"/>
      <c r="J5" s="89"/>
      <c r="K5" s="89"/>
      <c r="L5" s="89"/>
      <c r="M5" s="89"/>
      <c r="N5" s="89"/>
      <c r="O5" s="48">
        <f t="shared" si="1"/>
        <v>0</v>
      </c>
      <c r="P5" s="89"/>
      <c r="Q5" s="89"/>
      <c r="R5" s="89"/>
      <c r="S5" s="89"/>
      <c r="T5" s="89"/>
      <c r="U5" s="89"/>
      <c r="V5" s="89"/>
      <c r="W5" s="89"/>
      <c r="X5" s="89"/>
      <c r="Y5" s="89"/>
      <c r="Z5" s="89"/>
      <c r="AA5" s="89"/>
      <c r="AB5" s="89"/>
      <c r="AC5" s="89"/>
      <c r="AD5" s="89"/>
      <c r="AE5" s="89"/>
      <c r="AF5" s="89"/>
      <c r="AG5" s="89"/>
      <c r="AH5" s="89"/>
      <c r="AI5" s="89"/>
      <c r="AJ5" s="89"/>
      <c r="AK5" s="89"/>
      <c r="AL5" s="89"/>
      <c r="AM5" s="89"/>
      <c r="AN5" s="89"/>
      <c r="AO5" s="49"/>
      <c r="AP5" s="49"/>
      <c r="AQ5" s="49"/>
    </row>
    <row r="6">
      <c r="A6" s="13"/>
      <c r="B6" s="13"/>
      <c r="C6" s="87">
        <v>3.0</v>
      </c>
      <c r="D6" s="88"/>
      <c r="E6" s="88"/>
      <c r="F6" s="89"/>
      <c r="G6" s="89"/>
      <c r="H6" s="89"/>
      <c r="I6" s="89"/>
      <c r="J6" s="89"/>
      <c r="K6" s="89"/>
      <c r="L6" s="89"/>
      <c r="M6" s="89"/>
      <c r="N6" s="89"/>
      <c r="O6" s="48">
        <f t="shared" si="1"/>
        <v>0</v>
      </c>
      <c r="P6" s="89"/>
      <c r="Q6" s="89"/>
      <c r="R6" s="89"/>
      <c r="S6" s="89"/>
      <c r="T6" s="89"/>
      <c r="U6" s="89"/>
      <c r="V6" s="89"/>
      <c r="W6" s="89"/>
      <c r="X6" s="89"/>
      <c r="Y6" s="89"/>
      <c r="Z6" s="89"/>
      <c r="AA6" s="89"/>
      <c r="AB6" s="89"/>
      <c r="AC6" s="89"/>
      <c r="AD6" s="89"/>
      <c r="AE6" s="89"/>
      <c r="AF6" s="89"/>
      <c r="AG6" s="89"/>
      <c r="AH6" s="89"/>
      <c r="AI6" s="89"/>
      <c r="AJ6" s="89"/>
      <c r="AK6" s="89"/>
      <c r="AL6" s="89"/>
      <c r="AM6" s="89"/>
      <c r="AN6" s="89"/>
      <c r="AO6" s="49"/>
      <c r="AP6" s="49"/>
      <c r="AQ6" s="49"/>
    </row>
    <row r="7">
      <c r="A7" s="13"/>
      <c r="B7" s="16"/>
      <c r="C7" s="87">
        <v>4.0</v>
      </c>
      <c r="D7" s="88"/>
      <c r="E7" s="88"/>
      <c r="F7" s="89"/>
      <c r="G7" s="89"/>
      <c r="H7" s="89"/>
      <c r="I7" s="89"/>
      <c r="J7" s="89"/>
      <c r="K7" s="89"/>
      <c r="L7" s="89"/>
      <c r="M7" s="89"/>
      <c r="N7" s="89"/>
      <c r="O7" s="48">
        <f t="shared" si="1"/>
        <v>0</v>
      </c>
      <c r="P7" s="89"/>
      <c r="Q7" s="89"/>
      <c r="R7" s="89"/>
      <c r="S7" s="89"/>
      <c r="T7" s="89"/>
      <c r="U7" s="89"/>
      <c r="V7" s="89"/>
      <c r="W7" s="89"/>
      <c r="X7" s="89"/>
      <c r="Y7" s="89"/>
      <c r="Z7" s="89"/>
      <c r="AA7" s="89"/>
      <c r="AB7" s="89"/>
      <c r="AC7" s="89"/>
      <c r="AD7" s="89"/>
      <c r="AE7" s="89"/>
      <c r="AF7" s="89"/>
      <c r="AG7" s="89"/>
      <c r="AH7" s="89"/>
      <c r="AI7" s="89"/>
      <c r="AJ7" s="89"/>
      <c r="AK7" s="89"/>
      <c r="AL7" s="89"/>
      <c r="AM7" s="89"/>
      <c r="AN7" s="89"/>
      <c r="AO7" s="49"/>
      <c r="AP7" s="49"/>
      <c r="AQ7" s="49"/>
    </row>
    <row r="8">
      <c r="A8" s="13"/>
      <c r="B8" s="86" t="s">
        <v>23</v>
      </c>
      <c r="C8" s="87">
        <v>1.0</v>
      </c>
      <c r="D8" s="88"/>
      <c r="E8" s="88"/>
      <c r="F8" s="89"/>
      <c r="G8" s="89"/>
      <c r="H8" s="89"/>
      <c r="I8" s="89"/>
      <c r="J8" s="89"/>
      <c r="K8" s="89"/>
      <c r="L8" s="89"/>
      <c r="M8" s="89"/>
      <c r="N8" s="89"/>
      <c r="O8" s="48">
        <f t="shared" si="1"/>
        <v>0</v>
      </c>
      <c r="P8" s="89"/>
      <c r="Q8" s="89"/>
      <c r="R8" s="89"/>
      <c r="S8" s="89"/>
      <c r="T8" s="89"/>
      <c r="U8" s="89"/>
      <c r="V8" s="89"/>
      <c r="W8" s="89"/>
      <c r="X8" s="89"/>
      <c r="Y8" s="89"/>
      <c r="Z8" s="89"/>
      <c r="AA8" s="89"/>
      <c r="AB8" s="89"/>
      <c r="AC8" s="89"/>
      <c r="AD8" s="89"/>
      <c r="AE8" s="89"/>
      <c r="AF8" s="89"/>
      <c r="AG8" s="89"/>
      <c r="AH8" s="89"/>
      <c r="AI8" s="89"/>
      <c r="AJ8" s="89"/>
      <c r="AK8" s="89"/>
      <c r="AL8" s="89"/>
      <c r="AM8" s="89"/>
      <c r="AN8" s="89"/>
      <c r="AO8" s="49"/>
      <c r="AP8" s="49"/>
      <c r="AQ8" s="49"/>
    </row>
    <row r="9">
      <c r="A9" s="13"/>
      <c r="B9" s="13"/>
      <c r="C9" s="87">
        <v>2.0</v>
      </c>
      <c r="D9" s="88"/>
      <c r="E9" s="88"/>
      <c r="F9" s="89"/>
      <c r="G9" s="89"/>
      <c r="H9" s="89"/>
      <c r="I9" s="89"/>
      <c r="J9" s="89"/>
      <c r="K9" s="89"/>
      <c r="L9" s="89"/>
      <c r="M9" s="89"/>
      <c r="N9" s="89"/>
      <c r="O9" s="48">
        <f t="shared" si="1"/>
        <v>0</v>
      </c>
      <c r="P9" s="89"/>
      <c r="Q9" s="89"/>
      <c r="R9" s="89"/>
      <c r="S9" s="89"/>
      <c r="T9" s="89"/>
      <c r="U9" s="89"/>
      <c r="V9" s="89"/>
      <c r="W9" s="89"/>
      <c r="X9" s="89"/>
      <c r="Y9" s="89"/>
      <c r="Z9" s="89"/>
      <c r="AA9" s="89"/>
      <c r="AB9" s="89"/>
      <c r="AC9" s="89"/>
      <c r="AD9" s="89"/>
      <c r="AE9" s="89"/>
      <c r="AF9" s="89"/>
      <c r="AG9" s="89"/>
      <c r="AH9" s="89"/>
      <c r="AI9" s="89"/>
      <c r="AJ9" s="89"/>
      <c r="AK9" s="89"/>
      <c r="AL9" s="89"/>
      <c r="AM9" s="89"/>
      <c r="AN9" s="89"/>
      <c r="AO9" s="49"/>
      <c r="AP9" s="49"/>
      <c r="AQ9" s="49"/>
    </row>
    <row r="10">
      <c r="A10" s="13"/>
      <c r="B10" s="13"/>
      <c r="C10" s="87">
        <v>3.0</v>
      </c>
      <c r="D10" s="88"/>
      <c r="E10" s="88"/>
      <c r="F10" s="89"/>
      <c r="G10" s="89"/>
      <c r="H10" s="89"/>
      <c r="I10" s="89"/>
      <c r="J10" s="89"/>
      <c r="K10" s="89"/>
      <c r="L10" s="89"/>
      <c r="M10" s="89"/>
      <c r="N10" s="48">
        <f t="shared" ref="N10:N218" si="2">(S10*X10*((AA10+1)/2)*((AB10+1)/2))^(1/4)
</f>
        <v>0</v>
      </c>
      <c r="O10" s="48">
        <f t="shared" si="1"/>
        <v>0</v>
      </c>
      <c r="P10" s="89"/>
      <c r="Q10" s="89"/>
      <c r="R10" s="89"/>
      <c r="S10" s="89"/>
      <c r="T10" s="89"/>
      <c r="U10" s="89"/>
      <c r="V10" s="89"/>
      <c r="W10" s="89"/>
      <c r="X10" s="89"/>
      <c r="Y10" s="89"/>
      <c r="Z10" s="89"/>
      <c r="AA10" s="89"/>
      <c r="AB10" s="89"/>
      <c r="AC10" s="89"/>
      <c r="AD10" s="89"/>
      <c r="AE10" s="89"/>
      <c r="AF10" s="89"/>
      <c r="AG10" s="89"/>
      <c r="AH10" s="89"/>
      <c r="AI10" s="89"/>
      <c r="AJ10" s="89"/>
      <c r="AK10" s="89"/>
      <c r="AL10" s="89"/>
      <c r="AM10" s="89"/>
      <c r="AN10" s="89"/>
      <c r="AO10" s="49"/>
      <c r="AP10" s="49"/>
      <c r="AQ10" s="49"/>
    </row>
    <row r="11">
      <c r="A11" s="13"/>
      <c r="B11" s="16"/>
      <c r="C11" s="87">
        <v>4.0</v>
      </c>
      <c r="D11" s="88"/>
      <c r="E11" s="88"/>
      <c r="F11" s="89"/>
      <c r="G11" s="89"/>
      <c r="H11" s="89"/>
      <c r="I11" s="89"/>
      <c r="J11" s="89"/>
      <c r="K11" s="89"/>
      <c r="L11" s="89"/>
      <c r="M11" s="89"/>
      <c r="N11" s="48">
        <f t="shared" si="2"/>
        <v>0</v>
      </c>
      <c r="O11" s="48">
        <f t="shared" si="1"/>
        <v>0</v>
      </c>
      <c r="P11" s="89"/>
      <c r="Q11" s="89"/>
      <c r="R11" s="89"/>
      <c r="S11" s="89"/>
      <c r="T11" s="89"/>
      <c r="U11" s="89"/>
      <c r="V11" s="89"/>
      <c r="W11" s="89"/>
      <c r="X11" s="89"/>
      <c r="Y11" s="89"/>
      <c r="Z11" s="89"/>
      <c r="AA11" s="89"/>
      <c r="AB11" s="89"/>
      <c r="AC11" s="89"/>
      <c r="AD11" s="89"/>
      <c r="AE11" s="89"/>
      <c r="AF11" s="89"/>
      <c r="AG11" s="89"/>
      <c r="AH11" s="89"/>
      <c r="AI11" s="89"/>
      <c r="AJ11" s="89"/>
      <c r="AK11" s="89"/>
      <c r="AL11" s="89"/>
      <c r="AM11" s="89"/>
      <c r="AN11" s="89"/>
      <c r="AO11" s="49"/>
      <c r="AP11" s="49"/>
      <c r="AQ11" s="49"/>
    </row>
    <row r="12">
      <c r="A12" s="13"/>
      <c r="B12" s="91" t="s">
        <v>24</v>
      </c>
      <c r="C12" s="87">
        <v>1.0</v>
      </c>
      <c r="D12" s="46">
        <v>0.5034</v>
      </c>
      <c r="E12" s="46">
        <v>0.73845</v>
      </c>
      <c r="F12" s="92">
        <v>1.0</v>
      </c>
      <c r="G12" s="92">
        <v>0.3479</v>
      </c>
      <c r="H12" s="92">
        <v>0.76839</v>
      </c>
      <c r="I12" s="92">
        <v>0.6116</v>
      </c>
      <c r="J12" s="92">
        <v>0.80984</v>
      </c>
      <c r="K12" s="92">
        <v>0.35321</v>
      </c>
      <c r="L12" s="92">
        <v>0.32414</v>
      </c>
      <c r="M12" s="92">
        <v>0.58578</v>
      </c>
      <c r="N12" s="48">
        <f t="shared" si="2"/>
        <v>0.4772783735</v>
      </c>
      <c r="O12" s="48">
        <f t="shared" si="1"/>
        <v>51.80323358</v>
      </c>
      <c r="P12" s="92">
        <v>6396.896991</v>
      </c>
      <c r="Q12" s="92">
        <v>5.668022</v>
      </c>
      <c r="R12" s="92">
        <v>0.400194</v>
      </c>
      <c r="S12" s="92">
        <v>0.444243</v>
      </c>
      <c r="T12" s="92">
        <v>0.5877</v>
      </c>
      <c r="U12" s="92">
        <v>0.6585</v>
      </c>
      <c r="V12" s="92">
        <v>0.4442</v>
      </c>
      <c r="W12" s="92">
        <v>0.4002</v>
      </c>
      <c r="X12" s="92">
        <v>0.3363</v>
      </c>
      <c r="Y12" s="92">
        <v>0.3727</v>
      </c>
      <c r="Z12" s="92">
        <v>0.427</v>
      </c>
      <c r="AA12" s="92">
        <v>0.21705</v>
      </c>
      <c r="AB12" s="92">
        <v>0.14154</v>
      </c>
      <c r="AC12" s="92">
        <v>0.6843</v>
      </c>
      <c r="AD12" s="92">
        <v>0.0871</v>
      </c>
      <c r="AE12" s="92">
        <v>0.1545</v>
      </c>
      <c r="AF12" s="92">
        <v>0.2938</v>
      </c>
      <c r="AG12" s="92">
        <v>0.7941</v>
      </c>
      <c r="AH12" s="92">
        <v>0.2808</v>
      </c>
      <c r="AI12" s="92">
        <v>0.4149</v>
      </c>
      <c r="AJ12" s="92">
        <v>0.5014</v>
      </c>
      <c r="AK12" s="92">
        <v>0.2846</v>
      </c>
      <c r="AL12" s="92">
        <v>0.9648</v>
      </c>
      <c r="AM12" s="92">
        <v>0.4395</v>
      </c>
      <c r="AN12" s="92">
        <v>0.5286</v>
      </c>
      <c r="AO12" s="49"/>
      <c r="AP12" s="49"/>
      <c r="AQ12" s="49"/>
    </row>
    <row r="13">
      <c r="A13" s="13"/>
      <c r="B13" s="13"/>
      <c r="C13" s="87">
        <v>2.0</v>
      </c>
      <c r="D13" s="46">
        <v>0.5034</v>
      </c>
      <c r="E13" s="46">
        <v>0.73845</v>
      </c>
      <c r="F13" s="92">
        <v>1.0</v>
      </c>
      <c r="G13" s="92">
        <v>0.5055</v>
      </c>
      <c r="H13" s="92">
        <v>0.85227</v>
      </c>
      <c r="I13" s="92">
        <v>0.91805</v>
      </c>
      <c r="J13" s="92">
        <v>0.8764</v>
      </c>
      <c r="K13" s="92">
        <v>0.4574</v>
      </c>
      <c r="L13" s="92">
        <v>0.32414</v>
      </c>
      <c r="M13" s="92">
        <v>0.63535</v>
      </c>
      <c r="N13" s="48">
        <f t="shared" si="2"/>
        <v>0.5412796346</v>
      </c>
      <c r="O13" s="48">
        <f t="shared" si="1"/>
        <v>57.71095035</v>
      </c>
      <c r="P13" s="92">
        <v>6396.896991</v>
      </c>
      <c r="Q13" s="92">
        <v>5.67743</v>
      </c>
      <c r="R13" s="92">
        <v>0.46974</v>
      </c>
      <c r="S13" s="92">
        <v>0.51059</v>
      </c>
      <c r="T13" s="92">
        <v>0.6072</v>
      </c>
      <c r="U13" s="92">
        <v>0.6544</v>
      </c>
      <c r="V13" s="92">
        <v>0.5106</v>
      </c>
      <c r="W13" s="92">
        <v>0.4697</v>
      </c>
      <c r="X13" s="92">
        <v>0.4359</v>
      </c>
      <c r="Y13" s="92">
        <v>0.46</v>
      </c>
      <c r="Z13" s="92">
        <v>0.5424</v>
      </c>
      <c r="AA13" s="92">
        <v>0.27344</v>
      </c>
      <c r="AB13" s="92">
        <v>0.21146</v>
      </c>
      <c r="AC13" s="92">
        <v>0.7421</v>
      </c>
      <c r="AD13" s="92">
        <v>0.2128</v>
      </c>
      <c r="AE13" s="92">
        <v>0.3308</v>
      </c>
      <c r="AF13" s="92">
        <v>0.4575</v>
      </c>
      <c r="AG13" s="92">
        <v>0.753</v>
      </c>
      <c r="AH13" s="92">
        <v>0.363</v>
      </c>
      <c r="AI13" s="92">
        <v>0.4899</v>
      </c>
      <c r="AJ13" s="92">
        <v>0.5485</v>
      </c>
      <c r="AK13" s="92">
        <v>0.3267</v>
      </c>
      <c r="AL13" s="92">
        <v>0.9559</v>
      </c>
      <c r="AM13" s="92">
        <v>0.4869</v>
      </c>
      <c r="AN13" s="92">
        <v>0.6357</v>
      </c>
      <c r="AO13" s="49"/>
      <c r="AP13" s="49"/>
      <c r="AQ13" s="49"/>
    </row>
    <row r="14">
      <c r="A14" s="13"/>
      <c r="B14" s="13"/>
      <c r="C14" s="87">
        <v>3.0</v>
      </c>
      <c r="D14" s="46">
        <v>0.5034</v>
      </c>
      <c r="E14" s="46">
        <v>0.73845</v>
      </c>
      <c r="F14" s="92">
        <v>1.0</v>
      </c>
      <c r="G14" s="92">
        <v>0.6393</v>
      </c>
      <c r="H14" s="92">
        <v>0.9064</v>
      </c>
      <c r="I14" s="92">
        <v>0.9998</v>
      </c>
      <c r="J14" s="92">
        <v>0.9212</v>
      </c>
      <c r="K14" s="92">
        <v>0.5008</v>
      </c>
      <c r="L14" s="92">
        <v>0.3241499</v>
      </c>
      <c r="M14" s="92">
        <v>0.72992</v>
      </c>
      <c r="N14" s="48">
        <f t="shared" si="2"/>
        <v>0.6638420404</v>
      </c>
      <c r="O14" s="48">
        <f t="shared" si="1"/>
        <v>68.95233169</v>
      </c>
      <c r="P14" s="92">
        <v>6396.896991</v>
      </c>
      <c r="Q14" s="92">
        <v>5.769449</v>
      </c>
      <c r="R14" s="92">
        <v>0.53902</v>
      </c>
      <c r="S14" s="92">
        <v>0.58447</v>
      </c>
      <c r="T14" s="92">
        <v>0.6335</v>
      </c>
      <c r="U14" s="92">
        <v>0.6714</v>
      </c>
      <c r="V14" s="92">
        <v>0.5845</v>
      </c>
      <c r="W14" s="92">
        <v>0.539</v>
      </c>
      <c r="X14" s="92">
        <v>0.5287</v>
      </c>
      <c r="Y14" s="92">
        <v>0.538</v>
      </c>
      <c r="Z14" s="92">
        <v>0.5966</v>
      </c>
      <c r="AA14" s="92">
        <v>0.7538</v>
      </c>
      <c r="AB14" s="92">
        <v>0.4334</v>
      </c>
      <c r="AC14" s="92">
        <v>0.5504</v>
      </c>
      <c r="AD14" s="92">
        <v>0.5876</v>
      </c>
      <c r="AE14" s="92">
        <v>0.4951</v>
      </c>
      <c r="AF14" s="92">
        <v>0.5966</v>
      </c>
      <c r="AG14" s="92">
        <v>0.7538</v>
      </c>
      <c r="AH14" s="92">
        <v>0.4334</v>
      </c>
      <c r="AI14" s="92">
        <v>0.5504</v>
      </c>
      <c r="AJ14" s="92">
        <v>0.5876</v>
      </c>
      <c r="AK14" s="92">
        <v>0.3771</v>
      </c>
      <c r="AL14" s="92">
        <v>0.955</v>
      </c>
      <c r="AM14" s="92">
        <v>0.5407</v>
      </c>
      <c r="AN14" s="92">
        <v>0.7167</v>
      </c>
      <c r="AO14" s="49"/>
      <c r="AP14" s="49"/>
      <c r="AQ14" s="49"/>
    </row>
    <row r="15">
      <c r="A15" s="13"/>
      <c r="B15" s="16"/>
      <c r="C15" s="87">
        <v>4.0</v>
      </c>
      <c r="D15" s="46">
        <v>0.5034</v>
      </c>
      <c r="E15" s="46">
        <v>0.73845</v>
      </c>
      <c r="F15" s="92">
        <v>1.0</v>
      </c>
      <c r="G15" s="92">
        <v>0.6992</v>
      </c>
      <c r="H15" s="92">
        <v>0.9258</v>
      </c>
      <c r="I15" s="92">
        <v>0.9599</v>
      </c>
      <c r="J15" s="92">
        <v>0.93531</v>
      </c>
      <c r="K15" s="92">
        <v>0.5221</v>
      </c>
      <c r="L15" s="92">
        <v>0.3241499</v>
      </c>
      <c r="M15" s="92">
        <v>0.7371</v>
      </c>
      <c r="N15" s="48">
        <f t="shared" si="2"/>
        <v>0.6287450343</v>
      </c>
      <c r="O15" s="48">
        <f t="shared" si="1"/>
        <v>67.00316308</v>
      </c>
      <c r="P15" s="92">
        <v>6396.896991</v>
      </c>
      <c r="Q15" s="92">
        <v>5.742382</v>
      </c>
      <c r="R15" s="92">
        <v>0.5664</v>
      </c>
      <c r="S15" s="92">
        <v>0.6122</v>
      </c>
      <c r="T15" s="92">
        <v>0.6385</v>
      </c>
      <c r="U15" s="92">
        <v>0.6731</v>
      </c>
      <c r="V15" s="92">
        <v>0.6122</v>
      </c>
      <c r="W15" s="92">
        <v>0.5665</v>
      </c>
      <c r="X15" s="92">
        <v>0.5606</v>
      </c>
      <c r="Y15" s="92">
        <v>0.5657</v>
      </c>
      <c r="Z15" s="92">
        <v>0.6594</v>
      </c>
      <c r="AA15" s="92">
        <v>0.37166</v>
      </c>
      <c r="AB15" s="92">
        <v>0.3279</v>
      </c>
      <c r="AC15" s="92">
        <v>0.7622</v>
      </c>
      <c r="AD15" s="92">
        <v>0.4188</v>
      </c>
      <c r="AE15" s="92">
        <v>0.5405</v>
      </c>
      <c r="AF15" s="92">
        <v>0.6375</v>
      </c>
      <c r="AG15" s="92">
        <v>0.7483</v>
      </c>
      <c r="AH15" s="92">
        <v>0.4634</v>
      </c>
      <c r="AI15" s="92">
        <v>0.5724</v>
      </c>
      <c r="AJ15" s="92">
        <v>0.5996</v>
      </c>
      <c r="AK15" s="92">
        <v>0.4051</v>
      </c>
      <c r="AL15" s="92">
        <v>0.9545</v>
      </c>
      <c r="AM15" s="92">
        <v>0.5688</v>
      </c>
      <c r="AN15" s="92">
        <v>0.75</v>
      </c>
      <c r="AO15" s="49"/>
      <c r="AP15" s="49"/>
      <c r="AQ15" s="49"/>
    </row>
    <row r="16">
      <c r="A16" s="13"/>
      <c r="B16" s="91" t="s">
        <v>25</v>
      </c>
      <c r="C16" s="87">
        <v>1.0</v>
      </c>
      <c r="D16" s="46">
        <v>0.5034</v>
      </c>
      <c r="E16" s="46">
        <v>0.73845</v>
      </c>
      <c r="F16" s="92">
        <v>1.0</v>
      </c>
      <c r="G16" s="92">
        <v>0.7695</v>
      </c>
      <c r="H16" s="92">
        <v>1.0</v>
      </c>
      <c r="I16" s="92">
        <v>0.9914</v>
      </c>
      <c r="J16" s="92">
        <v>0.80984</v>
      </c>
      <c r="K16" s="92">
        <v>0.35321</v>
      </c>
      <c r="L16" s="92">
        <v>0.32414</v>
      </c>
      <c r="M16" s="92">
        <v>0.792255</v>
      </c>
      <c r="N16" s="48">
        <f t="shared" si="2"/>
        <v>0.6162454382</v>
      </c>
      <c r="O16" s="48">
        <f t="shared" si="1"/>
        <v>68.13938758</v>
      </c>
      <c r="P16" s="92">
        <v>7106.047285</v>
      </c>
      <c r="Q16" s="92">
        <v>5.889548</v>
      </c>
      <c r="R16" s="92">
        <v>0.552028</v>
      </c>
      <c r="S16" s="92">
        <v>0.6063</v>
      </c>
      <c r="T16" s="92">
        <v>0.5716</v>
      </c>
      <c r="U16" s="92">
        <v>0.6158</v>
      </c>
      <c r="V16" s="92">
        <v>0.6063</v>
      </c>
      <c r="W16" s="92">
        <v>0.552</v>
      </c>
      <c r="X16" s="92">
        <v>0.546</v>
      </c>
      <c r="Y16" s="92">
        <v>0.5446</v>
      </c>
      <c r="Z16" s="92">
        <v>0.6555</v>
      </c>
      <c r="AA16" s="92">
        <v>0.33548</v>
      </c>
      <c r="AB16" s="92">
        <v>0.30484</v>
      </c>
      <c r="AC16" s="92">
        <v>0.5869</v>
      </c>
      <c r="AD16" s="92">
        <v>0.4506</v>
      </c>
      <c r="AE16" s="92">
        <v>0.5098</v>
      </c>
      <c r="AF16" s="92">
        <v>0.6469</v>
      </c>
      <c r="AG16" s="92">
        <v>0.6953</v>
      </c>
      <c r="AH16" s="92">
        <v>0.4385</v>
      </c>
      <c r="AI16" s="92">
        <v>0.5378</v>
      </c>
      <c r="AJ16" s="92">
        <v>0.5634</v>
      </c>
      <c r="AK16" s="92">
        <v>0.4325</v>
      </c>
      <c r="AL16" s="92">
        <v>0.9298</v>
      </c>
      <c r="AM16" s="92">
        <v>0.5904</v>
      </c>
      <c r="AN16" s="92">
        <v>0.6469</v>
      </c>
      <c r="AO16" s="49"/>
      <c r="AP16" s="49"/>
      <c r="AQ16" s="49"/>
    </row>
    <row r="17">
      <c r="A17" s="13"/>
      <c r="B17" s="13"/>
      <c r="C17" s="87">
        <v>2.0</v>
      </c>
      <c r="D17" s="46">
        <v>0.5034</v>
      </c>
      <c r="E17" s="46">
        <v>0.73845</v>
      </c>
      <c r="F17" s="92">
        <v>1.0</v>
      </c>
      <c r="G17" s="92">
        <v>0.8723</v>
      </c>
      <c r="H17" s="92">
        <v>1.0</v>
      </c>
      <c r="I17" s="92">
        <v>0.9451</v>
      </c>
      <c r="J17" s="92">
        <v>0.8764</v>
      </c>
      <c r="K17" s="92">
        <v>0.4574</v>
      </c>
      <c r="L17" s="92">
        <v>0.32414</v>
      </c>
      <c r="M17" s="92">
        <v>0.9529</v>
      </c>
      <c r="N17" s="48">
        <f t="shared" si="2"/>
        <v>0.664615198</v>
      </c>
      <c r="O17" s="48">
        <f t="shared" si="1"/>
        <v>76.76461775</v>
      </c>
      <c r="P17" s="93">
        <v>7106.047285</v>
      </c>
      <c r="Q17" s="92">
        <v>5.900137</v>
      </c>
      <c r="R17" s="92">
        <v>0.6189</v>
      </c>
      <c r="S17" s="92">
        <v>0.65604</v>
      </c>
      <c r="T17" s="92">
        <v>0.6045</v>
      </c>
      <c r="U17" s="92">
        <v>0.6613</v>
      </c>
      <c r="V17" s="92">
        <v>0.656</v>
      </c>
      <c r="W17" s="92">
        <v>0.6189</v>
      </c>
      <c r="X17" s="92">
        <v>0.6029</v>
      </c>
      <c r="Y17" s="92">
        <v>0.6148</v>
      </c>
      <c r="Z17" s="92">
        <v>0.7072</v>
      </c>
      <c r="AA17" s="92">
        <v>0.4157</v>
      </c>
      <c r="AB17" s="92">
        <v>0.39378</v>
      </c>
      <c r="AC17" s="92">
        <v>0.5487</v>
      </c>
      <c r="AD17" s="92">
        <v>0.4983</v>
      </c>
      <c r="AE17" s="92">
        <v>0.5223</v>
      </c>
      <c r="AF17" s="92">
        <v>0.6726</v>
      </c>
      <c r="AG17" s="92">
        <v>0.7543</v>
      </c>
      <c r="AH17" s="92">
        <v>0.5352</v>
      </c>
      <c r="AI17" s="92">
        <v>0.6261</v>
      </c>
      <c r="AJ17" s="92">
        <v>0.6333</v>
      </c>
      <c r="AK17" s="92">
        <v>0.5106</v>
      </c>
      <c r="AL17" s="92">
        <v>0.9346</v>
      </c>
      <c r="AM17" s="92">
        <v>0.6604</v>
      </c>
      <c r="AN17" s="92">
        <v>0.6726</v>
      </c>
      <c r="AO17" s="49"/>
      <c r="AP17" s="49"/>
      <c r="AQ17" s="49"/>
    </row>
    <row r="18">
      <c r="A18" s="13"/>
      <c r="B18" s="13"/>
      <c r="C18" s="87">
        <v>3.0</v>
      </c>
      <c r="D18" s="46">
        <v>0.5034</v>
      </c>
      <c r="E18" s="46">
        <v>0.73845</v>
      </c>
      <c r="F18" s="92">
        <v>1.0</v>
      </c>
      <c r="G18" s="92">
        <v>0.8584</v>
      </c>
      <c r="H18" s="92">
        <v>1.0</v>
      </c>
      <c r="I18" s="92">
        <v>0.937</v>
      </c>
      <c r="J18" s="92">
        <v>0.9212</v>
      </c>
      <c r="K18" s="92">
        <v>0.5008</v>
      </c>
      <c r="L18" s="92">
        <v>0.32414</v>
      </c>
      <c r="M18" s="92">
        <v>0.947</v>
      </c>
      <c r="N18" s="48">
        <f t="shared" si="2"/>
        <v>0.7212392365</v>
      </c>
      <c r="O18" s="48">
        <f t="shared" si="1"/>
        <v>80.42435723</v>
      </c>
      <c r="P18" s="93">
        <v>7106.047285</v>
      </c>
      <c r="Q18" s="92">
        <v>5.857192</v>
      </c>
      <c r="R18" s="92">
        <v>0.6792</v>
      </c>
      <c r="S18" s="92">
        <v>0.72203</v>
      </c>
      <c r="T18" s="92">
        <v>0.6551</v>
      </c>
      <c r="U18" s="92">
        <v>0.7184</v>
      </c>
      <c r="V18" s="92">
        <v>0.722</v>
      </c>
      <c r="W18" s="92">
        <v>0.6792</v>
      </c>
      <c r="X18" s="92">
        <v>0.668</v>
      </c>
      <c r="Y18" s="92">
        <v>0.6784</v>
      </c>
      <c r="Z18" s="92">
        <v>0.7678</v>
      </c>
      <c r="AA18" s="92">
        <v>0.50786</v>
      </c>
      <c r="AB18" s="92">
        <v>0.48828</v>
      </c>
      <c r="AC18" s="92">
        <v>0.5679</v>
      </c>
      <c r="AD18" s="92">
        <v>0.6387</v>
      </c>
      <c r="AE18" s="92">
        <v>0.6012</v>
      </c>
      <c r="AF18" s="92">
        <v>0.7542</v>
      </c>
      <c r="AG18" s="92">
        <v>0.8192</v>
      </c>
      <c r="AH18" s="92">
        <v>0.5942</v>
      </c>
      <c r="AI18" s="92">
        <v>0.6888</v>
      </c>
      <c r="AJ18" s="92">
        <v>0.6944</v>
      </c>
      <c r="AK18" s="92">
        <v>0.5782</v>
      </c>
      <c r="AL18" s="92">
        <v>0.9332</v>
      </c>
      <c r="AM18" s="92">
        <v>0.7141</v>
      </c>
      <c r="AN18" s="92">
        <v>0.8644</v>
      </c>
      <c r="AO18" s="49"/>
      <c r="AP18" s="49"/>
      <c r="AQ18" s="49"/>
    </row>
    <row r="19">
      <c r="A19" s="13"/>
      <c r="B19" s="16"/>
      <c r="C19" s="87">
        <v>4.0</v>
      </c>
      <c r="D19" s="46">
        <v>0.5034</v>
      </c>
      <c r="E19" s="46">
        <v>0.73845</v>
      </c>
      <c r="F19" s="92">
        <v>1.0</v>
      </c>
      <c r="G19" s="92">
        <v>0.8572</v>
      </c>
      <c r="H19" s="92">
        <v>1.0</v>
      </c>
      <c r="I19" s="92">
        <v>0.9227</v>
      </c>
      <c r="J19" s="92">
        <v>0.93531</v>
      </c>
      <c r="K19" s="92">
        <v>0.5221</v>
      </c>
      <c r="L19" s="92">
        <v>0.32414</v>
      </c>
      <c r="M19" s="92">
        <v>0.943</v>
      </c>
      <c r="N19" s="48">
        <f t="shared" si="2"/>
        <v>0.7490703229</v>
      </c>
      <c r="O19" s="48">
        <f t="shared" si="1"/>
        <v>82.1331032</v>
      </c>
      <c r="P19" s="93">
        <v>7106.047285</v>
      </c>
      <c r="Q19" s="92">
        <v>5.888017</v>
      </c>
      <c r="R19" s="92">
        <v>0.7078</v>
      </c>
      <c r="S19" s="92">
        <v>0.75582</v>
      </c>
      <c r="T19" s="92">
        <v>0.6807</v>
      </c>
      <c r="U19" s="92">
        <v>0.7474</v>
      </c>
      <c r="V19" s="92">
        <v>0.7558</v>
      </c>
      <c r="W19" s="92">
        <v>0.7078</v>
      </c>
      <c r="X19" s="92">
        <v>0.6989</v>
      </c>
      <c r="Y19" s="92">
        <v>0.7081</v>
      </c>
      <c r="Z19" s="92">
        <v>0.7966</v>
      </c>
      <c r="AA19" s="92">
        <v>0.55374</v>
      </c>
      <c r="AB19" s="92">
        <v>0.5344</v>
      </c>
      <c r="AC19" s="92">
        <v>0.5709</v>
      </c>
      <c r="AD19" s="92">
        <v>0.7167</v>
      </c>
      <c r="AE19" s="92">
        <v>0.6355</v>
      </c>
      <c r="AF19" s="92">
        <v>0.7936</v>
      </c>
      <c r="AG19" s="92">
        <v>0.8516</v>
      </c>
      <c r="AH19" s="94">
        <v>0.6188</v>
      </c>
      <c r="AI19" s="94">
        <v>0.7168</v>
      </c>
      <c r="AJ19" s="94">
        <v>0.7231</v>
      </c>
      <c r="AK19" s="94">
        <v>0.6196</v>
      </c>
      <c r="AL19" s="94">
        <v>0.9319</v>
      </c>
      <c r="AM19" s="94">
        <v>0.7443</v>
      </c>
      <c r="AN19" s="94">
        <v>0.8807</v>
      </c>
      <c r="AO19" s="49"/>
      <c r="AP19" s="49"/>
      <c r="AQ19" s="49"/>
    </row>
    <row r="20">
      <c r="A20" s="13"/>
      <c r="B20" s="91" t="s">
        <v>26</v>
      </c>
      <c r="C20" s="87">
        <v>1.0</v>
      </c>
      <c r="D20" s="46">
        <v>0.5034</v>
      </c>
      <c r="E20" s="46">
        <v>0.73845</v>
      </c>
      <c r="F20" s="92">
        <v>1.0</v>
      </c>
      <c r="G20" s="93">
        <v>0.7971</v>
      </c>
      <c r="H20" s="93">
        <v>1.0</v>
      </c>
      <c r="I20" s="93">
        <v>0.8106</v>
      </c>
      <c r="J20" s="92">
        <v>0.80984</v>
      </c>
      <c r="K20" s="92">
        <v>0.35321</v>
      </c>
      <c r="L20" s="95">
        <v>0.32414</v>
      </c>
      <c r="M20" s="95">
        <v>0.8966</v>
      </c>
      <c r="N20" s="48">
        <f t="shared" si="2"/>
        <v>0.6153459255</v>
      </c>
      <c r="O20" s="48">
        <f t="shared" si="1"/>
        <v>71.53376627</v>
      </c>
      <c r="P20" s="92">
        <v>6648.234685</v>
      </c>
      <c r="Q20" s="95">
        <v>6.095575</v>
      </c>
      <c r="R20" s="93">
        <v>0.5497</v>
      </c>
      <c r="S20" s="93">
        <v>0.607528</v>
      </c>
      <c r="T20" s="93">
        <v>0.5412</v>
      </c>
      <c r="U20" s="93">
        <v>0.6224</v>
      </c>
      <c r="V20" s="93">
        <v>0.6075</v>
      </c>
      <c r="W20" s="93">
        <v>0.5497</v>
      </c>
      <c r="X20" s="93">
        <v>0.5308</v>
      </c>
      <c r="Y20" s="93">
        <v>0.5406</v>
      </c>
      <c r="Z20" s="93">
        <v>0.6595</v>
      </c>
      <c r="AA20" s="93">
        <v>0.35018</v>
      </c>
      <c r="AB20" s="93">
        <v>0.31719</v>
      </c>
      <c r="AC20" s="93">
        <v>0.4101</v>
      </c>
      <c r="AD20" s="93">
        <v>0.4343</v>
      </c>
      <c r="AE20" s="93">
        <v>0.4218</v>
      </c>
      <c r="AF20" s="93">
        <v>0.6109</v>
      </c>
      <c r="AG20" s="93">
        <v>0.7492</v>
      </c>
      <c r="AH20" s="93">
        <v>0.4279</v>
      </c>
      <c r="AI20" s="93">
        <v>0.5447</v>
      </c>
      <c r="AJ20" s="93">
        <v>0.5829</v>
      </c>
      <c r="AK20" s="93">
        <v>0.4643</v>
      </c>
      <c r="AL20" s="93">
        <v>0.9604</v>
      </c>
      <c r="AM20" s="93">
        <v>0.626</v>
      </c>
      <c r="AN20" s="93">
        <v>0.6109</v>
      </c>
      <c r="AO20" s="49"/>
      <c r="AP20" s="49"/>
      <c r="AQ20" s="49"/>
    </row>
    <row r="21">
      <c r="A21" s="13"/>
      <c r="B21" s="13"/>
      <c r="C21" s="87">
        <v>2.0</v>
      </c>
      <c r="D21" s="46">
        <v>0.5034</v>
      </c>
      <c r="E21" s="46">
        <v>0.73845</v>
      </c>
      <c r="F21" s="92">
        <v>1.0</v>
      </c>
      <c r="G21" s="92">
        <v>0.8824</v>
      </c>
      <c r="H21" s="93">
        <v>1.0</v>
      </c>
      <c r="I21" s="92">
        <v>0.8841</v>
      </c>
      <c r="J21" s="92">
        <v>0.80984</v>
      </c>
      <c r="K21" s="92">
        <v>0.4574</v>
      </c>
      <c r="L21" s="95">
        <v>0.32414</v>
      </c>
      <c r="M21" s="92">
        <v>0.9398</v>
      </c>
      <c r="N21" s="48">
        <f t="shared" si="2"/>
        <v>0.7099869131</v>
      </c>
      <c r="O21" s="48">
        <f t="shared" si="1"/>
        <v>79.42630926</v>
      </c>
      <c r="P21" s="92">
        <v>6648.234685</v>
      </c>
      <c r="Q21" s="92">
        <v>5.902805</v>
      </c>
      <c r="R21" s="92">
        <v>0.6667</v>
      </c>
      <c r="S21" s="92">
        <v>0.7086</v>
      </c>
      <c r="T21" s="92">
        <v>0.6354</v>
      </c>
      <c r="U21" s="92">
        <v>0.7152</v>
      </c>
      <c r="V21" s="92">
        <v>0.7086</v>
      </c>
      <c r="W21" s="92">
        <v>0.6667</v>
      </c>
      <c r="X21" s="92">
        <v>0.6505</v>
      </c>
      <c r="Y21" s="92">
        <v>0.6688</v>
      </c>
      <c r="Z21" s="92">
        <v>0.7578</v>
      </c>
      <c r="AA21" s="92">
        <v>0.49492</v>
      </c>
      <c r="AB21" s="92">
        <v>0.47501</v>
      </c>
      <c r="AC21" s="92">
        <v>0.4229</v>
      </c>
      <c r="AD21" s="92">
        <v>0.5936</v>
      </c>
      <c r="AE21" s="92">
        <v>0.4939</v>
      </c>
      <c r="AF21" s="92">
        <v>0.6967</v>
      </c>
      <c r="AG21" s="92">
        <v>0.83</v>
      </c>
      <c r="AH21" s="92">
        <v>0.5795</v>
      </c>
      <c r="AI21" s="92">
        <v>0.6825</v>
      </c>
      <c r="AJ21" s="92">
        <v>0.6933</v>
      </c>
      <c r="AK21" s="92">
        <v>0.6533</v>
      </c>
      <c r="AL21" s="92">
        <v>0.9526</v>
      </c>
      <c r="AM21" s="92">
        <v>0.7751</v>
      </c>
      <c r="AN21" s="92">
        <v>0.9009</v>
      </c>
      <c r="AO21" s="49"/>
      <c r="AP21" s="49"/>
      <c r="AQ21" s="49"/>
    </row>
    <row r="22">
      <c r="A22" s="13"/>
      <c r="B22" s="13"/>
      <c r="C22" s="87">
        <v>3.0</v>
      </c>
      <c r="D22" s="46">
        <v>0.5034</v>
      </c>
      <c r="E22" s="46">
        <v>0.73845</v>
      </c>
      <c r="F22" s="92">
        <v>1.0</v>
      </c>
      <c r="G22" s="92">
        <v>0.8611</v>
      </c>
      <c r="H22" s="92">
        <v>1.0</v>
      </c>
      <c r="I22" s="92">
        <v>0.9068</v>
      </c>
      <c r="J22" s="92">
        <v>0.9212</v>
      </c>
      <c r="K22" s="92">
        <v>0.5008</v>
      </c>
      <c r="L22" s="95">
        <v>0.32414</v>
      </c>
      <c r="M22" s="92">
        <v>0.94</v>
      </c>
      <c r="N22" s="48">
        <f t="shared" si="2"/>
        <v>0.7778370672</v>
      </c>
      <c r="O22" s="48">
        <f t="shared" si="1"/>
        <v>83.90432011</v>
      </c>
      <c r="P22" s="92">
        <v>6648.234685</v>
      </c>
      <c r="Q22" s="92">
        <v>5.89837</v>
      </c>
      <c r="R22" s="92">
        <v>0.7358</v>
      </c>
      <c r="S22" s="92">
        <v>0.788281</v>
      </c>
      <c r="T22" s="94">
        <v>0.7187</v>
      </c>
      <c r="U22" s="94">
        <v>0.7913</v>
      </c>
      <c r="V22" s="94">
        <v>0.7883</v>
      </c>
      <c r="W22" s="94">
        <v>0.7358</v>
      </c>
      <c r="X22" s="94">
        <v>0.732</v>
      </c>
      <c r="Y22" s="94">
        <v>0.7434</v>
      </c>
      <c r="Z22" s="94">
        <v>0.8228</v>
      </c>
      <c r="AA22" s="94">
        <v>0.60414</v>
      </c>
      <c r="AB22" s="94">
        <v>0.581904</v>
      </c>
      <c r="AC22" s="94">
        <v>0.4631</v>
      </c>
      <c r="AD22" s="94">
        <v>0.7713</v>
      </c>
      <c r="AE22" s="94">
        <v>0.5787</v>
      </c>
      <c r="AF22" s="94">
        <v>0.7849</v>
      </c>
      <c r="AG22" s="94">
        <v>0.8886</v>
      </c>
      <c r="AH22" s="94">
        <v>0.6418</v>
      </c>
      <c r="AI22" s="94">
        <v>0.7453</v>
      </c>
      <c r="AJ22" s="94">
        <v>0.7534</v>
      </c>
      <c r="AK22" s="94">
        <v>0.8043</v>
      </c>
      <c r="AL22" s="94">
        <v>0.9518</v>
      </c>
      <c r="AM22" s="94">
        <v>0.8719</v>
      </c>
      <c r="AN22" s="94">
        <v>0.9419</v>
      </c>
      <c r="AO22" s="49"/>
      <c r="AP22" s="49"/>
      <c r="AQ22" s="49"/>
    </row>
    <row r="23">
      <c r="A23" s="13"/>
      <c r="B23" s="16"/>
      <c r="C23" s="87">
        <v>4.0</v>
      </c>
      <c r="D23" s="46">
        <v>0.5034</v>
      </c>
      <c r="E23" s="46">
        <v>0.73845</v>
      </c>
      <c r="F23" s="92">
        <v>1.0</v>
      </c>
      <c r="G23" s="94">
        <v>0.855</v>
      </c>
      <c r="H23" s="92">
        <v>1.0</v>
      </c>
      <c r="I23" s="94">
        <v>0.9079</v>
      </c>
      <c r="J23" s="92">
        <v>0.93531</v>
      </c>
      <c r="K23" s="92">
        <v>0.5221</v>
      </c>
      <c r="L23" s="95">
        <v>0.32414</v>
      </c>
      <c r="M23" s="94">
        <v>0.9386</v>
      </c>
      <c r="N23" s="48">
        <f t="shared" si="2"/>
        <v>0.8090248792</v>
      </c>
      <c r="O23" s="48">
        <f t="shared" si="1"/>
        <v>85.85574208</v>
      </c>
      <c r="P23" s="92">
        <v>6648.234685</v>
      </c>
      <c r="Q23" s="92">
        <v>5.975718</v>
      </c>
      <c r="R23" s="94">
        <v>0.7662</v>
      </c>
      <c r="S23" s="94">
        <v>0.8245</v>
      </c>
      <c r="T23" s="94">
        <v>0.7657</v>
      </c>
      <c r="U23" s="94">
        <v>0.8327</v>
      </c>
      <c r="V23" s="94">
        <v>0.8245</v>
      </c>
      <c r="W23" s="94">
        <v>0.7662</v>
      </c>
      <c r="X23" s="94">
        <v>0.77</v>
      </c>
      <c r="Y23" s="94">
        <v>0.7777</v>
      </c>
      <c r="Z23" s="94">
        <v>0.85</v>
      </c>
      <c r="AA23" s="94">
        <v>0.65612</v>
      </c>
      <c r="AB23" s="94">
        <v>0.6298</v>
      </c>
      <c r="AC23" s="94">
        <v>0.4711</v>
      </c>
      <c r="AD23" s="94">
        <v>0.8545</v>
      </c>
      <c r="AE23" s="94">
        <v>0.6074</v>
      </c>
      <c r="AF23" s="94">
        <v>0.8186</v>
      </c>
      <c r="AG23" s="94">
        <v>0.9155</v>
      </c>
      <c r="AH23" s="94">
        <v>0.6675</v>
      </c>
      <c r="AI23" s="94">
        <v>0.7721</v>
      </c>
      <c r="AJ23" s="94">
        <v>0.78</v>
      </c>
      <c r="AK23" s="94">
        <v>0.9104</v>
      </c>
      <c r="AL23" s="94">
        <v>0.9515</v>
      </c>
      <c r="AM23" s="94">
        <v>0.9305</v>
      </c>
      <c r="AN23" s="94">
        <v>0.962</v>
      </c>
      <c r="AO23" s="49"/>
      <c r="AP23" s="49"/>
      <c r="AQ23" s="49"/>
    </row>
    <row r="24">
      <c r="A24" s="13"/>
      <c r="B24" s="91" t="s">
        <v>27</v>
      </c>
      <c r="C24" s="87">
        <v>1.0</v>
      </c>
      <c r="D24" s="46">
        <v>0.5034</v>
      </c>
      <c r="E24" s="46">
        <v>0.73845</v>
      </c>
      <c r="F24" s="92">
        <v>1.0</v>
      </c>
      <c r="G24" s="94">
        <v>0.8928</v>
      </c>
      <c r="H24" s="92">
        <v>1.0</v>
      </c>
      <c r="I24" s="94">
        <v>0.7865</v>
      </c>
      <c r="J24" s="92">
        <v>0.80984</v>
      </c>
      <c r="K24" s="92">
        <v>0.35321</v>
      </c>
      <c r="L24" s="95">
        <v>0.32414</v>
      </c>
      <c r="M24" s="94">
        <v>0.9154</v>
      </c>
      <c r="N24" s="48">
        <f t="shared" si="2"/>
        <v>0.6005384843</v>
      </c>
      <c r="O24" s="48">
        <f t="shared" si="1"/>
        <v>71.0835108</v>
      </c>
      <c r="P24" s="92">
        <v>8450.139855</v>
      </c>
      <c r="Q24" s="94">
        <v>6.303626</v>
      </c>
      <c r="R24" s="94">
        <v>0.5423</v>
      </c>
      <c r="S24" s="94">
        <v>0.58551</v>
      </c>
      <c r="T24" s="94">
        <v>0.5322</v>
      </c>
      <c r="U24" s="94">
        <v>0.5847</v>
      </c>
      <c r="V24" s="94">
        <v>0.5855</v>
      </c>
      <c r="W24" s="94">
        <v>0.5423</v>
      </c>
      <c r="X24" s="94">
        <v>0.5356</v>
      </c>
      <c r="Y24" s="94">
        <v>0.5403</v>
      </c>
      <c r="Z24" s="94">
        <v>0.6528</v>
      </c>
      <c r="AA24" s="94">
        <v>0.2961</v>
      </c>
      <c r="AB24" s="94">
        <v>0.28</v>
      </c>
      <c r="AC24" s="94">
        <v>0.4824</v>
      </c>
      <c r="AD24" s="94">
        <v>0.5076</v>
      </c>
      <c r="AE24" s="94">
        <v>0.4947</v>
      </c>
      <c r="AF24" s="94">
        <v>0.6674</v>
      </c>
      <c r="AG24" s="94">
        <v>0.671</v>
      </c>
      <c r="AH24" s="94">
        <v>0.4573</v>
      </c>
      <c r="AI24" s="94">
        <v>0.5439</v>
      </c>
      <c r="AJ24" s="94">
        <v>0.5567</v>
      </c>
      <c r="AK24" s="94">
        <v>0.4431</v>
      </c>
      <c r="AL24" s="94">
        <v>0.7917</v>
      </c>
      <c r="AM24" s="94">
        <v>0.5682</v>
      </c>
      <c r="AN24" s="94">
        <v>0.7489</v>
      </c>
      <c r="AO24" s="49"/>
      <c r="AP24" s="49"/>
      <c r="AQ24" s="49"/>
    </row>
    <row r="25">
      <c r="A25" s="13"/>
      <c r="B25" s="13"/>
      <c r="C25" s="87">
        <v>2.0</v>
      </c>
      <c r="D25" s="46">
        <v>0.5034</v>
      </c>
      <c r="E25" s="46">
        <v>0.73845</v>
      </c>
      <c r="F25" s="92">
        <v>1.0</v>
      </c>
      <c r="G25" s="94">
        <v>0.8814</v>
      </c>
      <c r="H25" s="92">
        <v>1.0</v>
      </c>
      <c r="I25" s="94">
        <v>0.7865</v>
      </c>
      <c r="J25" s="92">
        <v>0.8764</v>
      </c>
      <c r="K25" s="92">
        <v>0.4574</v>
      </c>
      <c r="L25" s="95">
        <v>0.32414</v>
      </c>
      <c r="M25" s="94">
        <v>0.9125</v>
      </c>
      <c r="N25" s="48">
        <f t="shared" si="2"/>
        <v>0.6681556022</v>
      </c>
      <c r="O25" s="48">
        <f t="shared" si="1"/>
        <v>75.68672574</v>
      </c>
      <c r="P25" s="92">
        <v>8450.139855</v>
      </c>
      <c r="Q25" s="94">
        <v>6.374203</v>
      </c>
      <c r="R25" s="94">
        <v>0.6139</v>
      </c>
      <c r="S25" s="94">
        <v>0.66634</v>
      </c>
      <c r="T25" s="94">
        <v>0.5941</v>
      </c>
      <c r="U25" s="94">
        <v>0.6563</v>
      </c>
      <c r="V25" s="94">
        <v>0.6663</v>
      </c>
      <c r="W25" s="94">
        <v>0.6139</v>
      </c>
      <c r="X25" s="94">
        <v>0.6104</v>
      </c>
      <c r="Y25" s="94">
        <v>0.6151</v>
      </c>
      <c r="Z25" s="94">
        <v>0.7244</v>
      </c>
      <c r="AA25" s="94">
        <v>0.40816</v>
      </c>
      <c r="AB25" s="94">
        <v>0.3919</v>
      </c>
      <c r="AC25" s="94">
        <v>0.5005</v>
      </c>
      <c r="AD25" s="94">
        <v>0.7135</v>
      </c>
      <c r="AE25" s="94">
        <v>0.5883</v>
      </c>
      <c r="AF25" s="94">
        <v>0.774</v>
      </c>
      <c r="AG25" s="94">
        <v>0.7544</v>
      </c>
      <c r="AH25" s="94">
        <v>0.5275</v>
      </c>
      <c r="AI25" s="94">
        <v>0.6209</v>
      </c>
      <c r="AJ25" s="94">
        <v>0.774</v>
      </c>
      <c r="AK25" s="94">
        <v>0.5272</v>
      </c>
      <c r="AL25" s="94">
        <v>0.758</v>
      </c>
      <c r="AM25" s="94">
        <v>0.6219</v>
      </c>
      <c r="AN25" s="94">
        <v>0.7792</v>
      </c>
      <c r="AO25" s="49"/>
      <c r="AP25" s="49"/>
      <c r="AQ25" s="49"/>
    </row>
    <row r="26">
      <c r="A26" s="13"/>
      <c r="B26" s="13"/>
      <c r="C26" s="87">
        <v>3.0</v>
      </c>
      <c r="D26" s="46">
        <v>0.5034</v>
      </c>
      <c r="E26" s="46">
        <v>0.73845</v>
      </c>
      <c r="F26" s="92">
        <v>1.0</v>
      </c>
      <c r="G26" s="94">
        <v>0.9007</v>
      </c>
      <c r="H26" s="92">
        <v>1.0</v>
      </c>
      <c r="I26" s="94">
        <v>0.788</v>
      </c>
      <c r="J26" s="92">
        <v>0.9212</v>
      </c>
      <c r="K26" s="92">
        <v>0.5008</v>
      </c>
      <c r="L26" s="95">
        <v>0.32414</v>
      </c>
      <c r="M26" s="94">
        <v>0.9179</v>
      </c>
      <c r="N26" s="48">
        <f t="shared" si="2"/>
        <v>0.7077957258</v>
      </c>
      <c r="O26" s="48">
        <f t="shared" si="1"/>
        <v>78.53493875</v>
      </c>
      <c r="P26" s="92">
        <v>8450.139855</v>
      </c>
      <c r="Q26" s="92">
        <v>6.351575</v>
      </c>
      <c r="R26" s="94">
        <v>0.6507</v>
      </c>
      <c r="S26" s="94">
        <v>0.71807</v>
      </c>
      <c r="T26" s="94">
        <v>0.6352</v>
      </c>
      <c r="U26" s="94">
        <v>0.7044</v>
      </c>
      <c r="V26" s="94">
        <v>0.7181</v>
      </c>
      <c r="W26" s="94">
        <v>0.6507</v>
      </c>
      <c r="X26" s="94">
        <v>0.6496</v>
      </c>
      <c r="Y26" s="94">
        <v>0.6521</v>
      </c>
      <c r="Z26" s="94">
        <v>0.8265</v>
      </c>
      <c r="AA26" s="94">
        <v>0.47836</v>
      </c>
      <c r="AB26" s="94">
        <v>0.45579</v>
      </c>
      <c r="AC26" s="94">
        <v>0.4935</v>
      </c>
      <c r="AD26" s="94">
        <v>0.8501</v>
      </c>
      <c r="AE26" s="94">
        <v>0.6245</v>
      </c>
      <c r="AF26" s="94">
        <v>0.8265</v>
      </c>
      <c r="AG26" s="94">
        <v>0.809</v>
      </c>
      <c r="AH26" s="94">
        <v>0.5481</v>
      </c>
      <c r="AI26" s="94">
        <v>0.6534</v>
      </c>
      <c r="AJ26" s="94">
        <v>0.6679</v>
      </c>
      <c r="AK26" s="94">
        <v>0.6031</v>
      </c>
      <c r="AL26" s="94">
        <v>0.7561</v>
      </c>
      <c r="AM26" s="94">
        <v>0.671</v>
      </c>
      <c r="AN26" s="94">
        <v>0.8037</v>
      </c>
      <c r="AO26" s="49"/>
      <c r="AP26" s="49"/>
      <c r="AQ26" s="49"/>
    </row>
    <row r="27" ht="16.5" customHeight="1">
      <c r="A27" s="16"/>
      <c r="B27" s="16"/>
      <c r="C27" s="87">
        <v>4.0</v>
      </c>
      <c r="D27" s="46">
        <v>0.5034</v>
      </c>
      <c r="E27" s="46">
        <v>0.73845</v>
      </c>
      <c r="F27" s="92">
        <v>1.0</v>
      </c>
      <c r="G27" s="94">
        <v>0.8964</v>
      </c>
      <c r="H27" s="95"/>
      <c r="I27" s="94">
        <v>0.7937</v>
      </c>
      <c r="J27" s="92">
        <v>0.93531</v>
      </c>
      <c r="K27" s="92">
        <v>0.5221</v>
      </c>
      <c r="L27" s="95">
        <v>0.32414</v>
      </c>
      <c r="M27" s="94">
        <v>0.9184</v>
      </c>
      <c r="N27" s="48">
        <f t="shared" si="2"/>
        <v>0.7217320778</v>
      </c>
      <c r="O27" s="48">
        <f t="shared" si="1"/>
        <v>79.47643076</v>
      </c>
      <c r="P27" s="92">
        <v>8450.139855</v>
      </c>
      <c r="Q27" s="94">
        <v>6.742999</v>
      </c>
      <c r="R27" s="94">
        <v>0.6654</v>
      </c>
      <c r="S27" s="94">
        <v>0.73419</v>
      </c>
      <c r="T27" s="94">
        <v>0.6544</v>
      </c>
      <c r="U27" s="94">
        <v>0.7237</v>
      </c>
      <c r="V27" s="94">
        <v>0.7342</v>
      </c>
      <c r="W27" s="94">
        <v>0.6654</v>
      </c>
      <c r="X27" s="94">
        <v>0.665</v>
      </c>
      <c r="Y27" s="94">
        <v>0.6682</v>
      </c>
      <c r="Z27" s="94">
        <v>0.7748</v>
      </c>
      <c r="AA27" s="94">
        <v>0.50343</v>
      </c>
      <c r="AB27" s="94">
        <v>0.4786</v>
      </c>
      <c r="AC27" s="94">
        <v>0.4833</v>
      </c>
      <c r="AD27" s="94">
        <v>0.8888</v>
      </c>
      <c r="AE27" s="94">
        <v>0.6261</v>
      </c>
      <c r="AF27" s="94">
        <v>0.8359</v>
      </c>
      <c r="AG27" s="94">
        <v>0.8251</v>
      </c>
      <c r="AH27" s="94">
        <v>0.563</v>
      </c>
      <c r="AI27" s="94">
        <v>0.6693</v>
      </c>
      <c r="AJ27" s="94">
        <v>0.8359</v>
      </c>
      <c r="AK27" s="94">
        <v>0.8251</v>
      </c>
      <c r="AL27" s="94">
        <v>0.563</v>
      </c>
      <c r="AM27" s="94">
        <v>0.563</v>
      </c>
      <c r="AN27" s="94">
        <v>0.683</v>
      </c>
      <c r="AO27" s="49"/>
      <c r="AP27" s="49"/>
      <c r="AQ27" s="49"/>
    </row>
    <row r="28">
      <c r="A28" s="96" t="s">
        <v>98</v>
      </c>
      <c r="B28" s="97" t="s">
        <v>111</v>
      </c>
      <c r="C28" s="98">
        <v>1.0</v>
      </c>
      <c r="D28" s="99">
        <v>1.0</v>
      </c>
      <c r="E28" s="99">
        <v>1.0</v>
      </c>
      <c r="F28" s="99">
        <v>1.0</v>
      </c>
      <c r="G28" s="99">
        <v>0.863</v>
      </c>
      <c r="H28" s="99">
        <v>0.8164</v>
      </c>
      <c r="I28" s="99">
        <v>0.0</v>
      </c>
      <c r="J28" s="99">
        <v>0.885</v>
      </c>
      <c r="K28" s="100">
        <v>1.0</v>
      </c>
      <c r="L28" s="101">
        <v>0.32414</v>
      </c>
      <c r="M28" s="99">
        <v>0.0257</v>
      </c>
      <c r="N28" s="57">
        <f t="shared" si="2"/>
        <v>0.8057911963</v>
      </c>
      <c r="O28" s="57">
        <f t="shared" si="1"/>
        <v>20.30985207</v>
      </c>
      <c r="P28" s="99">
        <v>33.927472</v>
      </c>
      <c r="Q28" s="99">
        <v>1.22246</v>
      </c>
      <c r="R28" s="99">
        <v>0.7664</v>
      </c>
      <c r="S28" s="99">
        <v>0.8113</v>
      </c>
      <c r="T28" s="99">
        <v>0.8094</v>
      </c>
      <c r="U28" s="99">
        <v>0.8999</v>
      </c>
      <c r="V28" s="99">
        <v>0.8113</v>
      </c>
      <c r="W28" s="99">
        <v>0.7664</v>
      </c>
      <c r="X28" s="99">
        <v>0.7567</v>
      </c>
      <c r="Y28" s="99">
        <v>0.7939</v>
      </c>
      <c r="Z28" s="99">
        <v>0.8467</v>
      </c>
      <c r="AA28" s="99">
        <v>0.6812</v>
      </c>
      <c r="AB28" s="99">
        <v>0.6339</v>
      </c>
      <c r="AC28" s="99">
        <v>0.4283</v>
      </c>
      <c r="AD28" s="99">
        <v>1.0</v>
      </c>
      <c r="AE28" s="99">
        <v>0.5997</v>
      </c>
      <c r="AF28" s="99">
        <v>0.8466</v>
      </c>
      <c r="AG28" s="99">
        <v>1.0</v>
      </c>
      <c r="AH28" s="99">
        <v>0.7166</v>
      </c>
      <c r="AI28" s="99">
        <v>0.8349</v>
      </c>
      <c r="AJ28" s="99">
        <v>0.8465</v>
      </c>
      <c r="AK28" s="99">
        <v>1.0</v>
      </c>
      <c r="AL28" s="99">
        <v>0.7173</v>
      </c>
      <c r="AM28" s="99">
        <v>0.8354</v>
      </c>
      <c r="AN28" s="99">
        <v>0.847</v>
      </c>
      <c r="AO28" s="58"/>
      <c r="AP28" s="58"/>
      <c r="AQ28" s="58"/>
    </row>
    <row r="29">
      <c r="A29" s="13"/>
      <c r="B29" s="13"/>
      <c r="C29" s="98">
        <v>2.0</v>
      </c>
      <c r="D29" s="99">
        <v>1.0</v>
      </c>
      <c r="E29" s="99">
        <v>1.0</v>
      </c>
      <c r="F29" s="99">
        <v>1.0</v>
      </c>
      <c r="G29" s="99">
        <v>0.7051</v>
      </c>
      <c r="H29" s="99">
        <v>0.9372</v>
      </c>
      <c r="I29" s="99">
        <v>0.0</v>
      </c>
      <c r="J29" s="99">
        <v>0.9445</v>
      </c>
      <c r="K29" s="100">
        <v>1.0</v>
      </c>
      <c r="L29" s="101">
        <v>0.32414</v>
      </c>
      <c r="M29" s="99">
        <v>0.0095</v>
      </c>
      <c r="N29" s="57">
        <f t="shared" si="2"/>
        <v>0.9374562164</v>
      </c>
      <c r="O29" s="57">
        <f t="shared" si="1"/>
        <v>14.93688503</v>
      </c>
      <c r="P29" s="99">
        <v>33.927472</v>
      </c>
      <c r="Q29" s="99">
        <v>1.369218</v>
      </c>
      <c r="R29" s="99">
        <v>0.9284</v>
      </c>
      <c r="S29" s="99">
        <v>0.9502</v>
      </c>
      <c r="T29" s="99">
        <v>0.9031</v>
      </c>
      <c r="U29" s="99">
        <v>0.9492</v>
      </c>
      <c r="V29" s="99">
        <v>0.9502</v>
      </c>
      <c r="W29" s="99">
        <v>0.9284</v>
      </c>
      <c r="X29" s="99">
        <v>0.9173</v>
      </c>
      <c r="Y29" s="99">
        <v>0.9327</v>
      </c>
      <c r="Z29" s="99">
        <v>0.9597</v>
      </c>
      <c r="AA29" s="99">
        <v>0.8863</v>
      </c>
      <c r="AB29" s="99">
        <v>0.879</v>
      </c>
      <c r="AC29" s="99">
        <v>0.7094</v>
      </c>
      <c r="AD29" s="99">
        <v>1.0</v>
      </c>
      <c r="AE29" s="99">
        <v>0.83</v>
      </c>
      <c r="AF29" s="99">
        <v>0.9557</v>
      </c>
      <c r="AG29" s="99">
        <v>1.0</v>
      </c>
      <c r="AH29" s="99">
        <v>0.8974</v>
      </c>
      <c r="AI29" s="99">
        <v>0.9459</v>
      </c>
      <c r="AJ29" s="99">
        <v>0.9473</v>
      </c>
      <c r="AK29" s="99">
        <v>1.0</v>
      </c>
      <c r="AL29" s="99">
        <v>0.9533</v>
      </c>
      <c r="AM29" s="99">
        <v>0.9761</v>
      </c>
      <c r="AN29" s="99">
        <v>0.9764</v>
      </c>
      <c r="AO29" s="58"/>
      <c r="AP29" s="58"/>
      <c r="AQ29" s="58"/>
    </row>
    <row r="30">
      <c r="A30" s="13"/>
      <c r="B30" s="13"/>
      <c r="C30" s="98">
        <v>3.0</v>
      </c>
      <c r="D30" s="99">
        <v>1.0</v>
      </c>
      <c r="E30" s="99">
        <v>1.0</v>
      </c>
      <c r="F30" s="99">
        <v>1.0</v>
      </c>
      <c r="G30" s="99">
        <v>0.6469</v>
      </c>
      <c r="H30" s="99">
        <v>0.9775</v>
      </c>
      <c r="I30" s="99">
        <v>0.0</v>
      </c>
      <c r="J30" s="99">
        <v>0.9795</v>
      </c>
      <c r="K30" s="100">
        <v>1.0</v>
      </c>
      <c r="L30" s="101">
        <v>0.32414</v>
      </c>
      <c r="M30" s="99">
        <v>0.009</v>
      </c>
      <c r="N30" s="57">
        <f t="shared" si="2"/>
        <v>0.9772135785</v>
      </c>
      <c r="O30" s="57">
        <f t="shared" si="1"/>
        <v>14.98617154</v>
      </c>
      <c r="P30" s="99">
        <v>33.927472</v>
      </c>
      <c r="Q30" s="99">
        <v>1.397134</v>
      </c>
      <c r="R30" s="99">
        <v>0.975</v>
      </c>
      <c r="S30" s="99">
        <v>0.9823</v>
      </c>
      <c r="T30" s="99">
        <v>0.9596</v>
      </c>
      <c r="U30" s="99">
        <v>0.978</v>
      </c>
      <c r="V30" s="99">
        <v>0.9823</v>
      </c>
      <c r="W30" s="99">
        <v>0.975</v>
      </c>
      <c r="X30" s="99">
        <v>0.9695</v>
      </c>
      <c r="Y30" s="99">
        <v>0.9756</v>
      </c>
      <c r="Z30" s="99">
        <v>0.9859</v>
      </c>
      <c r="AA30" s="99">
        <v>0.9576</v>
      </c>
      <c r="AB30" s="99">
        <v>0.9566</v>
      </c>
      <c r="AC30" s="99">
        <v>0.879</v>
      </c>
      <c r="AD30" s="99">
        <v>1.0</v>
      </c>
      <c r="AE30" s="99">
        <v>0.9356</v>
      </c>
      <c r="AF30" s="99">
        <v>0.9846</v>
      </c>
      <c r="AG30" s="99">
        <v>1.0</v>
      </c>
      <c r="AH30" s="99">
        <v>0.9645</v>
      </c>
      <c r="AI30" s="99">
        <v>0.9819</v>
      </c>
      <c r="AJ30" s="99">
        <v>0.9821</v>
      </c>
      <c r="AK30" s="99">
        <v>1.0</v>
      </c>
      <c r="AL30" s="99">
        <v>0.9823</v>
      </c>
      <c r="AM30" s="99">
        <v>0.9911</v>
      </c>
      <c r="AN30" s="99">
        <v>0.9911</v>
      </c>
      <c r="AO30" s="58"/>
      <c r="AP30" s="58"/>
      <c r="AQ30" s="58"/>
    </row>
    <row r="31">
      <c r="A31" s="13"/>
      <c r="B31" s="16"/>
      <c r="C31" s="98">
        <v>4.0</v>
      </c>
      <c r="D31" s="99">
        <v>1.0</v>
      </c>
      <c r="E31" s="99">
        <v>1.0</v>
      </c>
      <c r="F31" s="99">
        <v>1.0</v>
      </c>
      <c r="G31" s="99">
        <v>0.7051</v>
      </c>
      <c r="H31" s="99">
        <v>0.9372</v>
      </c>
      <c r="I31" s="99">
        <v>0.0</v>
      </c>
      <c r="J31" s="99">
        <v>0.9445</v>
      </c>
      <c r="K31" s="100">
        <v>1.0</v>
      </c>
      <c r="L31" s="101">
        <v>0.32414</v>
      </c>
      <c r="M31" s="99">
        <v>0.0095</v>
      </c>
      <c r="N31" s="57">
        <f t="shared" si="2"/>
        <v>0.9374562164</v>
      </c>
      <c r="O31" s="57">
        <f t="shared" si="1"/>
        <v>14.93688503</v>
      </c>
      <c r="P31" s="99">
        <v>33.927472</v>
      </c>
      <c r="Q31" s="99">
        <v>1.412412</v>
      </c>
      <c r="R31" s="99">
        <v>0.9284</v>
      </c>
      <c r="S31" s="99">
        <v>0.9502</v>
      </c>
      <c r="T31" s="99">
        <v>0.9031</v>
      </c>
      <c r="U31" s="99">
        <v>0.9492</v>
      </c>
      <c r="V31" s="99">
        <v>0.9502</v>
      </c>
      <c r="W31" s="99">
        <v>0.9284</v>
      </c>
      <c r="X31" s="99">
        <v>0.9173</v>
      </c>
      <c r="Y31" s="99">
        <v>0.9327</v>
      </c>
      <c r="Z31" s="99">
        <v>0.9597</v>
      </c>
      <c r="AA31" s="99">
        <v>0.8863</v>
      </c>
      <c r="AB31" s="99">
        <v>0.879</v>
      </c>
      <c r="AC31" s="99">
        <v>0.7094</v>
      </c>
      <c r="AD31" s="99">
        <v>1.0</v>
      </c>
      <c r="AE31" s="99">
        <v>0.83</v>
      </c>
      <c r="AF31" s="99">
        <v>0.9557</v>
      </c>
      <c r="AG31" s="99">
        <v>1.0</v>
      </c>
      <c r="AH31" s="99">
        <v>0.8974</v>
      </c>
      <c r="AI31" s="99">
        <v>0.9459</v>
      </c>
      <c r="AJ31" s="99">
        <v>0.9473</v>
      </c>
      <c r="AK31" s="99">
        <v>1.0</v>
      </c>
      <c r="AL31" s="99">
        <v>0.9533</v>
      </c>
      <c r="AM31" s="99">
        <v>0.9761</v>
      </c>
      <c r="AN31" s="99">
        <v>0.9764</v>
      </c>
      <c r="AO31" s="58"/>
      <c r="AP31" s="58"/>
      <c r="AQ31" s="58"/>
    </row>
    <row r="32">
      <c r="A32" s="13"/>
      <c r="B32" s="97" t="s">
        <v>23</v>
      </c>
      <c r="C32" s="98">
        <v>1.0</v>
      </c>
      <c r="D32" s="99">
        <v>1.0</v>
      </c>
      <c r="E32" s="99">
        <v>1.0</v>
      </c>
      <c r="F32" s="99">
        <v>1.0</v>
      </c>
      <c r="G32" s="99">
        <v>0.3684</v>
      </c>
      <c r="H32" s="99">
        <v>0.8699</v>
      </c>
      <c r="I32" s="99">
        <v>0.0023</v>
      </c>
      <c r="J32" s="99">
        <v>0.8654</v>
      </c>
      <c r="K32" s="100">
        <v>1.0</v>
      </c>
      <c r="L32" s="101">
        <v>0.32414</v>
      </c>
      <c r="M32" s="99">
        <v>0.2296</v>
      </c>
      <c r="N32" s="57">
        <f t="shared" si="2"/>
        <v>0.7976272594</v>
      </c>
      <c r="O32" s="57">
        <f t="shared" si="1"/>
        <v>48.46952305</v>
      </c>
      <c r="P32" s="99">
        <v>48.639934</v>
      </c>
      <c r="Q32" s="99">
        <v>0.601517</v>
      </c>
      <c r="R32" s="99">
        <v>0.8382</v>
      </c>
      <c r="S32" s="99">
        <v>0.7227</v>
      </c>
      <c r="T32" s="99">
        <v>0.9285</v>
      </c>
      <c r="U32" s="99">
        <v>0.8729</v>
      </c>
      <c r="V32" s="99">
        <v>0.7227</v>
      </c>
      <c r="W32" s="99">
        <v>0.8382</v>
      </c>
      <c r="X32" s="99">
        <v>0.7789</v>
      </c>
      <c r="Y32" s="99">
        <v>0.8243</v>
      </c>
      <c r="Z32" s="99">
        <v>0.7614</v>
      </c>
      <c r="AA32" s="99">
        <v>0.7155</v>
      </c>
      <c r="AB32" s="99">
        <v>0.6766</v>
      </c>
      <c r="AC32" s="99">
        <v>1.0</v>
      </c>
      <c r="AD32" s="99">
        <v>0.4507</v>
      </c>
      <c r="AE32" s="99">
        <v>0.6214</v>
      </c>
      <c r="AF32" s="99">
        <v>0.6714</v>
      </c>
      <c r="AG32" s="99">
        <v>0.7855</v>
      </c>
      <c r="AH32" s="99">
        <v>1.0</v>
      </c>
      <c r="AI32" s="99">
        <v>0.8799</v>
      </c>
      <c r="AJ32" s="99">
        <v>0.7764</v>
      </c>
      <c r="AK32" s="99">
        <v>1.0</v>
      </c>
      <c r="AL32" s="99">
        <v>0.7173</v>
      </c>
      <c r="AM32" s="99">
        <v>0.8354</v>
      </c>
      <c r="AN32" s="99">
        <v>0.847</v>
      </c>
      <c r="AO32" s="58"/>
      <c r="AP32" s="58"/>
      <c r="AQ32" s="58"/>
    </row>
    <row r="33">
      <c r="A33" s="13"/>
      <c r="B33" s="13"/>
      <c r="C33" s="98">
        <v>2.0</v>
      </c>
      <c r="D33" s="99">
        <v>1.0</v>
      </c>
      <c r="E33" s="99">
        <v>1.0</v>
      </c>
      <c r="F33" s="99">
        <v>1.0</v>
      </c>
      <c r="G33" s="99">
        <v>0.526</v>
      </c>
      <c r="H33" s="99">
        <v>0.9483</v>
      </c>
      <c r="I33" s="99">
        <v>0.0</v>
      </c>
      <c r="J33" s="99">
        <v>0.9422</v>
      </c>
      <c r="K33" s="100">
        <v>1.0</v>
      </c>
      <c r="L33" s="101">
        <v>0.32414</v>
      </c>
      <c r="M33" s="99">
        <v>0.0086</v>
      </c>
      <c r="N33" s="57">
        <f t="shared" si="2"/>
        <v>0.9274685677</v>
      </c>
      <c r="O33" s="57">
        <f t="shared" si="1"/>
        <v>14.26194971</v>
      </c>
      <c r="P33" s="99">
        <v>48.639934</v>
      </c>
      <c r="Q33" s="99">
        <v>0.737384</v>
      </c>
      <c r="R33" s="99">
        <v>0.9412</v>
      </c>
      <c r="S33" s="99">
        <v>0.8932</v>
      </c>
      <c r="T33" s="99">
        <v>0.9698</v>
      </c>
      <c r="U33" s="99">
        <v>0.9465</v>
      </c>
      <c r="V33" s="99">
        <v>0.8932</v>
      </c>
      <c r="W33" s="99">
        <v>0.9412</v>
      </c>
      <c r="X33" s="99">
        <v>0.9233</v>
      </c>
      <c r="Y33" s="99">
        <v>0.9387</v>
      </c>
      <c r="Z33" s="99">
        <v>0.9166</v>
      </c>
      <c r="AA33" s="99">
        <v>0.8974</v>
      </c>
      <c r="AB33" s="99">
        <v>0.8915</v>
      </c>
      <c r="AC33" s="99">
        <v>1.0</v>
      </c>
      <c r="AD33" s="99">
        <v>0.7262</v>
      </c>
      <c r="AE33" s="99">
        <v>0.8414</v>
      </c>
      <c r="AF33" s="99">
        <v>0.8522</v>
      </c>
      <c r="AG33" s="99">
        <v>0.9094</v>
      </c>
      <c r="AH33" s="99">
        <v>1.0</v>
      </c>
      <c r="AI33" s="99">
        <v>0.9526</v>
      </c>
      <c r="AJ33" s="99">
        <v>0.9254</v>
      </c>
      <c r="AK33" s="99">
        <v>1.0</v>
      </c>
      <c r="AL33" s="99">
        <v>0.9533</v>
      </c>
      <c r="AM33" s="99">
        <v>0.9761</v>
      </c>
      <c r="AN33" s="99">
        <v>0.9764</v>
      </c>
      <c r="AO33" s="58"/>
      <c r="AP33" s="58"/>
      <c r="AQ33" s="58"/>
    </row>
    <row r="34">
      <c r="A34" s="13"/>
      <c r="B34" s="13"/>
      <c r="C34" s="98">
        <v>3.0</v>
      </c>
      <c r="D34" s="99">
        <v>1.0</v>
      </c>
      <c r="E34" s="99">
        <v>1.0</v>
      </c>
      <c r="F34" s="99">
        <v>1.0</v>
      </c>
      <c r="G34" s="99">
        <v>0.5878</v>
      </c>
      <c r="H34" s="99">
        <v>0.9849</v>
      </c>
      <c r="I34" s="99">
        <v>0.0</v>
      </c>
      <c r="J34" s="99">
        <v>0.9834</v>
      </c>
      <c r="K34" s="100">
        <v>1.0</v>
      </c>
      <c r="L34" s="101">
        <v>0.32414</v>
      </c>
      <c r="M34" s="99">
        <v>0.0089</v>
      </c>
      <c r="N34" s="57">
        <f t="shared" si="2"/>
        <v>0.9782279678</v>
      </c>
      <c r="O34" s="57">
        <f t="shared" si="1"/>
        <v>14.92863321</v>
      </c>
      <c r="P34" s="99">
        <v>48.639934</v>
      </c>
      <c r="Q34" s="99">
        <v>0.77589</v>
      </c>
      <c r="R34" s="99">
        <v>0.9815</v>
      </c>
      <c r="S34" s="99">
        <v>0.9676</v>
      </c>
      <c r="T34" s="99">
        <v>0.9899</v>
      </c>
      <c r="U34" s="99">
        <v>0.9821</v>
      </c>
      <c r="V34" s="99">
        <v>0.9676</v>
      </c>
      <c r="W34" s="99">
        <v>0.9815</v>
      </c>
      <c r="X34" s="99">
        <v>0.9781</v>
      </c>
      <c r="Y34" s="99">
        <v>0.9814</v>
      </c>
      <c r="Z34" s="99">
        <v>0.9759</v>
      </c>
      <c r="AA34" s="99">
        <v>0.9676</v>
      </c>
      <c r="AB34" s="99">
        <v>0.967</v>
      </c>
      <c r="AC34" s="99">
        <v>1.0</v>
      </c>
      <c r="AD34" s="99">
        <v>0.9206</v>
      </c>
      <c r="AE34" s="99">
        <v>0.9587</v>
      </c>
      <c r="AF34" s="99">
        <v>0.9595</v>
      </c>
      <c r="AG34" s="99">
        <v>0.9697</v>
      </c>
      <c r="AH34" s="99">
        <v>1.0</v>
      </c>
      <c r="AI34" s="99">
        <v>0.9846</v>
      </c>
      <c r="AJ34" s="99">
        <v>0.9773</v>
      </c>
      <c r="AK34" s="99">
        <v>1.0</v>
      </c>
      <c r="AL34" s="99">
        <v>0.9823</v>
      </c>
      <c r="AM34" s="99">
        <v>0.9911</v>
      </c>
      <c r="AN34" s="99">
        <v>0.9911</v>
      </c>
      <c r="AO34" s="58"/>
      <c r="AP34" s="58"/>
      <c r="AQ34" s="58"/>
    </row>
    <row r="35">
      <c r="A35" s="13"/>
      <c r="B35" s="16"/>
      <c r="C35" s="98">
        <v>4.0</v>
      </c>
      <c r="D35" s="99">
        <v>1.0</v>
      </c>
      <c r="E35" s="99">
        <v>1.0</v>
      </c>
      <c r="F35" s="99">
        <v>1.0</v>
      </c>
      <c r="G35" s="99">
        <v>0.526</v>
      </c>
      <c r="H35" s="99">
        <v>0.9483</v>
      </c>
      <c r="I35" s="99">
        <v>0.0</v>
      </c>
      <c r="J35" s="99">
        <v>0.9422</v>
      </c>
      <c r="K35" s="100">
        <v>1.0</v>
      </c>
      <c r="L35" s="101">
        <v>0.32414</v>
      </c>
      <c r="M35" s="99">
        <v>0.0086</v>
      </c>
      <c r="N35" s="57">
        <f t="shared" si="2"/>
        <v>0.9274685677</v>
      </c>
      <c r="O35" s="57">
        <f t="shared" si="1"/>
        <v>14.26194971</v>
      </c>
      <c r="P35" s="99">
        <v>48.639934</v>
      </c>
      <c r="Q35" s="99">
        <v>0.737384</v>
      </c>
      <c r="R35" s="99">
        <v>0.9412</v>
      </c>
      <c r="S35" s="99">
        <v>0.8932</v>
      </c>
      <c r="T35" s="99">
        <v>0.9698</v>
      </c>
      <c r="U35" s="99">
        <v>0.9465</v>
      </c>
      <c r="V35" s="99">
        <v>0.8932</v>
      </c>
      <c r="W35" s="99">
        <v>0.9412</v>
      </c>
      <c r="X35" s="99">
        <v>0.9233</v>
      </c>
      <c r="Y35" s="99">
        <v>0.9387</v>
      </c>
      <c r="Z35" s="99">
        <v>0.9166</v>
      </c>
      <c r="AA35" s="99">
        <v>0.8974</v>
      </c>
      <c r="AB35" s="99">
        <v>0.8915</v>
      </c>
      <c r="AC35" s="99">
        <v>1.0</v>
      </c>
      <c r="AD35" s="99">
        <v>0.7262</v>
      </c>
      <c r="AE35" s="99">
        <v>0.8414</v>
      </c>
      <c r="AF35" s="99">
        <v>0.8522</v>
      </c>
      <c r="AG35" s="99">
        <v>0.9094</v>
      </c>
      <c r="AH35" s="99">
        <v>1.0</v>
      </c>
      <c r="AI35" s="99">
        <v>0.9526</v>
      </c>
      <c r="AJ35" s="99">
        <v>0.9254</v>
      </c>
      <c r="AK35" s="99">
        <v>1.0</v>
      </c>
      <c r="AL35" s="99">
        <v>0.9533</v>
      </c>
      <c r="AM35" s="99">
        <v>0.9761</v>
      </c>
      <c r="AN35" s="99">
        <v>0.9764</v>
      </c>
      <c r="AO35" s="58"/>
      <c r="AP35" s="58"/>
      <c r="AQ35" s="58"/>
    </row>
    <row r="36">
      <c r="A36" s="13"/>
      <c r="B36" s="97" t="s">
        <v>24</v>
      </c>
      <c r="C36" s="98">
        <v>1.0</v>
      </c>
      <c r="D36" s="102">
        <v>1.0</v>
      </c>
      <c r="E36" s="102">
        <v>1.0</v>
      </c>
      <c r="F36" s="102">
        <v>1.0</v>
      </c>
      <c r="G36" s="102">
        <v>0.7265</v>
      </c>
      <c r="H36" s="102">
        <v>0.7587</v>
      </c>
      <c r="I36" s="102">
        <v>0.9486</v>
      </c>
      <c r="J36" s="102">
        <v>0.7586</v>
      </c>
      <c r="K36" s="100">
        <v>1.0</v>
      </c>
      <c r="L36" s="101">
        <v>0.324140000000001</v>
      </c>
      <c r="M36" s="102">
        <v>0.8311</v>
      </c>
      <c r="N36" s="57">
        <f t="shared" si="2"/>
        <v>0.5240809587</v>
      </c>
      <c r="O36" s="57">
        <f t="shared" si="1"/>
        <v>63.02318415</v>
      </c>
      <c r="P36" s="99">
        <v>6406.211298</v>
      </c>
      <c r="Q36" s="99">
        <v>5.41607</v>
      </c>
      <c r="R36" s="102">
        <v>0.5178</v>
      </c>
      <c r="S36" s="102">
        <v>0.4677</v>
      </c>
      <c r="T36" s="102">
        <v>0.5377</v>
      </c>
      <c r="U36" s="102">
        <v>0.6157</v>
      </c>
      <c r="V36" s="102">
        <v>0.4677</v>
      </c>
      <c r="W36" s="102">
        <v>0.5178</v>
      </c>
      <c r="X36" s="102">
        <v>0.4281</v>
      </c>
      <c r="Y36" s="102">
        <v>0.5169</v>
      </c>
      <c r="Z36" s="102">
        <v>0.5189</v>
      </c>
      <c r="AA36" s="102">
        <v>0.24</v>
      </c>
      <c r="AB36" s="102">
        <v>0.2154</v>
      </c>
      <c r="AC36" s="102">
        <v>0.5464</v>
      </c>
      <c r="AD36" s="102">
        <v>0.1246</v>
      </c>
      <c r="AE36" s="102">
        <v>0.203</v>
      </c>
      <c r="AF36" s="102">
        <v>0.3489</v>
      </c>
      <c r="AG36" s="102">
        <v>0.7536</v>
      </c>
      <c r="AH36" s="102">
        <v>0.5653</v>
      </c>
      <c r="AI36" s="102">
        <v>0.646</v>
      </c>
      <c r="AJ36" s="102">
        <v>0.6443</v>
      </c>
      <c r="AK36" s="102">
        <v>0.3132</v>
      </c>
      <c r="AL36" s="102">
        <v>0.713</v>
      </c>
      <c r="AM36" s="102">
        <v>0.4353</v>
      </c>
      <c r="AN36" s="102">
        <v>0.6217</v>
      </c>
      <c r="AO36" s="58"/>
      <c r="AP36" s="58"/>
      <c r="AQ36" s="58"/>
    </row>
    <row r="37">
      <c r="A37" s="13"/>
      <c r="B37" s="13"/>
      <c r="C37" s="98">
        <v>2.0</v>
      </c>
      <c r="D37" s="102">
        <v>1.0</v>
      </c>
      <c r="E37" s="102">
        <v>1.0</v>
      </c>
      <c r="F37" s="102">
        <v>1.0</v>
      </c>
      <c r="G37" s="102">
        <v>0.7265</v>
      </c>
      <c r="H37" s="102">
        <v>0.7587</v>
      </c>
      <c r="I37" s="102">
        <v>0.7961</v>
      </c>
      <c r="J37" s="102">
        <v>0.7586</v>
      </c>
      <c r="K37" s="100">
        <v>1.0</v>
      </c>
      <c r="L37" s="101">
        <v>0.324140000000001</v>
      </c>
      <c r="M37" s="102">
        <v>0.8025</v>
      </c>
      <c r="N37" s="57">
        <f t="shared" si="2"/>
        <v>0.5240809587</v>
      </c>
      <c r="O37" s="57">
        <f t="shared" si="1"/>
        <v>62.14655297</v>
      </c>
      <c r="P37" s="99">
        <v>6406.211298</v>
      </c>
      <c r="Q37" s="99">
        <v>5.494173</v>
      </c>
      <c r="R37" s="102">
        <v>0.5178</v>
      </c>
      <c r="S37" s="102">
        <v>0.4677</v>
      </c>
      <c r="T37" s="102">
        <v>0.5377</v>
      </c>
      <c r="U37" s="102">
        <v>0.6157</v>
      </c>
      <c r="V37" s="102">
        <v>0.4677</v>
      </c>
      <c r="W37" s="102">
        <v>0.5178</v>
      </c>
      <c r="X37" s="102">
        <v>0.4281</v>
      </c>
      <c r="Y37" s="102">
        <v>0.5169</v>
      </c>
      <c r="Z37" s="102">
        <v>0.5189</v>
      </c>
      <c r="AA37" s="102">
        <v>0.24</v>
      </c>
      <c r="AB37" s="102">
        <v>0.2154</v>
      </c>
      <c r="AC37" s="102">
        <v>0.5464</v>
      </c>
      <c r="AD37" s="102">
        <v>0.1246</v>
      </c>
      <c r="AE37" s="102">
        <v>0.203</v>
      </c>
      <c r="AF37" s="102">
        <v>0.3489</v>
      </c>
      <c r="AG37" s="102">
        <v>0.7536</v>
      </c>
      <c r="AH37" s="102">
        <v>0.5653</v>
      </c>
      <c r="AI37" s="102">
        <v>0.646</v>
      </c>
      <c r="AJ37" s="102">
        <v>0.6443</v>
      </c>
      <c r="AK37" s="102">
        <v>0.3132</v>
      </c>
      <c r="AL37" s="102">
        <v>0.713</v>
      </c>
      <c r="AM37" s="102">
        <v>0.4353</v>
      </c>
      <c r="AN37" s="102">
        <v>0.6217</v>
      </c>
      <c r="AO37" s="58"/>
      <c r="AP37" s="58"/>
      <c r="AQ37" s="58"/>
    </row>
    <row r="38">
      <c r="A38" s="13"/>
      <c r="B38" s="13"/>
      <c r="C38" s="98">
        <v>3.0</v>
      </c>
      <c r="D38" s="99">
        <v>1.0</v>
      </c>
      <c r="E38" s="99">
        <v>1.0</v>
      </c>
      <c r="F38" s="99">
        <v>1.0</v>
      </c>
      <c r="G38" s="99">
        <v>0.5432</v>
      </c>
      <c r="H38" s="99">
        <v>0.9488</v>
      </c>
      <c r="I38" s="99">
        <v>0.7631</v>
      </c>
      <c r="J38" s="99">
        <v>0.9487</v>
      </c>
      <c r="K38" s="100">
        <v>1.0</v>
      </c>
      <c r="L38" s="101">
        <v>0.324140000000001</v>
      </c>
      <c r="M38" s="99">
        <v>0.7919</v>
      </c>
      <c r="N38" s="57">
        <f t="shared" si="2"/>
        <v>0.6703046909</v>
      </c>
      <c r="O38" s="57">
        <f t="shared" si="1"/>
        <v>71.65252385</v>
      </c>
      <c r="P38" s="99">
        <v>6406.211298</v>
      </c>
      <c r="Q38" s="99">
        <v>5.404063</v>
      </c>
      <c r="R38" s="99">
        <v>0.6922</v>
      </c>
      <c r="S38" s="99">
        <v>0.6181</v>
      </c>
      <c r="T38" s="99">
        <v>0.6545</v>
      </c>
      <c r="U38" s="99">
        <v>0.6872</v>
      </c>
      <c r="V38" s="99">
        <v>0.6181</v>
      </c>
      <c r="W38" s="99">
        <v>0.6922</v>
      </c>
      <c r="X38" s="99">
        <v>0.631</v>
      </c>
      <c r="Y38" s="99">
        <v>0.6863</v>
      </c>
      <c r="Z38" s="99">
        <v>0.6899</v>
      </c>
      <c r="AA38" s="99">
        <v>0.4401</v>
      </c>
      <c r="AB38" s="99">
        <v>0.4377</v>
      </c>
      <c r="AC38" s="99">
        <v>0.6348</v>
      </c>
      <c r="AD38" s="99">
        <v>0.4556</v>
      </c>
      <c r="AE38" s="99">
        <v>0.5304</v>
      </c>
      <c r="AF38" s="99">
        <v>0.6547</v>
      </c>
      <c r="AG38" s="99">
        <v>0.7422</v>
      </c>
      <c r="AH38" s="99">
        <v>0.8029</v>
      </c>
      <c r="AI38" s="99">
        <v>0.7714</v>
      </c>
      <c r="AJ38" s="99">
        <v>0.6936</v>
      </c>
      <c r="AK38" s="99">
        <v>0.5864</v>
      </c>
      <c r="AL38" s="99">
        <v>0.596</v>
      </c>
      <c r="AM38" s="99">
        <v>0.5911</v>
      </c>
      <c r="AN38" s="99">
        <v>0.7229</v>
      </c>
      <c r="AO38" s="58"/>
      <c r="AP38" s="58"/>
      <c r="AQ38" s="58"/>
    </row>
    <row r="39">
      <c r="A39" s="13"/>
      <c r="B39" s="16"/>
      <c r="C39" s="98">
        <v>4.0</v>
      </c>
      <c r="D39" s="99">
        <v>1.0</v>
      </c>
      <c r="E39" s="99">
        <v>1.0</v>
      </c>
      <c r="F39" s="99">
        <v>1.0</v>
      </c>
      <c r="G39" s="99">
        <v>0.5053</v>
      </c>
      <c r="H39" s="99">
        <v>0.9462</v>
      </c>
      <c r="I39" s="99">
        <v>0.7557</v>
      </c>
      <c r="J39" s="99">
        <v>0.9462</v>
      </c>
      <c r="K39" s="100">
        <v>1.0</v>
      </c>
      <c r="L39" s="101">
        <v>0.324140000000001</v>
      </c>
      <c r="M39" s="99">
        <v>0.7753</v>
      </c>
      <c r="N39" s="57">
        <f t="shared" si="2"/>
        <v>0.6973752466</v>
      </c>
      <c r="O39" s="57">
        <f t="shared" si="1"/>
        <v>72.75583517</v>
      </c>
      <c r="P39" s="99">
        <v>6406.211298</v>
      </c>
      <c r="Q39" s="99">
        <v>5.462084</v>
      </c>
      <c r="R39" s="99">
        <v>0.7193</v>
      </c>
      <c r="S39" s="99">
        <v>0.6466</v>
      </c>
      <c r="T39" s="99">
        <v>0.6961</v>
      </c>
      <c r="U39" s="99">
        <v>0.715</v>
      </c>
      <c r="V39" s="99">
        <v>0.6466</v>
      </c>
      <c r="W39" s="99">
        <v>0.7193</v>
      </c>
      <c r="X39" s="99">
        <v>0.6665</v>
      </c>
      <c r="Y39" s="99">
        <v>0.7131</v>
      </c>
      <c r="Z39" s="99">
        <v>0.7101</v>
      </c>
      <c r="AA39" s="99">
        <v>0.4839</v>
      </c>
      <c r="AB39" s="99">
        <v>0.4794</v>
      </c>
      <c r="AC39" s="99">
        <v>0.6296</v>
      </c>
      <c r="AD39" s="99">
        <v>0.5251</v>
      </c>
      <c r="AE39" s="99">
        <v>0.5726</v>
      </c>
      <c r="AF39" s="99">
        <v>0.699</v>
      </c>
      <c r="AG39" s="99">
        <v>0.7404</v>
      </c>
      <c r="AH39" s="99">
        <v>0.8326</v>
      </c>
      <c r="AI39" s="99">
        <v>0.7838</v>
      </c>
      <c r="AJ39" s="99">
        <v>0.6951</v>
      </c>
      <c r="AK39" s="99">
        <v>0.7182</v>
      </c>
      <c r="AL39" s="99">
        <v>0.582</v>
      </c>
      <c r="AM39" s="99">
        <v>0.643</v>
      </c>
      <c r="AN39" s="99">
        <v>0.737</v>
      </c>
      <c r="AO39" s="58"/>
      <c r="AP39" s="58"/>
      <c r="AQ39" s="58"/>
    </row>
    <row r="40">
      <c r="A40" s="13"/>
      <c r="B40" s="97" t="s">
        <v>25</v>
      </c>
      <c r="C40" s="98">
        <v>1.0</v>
      </c>
      <c r="D40" s="99">
        <v>1.0</v>
      </c>
      <c r="E40" s="99">
        <v>1.0</v>
      </c>
      <c r="F40" s="99">
        <v>1.0</v>
      </c>
      <c r="G40" s="99">
        <v>0.5212</v>
      </c>
      <c r="H40" s="99">
        <v>0.9527</v>
      </c>
      <c r="I40" s="99">
        <v>0.9795</v>
      </c>
      <c r="J40" s="99">
        <v>0.9527</v>
      </c>
      <c r="K40" s="100">
        <v>1.0</v>
      </c>
      <c r="L40" s="101">
        <v>0.324140000000001</v>
      </c>
      <c r="M40" s="99">
        <v>0.8574</v>
      </c>
      <c r="N40" s="57">
        <f t="shared" si="2"/>
        <v>0.6904473051</v>
      </c>
      <c r="O40" s="57">
        <f t="shared" si="1"/>
        <v>75.29249954</v>
      </c>
      <c r="P40" s="99">
        <v>6539.383167</v>
      </c>
      <c r="Q40" s="99">
        <v>5.351017</v>
      </c>
      <c r="R40" s="99">
        <v>0.7154</v>
      </c>
      <c r="S40" s="99">
        <v>0.6364</v>
      </c>
      <c r="T40" s="99">
        <v>0.6792</v>
      </c>
      <c r="U40" s="99">
        <v>0.7136</v>
      </c>
      <c r="V40" s="99">
        <v>0.6364</v>
      </c>
      <c r="W40" s="99">
        <v>0.7154</v>
      </c>
      <c r="X40" s="99">
        <v>0.6538</v>
      </c>
      <c r="Y40" s="99">
        <v>0.7111</v>
      </c>
      <c r="Z40" s="99">
        <v>0.6997</v>
      </c>
      <c r="AA40" s="99">
        <v>0.4798</v>
      </c>
      <c r="AB40" s="99">
        <v>0.4764</v>
      </c>
      <c r="AC40" s="99">
        <v>0.4621</v>
      </c>
      <c r="AD40" s="99">
        <v>0.4153</v>
      </c>
      <c r="AE40" s="99">
        <v>0.4374</v>
      </c>
      <c r="AF40" s="99">
        <v>0.6083</v>
      </c>
      <c r="AG40" s="99">
        <v>0.7483</v>
      </c>
      <c r="AH40" s="99">
        <v>0.828</v>
      </c>
      <c r="AI40" s="99">
        <v>0.7861</v>
      </c>
      <c r="AJ40" s="99">
        <v>0.7047</v>
      </c>
      <c r="AK40" s="99">
        <v>0.8271</v>
      </c>
      <c r="AL40" s="99">
        <v>0.6658</v>
      </c>
      <c r="AM40" s="99">
        <v>0.7378</v>
      </c>
      <c r="AN40" s="99">
        <v>0.7992</v>
      </c>
      <c r="AO40" s="58"/>
      <c r="AP40" s="58"/>
      <c r="AQ40" s="58"/>
    </row>
    <row r="41">
      <c r="A41" s="13"/>
      <c r="B41" s="13"/>
      <c r="C41" s="98">
        <v>2.0</v>
      </c>
      <c r="D41" s="99">
        <v>1.0</v>
      </c>
      <c r="E41" s="99">
        <v>1.0</v>
      </c>
      <c r="F41" s="99">
        <v>1.0</v>
      </c>
      <c r="G41" s="99">
        <v>0.5925</v>
      </c>
      <c r="H41" s="99">
        <v>0.9752</v>
      </c>
      <c r="I41" s="99">
        <v>0.6873</v>
      </c>
      <c r="J41" s="99">
        <v>0.9751</v>
      </c>
      <c r="K41" s="100">
        <v>1.0</v>
      </c>
      <c r="L41" s="101">
        <v>0.324140000000001</v>
      </c>
      <c r="M41" s="99">
        <v>0.7939</v>
      </c>
      <c r="N41" s="57">
        <f t="shared" si="2"/>
        <v>0.8196805278</v>
      </c>
      <c r="O41" s="57">
        <f t="shared" si="1"/>
        <v>80.92693487</v>
      </c>
      <c r="P41" s="99">
        <v>6539.383167</v>
      </c>
      <c r="Q41" s="99">
        <v>5.516771</v>
      </c>
      <c r="R41" s="99">
        <v>0.8313</v>
      </c>
      <c r="S41" s="99">
        <v>0.7891</v>
      </c>
      <c r="T41" s="99">
        <v>0.7983</v>
      </c>
      <c r="U41" s="99">
        <v>0.8256</v>
      </c>
      <c r="V41" s="99">
        <v>0.7891</v>
      </c>
      <c r="W41" s="99">
        <v>0.8313</v>
      </c>
      <c r="X41" s="99">
        <v>0.7923</v>
      </c>
      <c r="Y41" s="99">
        <v>0.8276</v>
      </c>
      <c r="Z41" s="99">
        <v>0.8285</v>
      </c>
      <c r="AA41" s="99">
        <v>0.6998</v>
      </c>
      <c r="AB41" s="99">
        <v>0.6991</v>
      </c>
      <c r="AC41" s="99">
        <v>0.6498</v>
      </c>
      <c r="AD41" s="99">
        <v>0.5573</v>
      </c>
      <c r="AE41" s="99">
        <v>0.6</v>
      </c>
      <c r="AF41" s="99">
        <v>0.7209</v>
      </c>
      <c r="AG41" s="99">
        <v>0.8559</v>
      </c>
      <c r="AH41" s="99">
        <v>0.8781</v>
      </c>
      <c r="AI41" s="99">
        <v>0.8668</v>
      </c>
      <c r="AJ41" s="99">
        <v>0.8316</v>
      </c>
      <c r="AK41" s="99">
        <v>0.8892</v>
      </c>
      <c r="AL41" s="99">
        <v>0.9319</v>
      </c>
      <c r="AM41" s="99">
        <v>0.9101</v>
      </c>
      <c r="AN41" s="99">
        <v>0.9488</v>
      </c>
      <c r="AO41" s="58"/>
      <c r="AP41" s="58"/>
      <c r="AQ41" s="58"/>
    </row>
    <row r="42">
      <c r="A42" s="13"/>
      <c r="B42" s="13"/>
      <c r="C42" s="98">
        <v>3.0</v>
      </c>
      <c r="D42" s="99">
        <v>1.0</v>
      </c>
      <c r="E42" s="99">
        <v>1.0</v>
      </c>
      <c r="F42" s="99">
        <v>1.0</v>
      </c>
      <c r="G42" s="99">
        <v>0.5961</v>
      </c>
      <c r="H42" s="99">
        <v>0.9766</v>
      </c>
      <c r="I42" s="99">
        <v>0.6265</v>
      </c>
      <c r="J42" s="99">
        <v>0.9765</v>
      </c>
      <c r="K42" s="100">
        <v>1.0</v>
      </c>
      <c r="L42" s="101">
        <v>0.324140000000001</v>
      </c>
      <c r="M42" s="99">
        <v>0.7771</v>
      </c>
      <c r="N42" s="57">
        <f t="shared" si="2"/>
        <v>0.8677822048</v>
      </c>
      <c r="O42" s="57">
        <f t="shared" si="1"/>
        <v>83.03041481</v>
      </c>
      <c r="P42" s="99">
        <v>6539.383167</v>
      </c>
      <c r="Q42" s="99">
        <v>5.463998</v>
      </c>
      <c r="R42" s="99">
        <v>0.8752</v>
      </c>
      <c r="S42" s="99">
        <v>0.8448</v>
      </c>
      <c r="T42" s="99">
        <v>0.8568</v>
      </c>
      <c r="U42" s="99">
        <v>0.8719</v>
      </c>
      <c r="V42" s="99">
        <v>0.8448</v>
      </c>
      <c r="W42" s="99">
        <v>0.8752</v>
      </c>
      <c r="X42" s="99">
        <v>0.8493</v>
      </c>
      <c r="Y42" s="99">
        <v>0.8727</v>
      </c>
      <c r="Z42" s="99">
        <v>0.8756</v>
      </c>
      <c r="AA42" s="99">
        <v>0.7784</v>
      </c>
      <c r="AB42" s="99">
        <v>0.7777</v>
      </c>
      <c r="AC42" s="99">
        <v>0.7666</v>
      </c>
      <c r="AD42" s="99">
        <v>0.6643</v>
      </c>
      <c r="AE42" s="99">
        <v>0.7118</v>
      </c>
      <c r="AF42" s="99">
        <v>0.7963</v>
      </c>
      <c r="AG42" s="99">
        <v>0.8878</v>
      </c>
      <c r="AH42" s="99">
        <v>0.9072</v>
      </c>
      <c r="AI42" s="99">
        <v>0.8974</v>
      </c>
      <c r="AJ42" s="99">
        <v>0.8705</v>
      </c>
      <c r="AK42" s="99">
        <v>0.9159</v>
      </c>
      <c r="AL42" s="99">
        <v>0.9629</v>
      </c>
      <c r="AM42" s="99">
        <v>0.9388</v>
      </c>
      <c r="AN42" s="99">
        <v>0.9685</v>
      </c>
      <c r="AO42" s="58"/>
      <c r="AP42" s="58"/>
      <c r="AQ42" s="58"/>
    </row>
    <row r="43">
      <c r="A43" s="13"/>
      <c r="B43" s="16"/>
      <c r="C43" s="98">
        <v>4.0</v>
      </c>
      <c r="D43" s="99">
        <v>1.0</v>
      </c>
      <c r="E43" s="99">
        <v>1.0</v>
      </c>
      <c r="F43" s="99">
        <v>1.0</v>
      </c>
      <c r="G43" s="99">
        <v>0.5783</v>
      </c>
      <c r="H43" s="99">
        <v>0.9651</v>
      </c>
      <c r="I43" s="99">
        <v>0.5968</v>
      </c>
      <c r="J43" s="99">
        <v>0.965</v>
      </c>
      <c r="K43" s="100">
        <v>1.0</v>
      </c>
      <c r="L43" s="101">
        <v>0.324140000000001</v>
      </c>
      <c r="M43" s="99">
        <v>0.7597</v>
      </c>
      <c r="N43" s="57">
        <f t="shared" si="2"/>
        <v>0.885177588</v>
      </c>
      <c r="O43" s="57">
        <f t="shared" si="1"/>
        <v>83.26741765</v>
      </c>
      <c r="P43" s="99">
        <v>6539.383167</v>
      </c>
      <c r="Q43" s="99">
        <v>5.557072</v>
      </c>
      <c r="R43" s="99">
        <v>0.8943</v>
      </c>
      <c r="S43" s="99">
        <v>0.8603</v>
      </c>
      <c r="T43" s="99">
        <v>0.8872</v>
      </c>
      <c r="U43" s="99">
        <v>0.8918</v>
      </c>
      <c r="V43" s="99">
        <v>0.8603</v>
      </c>
      <c r="W43" s="99">
        <v>0.8943</v>
      </c>
      <c r="X43" s="99">
        <v>0.8704</v>
      </c>
      <c r="Y43" s="99">
        <v>0.891</v>
      </c>
      <c r="Z43" s="99">
        <v>0.8875</v>
      </c>
      <c r="AA43" s="99">
        <v>0.8118</v>
      </c>
      <c r="AB43" s="99">
        <v>0.8101</v>
      </c>
      <c r="AC43" s="99">
        <v>0.8378</v>
      </c>
      <c r="AD43" s="99">
        <v>0.671</v>
      </c>
      <c r="AE43" s="99">
        <v>0.7452</v>
      </c>
      <c r="AF43" s="99">
        <v>0.8071</v>
      </c>
      <c r="AG43" s="99">
        <v>0.894</v>
      </c>
      <c r="AH43" s="99">
        <v>0.9315</v>
      </c>
      <c r="AI43" s="99">
        <v>0.9123</v>
      </c>
      <c r="AJ43" s="99">
        <v>0.8852</v>
      </c>
      <c r="AK43" s="99">
        <v>0.9299</v>
      </c>
      <c r="AL43" s="99">
        <v>0.9785</v>
      </c>
      <c r="AM43" s="99">
        <v>0.9536</v>
      </c>
      <c r="AN43" s="99">
        <v>0.9785</v>
      </c>
      <c r="AO43" s="58"/>
      <c r="AP43" s="58"/>
      <c r="AQ43" s="58"/>
    </row>
    <row r="44">
      <c r="A44" s="13"/>
      <c r="B44" s="97" t="s">
        <v>26</v>
      </c>
      <c r="C44" s="98">
        <v>1.0</v>
      </c>
      <c r="D44" s="99">
        <v>1.0</v>
      </c>
      <c r="E44" s="99">
        <v>1.0</v>
      </c>
      <c r="F44" s="99">
        <v>1.0</v>
      </c>
      <c r="G44" s="99">
        <v>0.8299</v>
      </c>
      <c r="H44" s="99">
        <v>0.8247</v>
      </c>
      <c r="I44" s="99">
        <v>0.5317</v>
      </c>
      <c r="J44" s="99">
        <v>0.8248</v>
      </c>
      <c r="K44" s="100">
        <v>1.0</v>
      </c>
      <c r="L44" s="101">
        <v>0.324140000000001</v>
      </c>
      <c r="M44" s="99">
        <v>0.7861</v>
      </c>
      <c r="N44" s="57">
        <f t="shared" si="2"/>
        <v>0.6857132264</v>
      </c>
      <c r="O44" s="57">
        <f t="shared" si="1"/>
        <v>72.42302061</v>
      </c>
      <c r="P44" s="99">
        <v>6988.619101</v>
      </c>
      <c r="Q44" s="99">
        <v>6.194472</v>
      </c>
      <c r="R44" s="99">
        <v>0.6497</v>
      </c>
      <c r="S44" s="99">
        <v>0.6578</v>
      </c>
      <c r="T44" s="99">
        <v>0.6921</v>
      </c>
      <c r="U44" s="99">
        <v>0.7659</v>
      </c>
      <c r="V44" s="99">
        <v>0.6578</v>
      </c>
      <c r="W44" s="99">
        <v>0.6497</v>
      </c>
      <c r="X44" s="99">
        <v>0.6332</v>
      </c>
      <c r="Y44" s="99">
        <v>0.6776</v>
      </c>
      <c r="Z44" s="99">
        <v>0.7323</v>
      </c>
      <c r="AA44" s="99">
        <v>0.4717</v>
      </c>
      <c r="AB44" s="99">
        <v>0.4427</v>
      </c>
      <c r="AC44" s="99">
        <v>0.3414</v>
      </c>
      <c r="AD44" s="99">
        <v>0.7551</v>
      </c>
      <c r="AE44" s="99">
        <v>0.4702</v>
      </c>
      <c r="AF44" s="99">
        <v>0.7124</v>
      </c>
      <c r="AG44" s="99">
        <v>0.8539</v>
      </c>
      <c r="AH44" s="99">
        <v>0.6468</v>
      </c>
      <c r="AI44" s="99">
        <v>0.7361</v>
      </c>
      <c r="AJ44" s="99">
        <v>0.7375</v>
      </c>
      <c r="AK44" s="99">
        <v>0.8811</v>
      </c>
      <c r="AL44" s="99">
        <v>0.5716</v>
      </c>
      <c r="AM44" s="99">
        <v>0.6934</v>
      </c>
      <c r="AN44" s="99">
        <v>0.7474</v>
      </c>
      <c r="AO44" s="60"/>
      <c r="AP44" s="60"/>
      <c r="AQ44" s="60"/>
    </row>
    <row r="45">
      <c r="A45" s="13"/>
      <c r="B45" s="13"/>
      <c r="C45" s="98">
        <v>2.0</v>
      </c>
      <c r="D45" s="99">
        <v>1.0</v>
      </c>
      <c r="E45" s="99">
        <v>1.0</v>
      </c>
      <c r="F45" s="99">
        <v>1.0</v>
      </c>
      <c r="G45" s="99">
        <v>0.6674</v>
      </c>
      <c r="H45" s="99">
        <v>0.9514</v>
      </c>
      <c r="I45" s="99">
        <v>0.4522</v>
      </c>
      <c r="J45" s="99">
        <v>0.9515</v>
      </c>
      <c r="K45" s="100">
        <v>1.0</v>
      </c>
      <c r="L45" s="101">
        <v>0.324140000000001</v>
      </c>
      <c r="M45" s="99">
        <v>0.732</v>
      </c>
      <c r="N45" s="57">
        <f t="shared" si="2"/>
        <v>0.8121426337</v>
      </c>
      <c r="O45" s="57">
        <f t="shared" si="1"/>
        <v>77.90831618</v>
      </c>
      <c r="P45" s="99">
        <v>6988.619101</v>
      </c>
      <c r="Q45" s="99">
        <v>5.936947</v>
      </c>
      <c r="R45" s="99">
        <v>0.8069</v>
      </c>
      <c r="S45" s="99">
        <v>0.7953</v>
      </c>
      <c r="T45" s="99">
        <v>0.7836</v>
      </c>
      <c r="U45" s="99">
        <v>0.8249</v>
      </c>
      <c r="V45" s="99">
        <v>0.7953</v>
      </c>
      <c r="W45" s="99">
        <v>0.8069</v>
      </c>
      <c r="X45" s="99">
        <v>0.7847</v>
      </c>
      <c r="Y45" s="99">
        <v>0.8129</v>
      </c>
      <c r="Z45" s="99">
        <v>0.8407</v>
      </c>
      <c r="AA45" s="99">
        <v>0.6713</v>
      </c>
      <c r="AB45" s="99">
        <v>0.6684</v>
      </c>
      <c r="AC45" s="99">
        <v>0.5653</v>
      </c>
      <c r="AD45" s="99">
        <v>0.7371</v>
      </c>
      <c r="AE45" s="99">
        <v>0.6399</v>
      </c>
      <c r="AF45" s="99">
        <v>0.8019</v>
      </c>
      <c r="AG45" s="99">
        <v>0.8717</v>
      </c>
      <c r="AH45" s="99">
        <v>0.8204</v>
      </c>
      <c r="AI45" s="99">
        <v>0.8453</v>
      </c>
      <c r="AJ45" s="99">
        <v>0.8234</v>
      </c>
      <c r="AK45" s="99">
        <v>0.9138</v>
      </c>
      <c r="AL45" s="99">
        <v>0.8285</v>
      </c>
      <c r="AM45" s="99">
        <v>0.869</v>
      </c>
      <c r="AN45" s="99">
        <v>0.8997</v>
      </c>
      <c r="AO45" s="60"/>
      <c r="AP45" s="60"/>
      <c r="AQ45" s="60"/>
    </row>
    <row r="46">
      <c r="A46" s="13"/>
      <c r="B46" s="13"/>
      <c r="C46" s="98">
        <v>3.0</v>
      </c>
      <c r="D46" s="99">
        <v>1.0</v>
      </c>
      <c r="E46" s="99">
        <v>1.0</v>
      </c>
      <c r="F46" s="99">
        <v>1.0</v>
      </c>
      <c r="G46" s="99">
        <v>0.5923</v>
      </c>
      <c r="H46" s="99">
        <v>0.9818</v>
      </c>
      <c r="I46" s="99">
        <v>0.4424</v>
      </c>
      <c r="J46" s="99">
        <v>0.9818</v>
      </c>
      <c r="K46" s="100">
        <v>1.0</v>
      </c>
      <c r="L46" s="101">
        <v>0.324140000000001</v>
      </c>
      <c r="M46" s="99">
        <v>0.7122</v>
      </c>
      <c r="N46" s="57">
        <f t="shared" si="2"/>
        <v>0.8567709759</v>
      </c>
      <c r="O46" s="57">
        <f t="shared" si="1"/>
        <v>79.57188298</v>
      </c>
      <c r="P46" s="99">
        <v>6988.619101</v>
      </c>
      <c r="Q46" s="99">
        <v>5.993452</v>
      </c>
      <c r="R46" s="99">
        <v>0.8619</v>
      </c>
      <c r="S46" s="99">
        <v>0.8336</v>
      </c>
      <c r="T46" s="99">
        <v>0.8481</v>
      </c>
      <c r="U46" s="99">
        <v>0.8643</v>
      </c>
      <c r="V46" s="99">
        <v>0.8336</v>
      </c>
      <c r="W46" s="99">
        <v>0.8619</v>
      </c>
      <c r="X46" s="99">
        <v>0.84</v>
      </c>
      <c r="Y46" s="99">
        <v>0.8625</v>
      </c>
      <c r="Z46" s="99">
        <v>0.8698</v>
      </c>
      <c r="AA46" s="99">
        <v>0.7547</v>
      </c>
      <c r="AB46" s="99">
        <v>0.7542</v>
      </c>
      <c r="AC46" s="99">
        <v>0.7175</v>
      </c>
      <c r="AD46" s="99">
        <v>0.7401</v>
      </c>
      <c r="AE46" s="99">
        <v>0.7286</v>
      </c>
      <c r="AF46" s="99">
        <v>0.8316</v>
      </c>
      <c r="AG46" s="99">
        <v>0.8775</v>
      </c>
      <c r="AH46" s="99">
        <v>0.9005</v>
      </c>
      <c r="AI46" s="99">
        <v>0.8888</v>
      </c>
      <c r="AJ46" s="99">
        <v>0.8589</v>
      </c>
      <c r="AK46" s="99">
        <v>0.9492</v>
      </c>
      <c r="AL46" s="99">
        <v>0.8603</v>
      </c>
      <c r="AM46" s="99">
        <v>0.9026</v>
      </c>
      <c r="AN46" s="99">
        <v>0.9213</v>
      </c>
      <c r="AO46" s="60"/>
      <c r="AP46" s="60"/>
      <c r="AQ46" s="60"/>
    </row>
    <row r="47">
      <c r="A47" s="13"/>
      <c r="B47" s="16"/>
      <c r="C47" s="98">
        <v>4.0</v>
      </c>
      <c r="D47" s="99">
        <v>1.0</v>
      </c>
      <c r="E47" s="99">
        <v>1.0</v>
      </c>
      <c r="F47" s="99">
        <v>1.0</v>
      </c>
      <c r="G47" s="99">
        <v>0.5541</v>
      </c>
      <c r="H47" s="99">
        <v>0.9704</v>
      </c>
      <c r="I47" s="99">
        <v>0.4315</v>
      </c>
      <c r="J47" s="99">
        <v>0.9703</v>
      </c>
      <c r="K47" s="100">
        <v>1.0</v>
      </c>
      <c r="L47" s="101">
        <v>0.324140000000001</v>
      </c>
      <c r="M47" s="103">
        <v>0.6941</v>
      </c>
      <c r="N47" s="57">
        <f t="shared" si="2"/>
        <v>0.882641878</v>
      </c>
      <c r="O47" s="57">
        <f t="shared" si="1"/>
        <v>80.17510462</v>
      </c>
      <c r="P47" s="99">
        <v>6988.619101</v>
      </c>
      <c r="Q47" s="99">
        <v>5.865146</v>
      </c>
      <c r="R47" s="99">
        <v>0.8914</v>
      </c>
      <c r="S47" s="99">
        <v>0.8547</v>
      </c>
      <c r="T47" s="99">
        <v>0.8942</v>
      </c>
      <c r="U47" s="99">
        <v>0.8924</v>
      </c>
      <c r="V47" s="99">
        <v>0.8547</v>
      </c>
      <c r="W47" s="99">
        <v>0.8914</v>
      </c>
      <c r="X47" s="99">
        <v>0.8726</v>
      </c>
      <c r="Y47" s="99">
        <v>0.8903</v>
      </c>
      <c r="Z47" s="99">
        <v>0.8856</v>
      </c>
      <c r="AA47" s="99">
        <v>0.8053</v>
      </c>
      <c r="AB47" s="99">
        <v>0.8031</v>
      </c>
      <c r="AC47" s="99">
        <v>0.8313</v>
      </c>
      <c r="AD47" s="99">
        <v>0.7444</v>
      </c>
      <c r="AE47" s="99">
        <v>0.7855</v>
      </c>
      <c r="AF47" s="99">
        <v>0.848</v>
      </c>
      <c r="AG47" s="99">
        <v>0.8817</v>
      </c>
      <c r="AH47" s="99">
        <v>0.9428</v>
      </c>
      <c r="AI47" s="99">
        <v>0.9112</v>
      </c>
      <c r="AJ47" s="99">
        <v>0.8783</v>
      </c>
      <c r="AK47" s="99">
        <v>0.9697</v>
      </c>
      <c r="AL47" s="99">
        <v>0.877</v>
      </c>
      <c r="AM47" s="99">
        <v>0.921</v>
      </c>
      <c r="AN47" s="99">
        <v>0.9327</v>
      </c>
      <c r="AO47" s="60"/>
      <c r="AP47" s="60"/>
      <c r="AQ47" s="60"/>
    </row>
    <row r="48">
      <c r="A48" s="13"/>
      <c r="B48" s="97" t="s">
        <v>27</v>
      </c>
      <c r="C48" s="98">
        <v>1.0</v>
      </c>
      <c r="D48" s="99">
        <v>1.0</v>
      </c>
      <c r="E48" s="99">
        <v>1.0</v>
      </c>
      <c r="F48" s="99">
        <v>1.0</v>
      </c>
      <c r="G48" s="99">
        <v>0.7489</v>
      </c>
      <c r="H48" s="99">
        <v>0.7444</v>
      </c>
      <c r="I48" s="99">
        <v>0.8311</v>
      </c>
      <c r="J48" s="99">
        <v>0.7443</v>
      </c>
      <c r="K48" s="100">
        <v>1.0</v>
      </c>
      <c r="L48" s="101">
        <v>0.324140000000001</v>
      </c>
      <c r="M48" s="99">
        <v>0.8082</v>
      </c>
      <c r="N48" s="57">
        <f t="shared" si="2"/>
        <v>0.5190859019</v>
      </c>
      <c r="O48" s="57">
        <f t="shared" si="1"/>
        <v>61.96565986</v>
      </c>
      <c r="P48" s="99">
        <v>8311.473686</v>
      </c>
      <c r="Q48" s="99">
        <v>6.101109</v>
      </c>
      <c r="R48" s="99">
        <v>0.5273</v>
      </c>
      <c r="S48" s="99">
        <v>0.461</v>
      </c>
      <c r="T48" s="99">
        <v>0.6025</v>
      </c>
      <c r="U48" s="99">
        <v>0.6469</v>
      </c>
      <c r="V48" s="99">
        <v>0.461</v>
      </c>
      <c r="W48" s="99">
        <v>0.5273</v>
      </c>
      <c r="X48" s="99">
        <v>0.4197</v>
      </c>
      <c r="Y48" s="99">
        <v>0.5192</v>
      </c>
      <c r="Z48" s="99">
        <v>0.4957</v>
      </c>
      <c r="AA48" s="99">
        <v>0.2365</v>
      </c>
      <c r="AB48" s="99">
        <v>0.2139</v>
      </c>
      <c r="AC48" s="99">
        <v>0.7527</v>
      </c>
      <c r="AD48" s="99">
        <v>0.0928</v>
      </c>
      <c r="AE48" s="99">
        <v>0.1652</v>
      </c>
      <c r="AF48" s="99">
        <v>0.3036</v>
      </c>
      <c r="AG48" s="99">
        <v>0.7425</v>
      </c>
      <c r="AH48" s="99">
        <v>0.6001</v>
      </c>
      <c r="AI48" s="99">
        <v>0.6637</v>
      </c>
      <c r="AJ48" s="99">
        <v>0.6485</v>
      </c>
      <c r="AK48" s="99">
        <v>0.3123</v>
      </c>
      <c r="AL48" s="99">
        <v>0.6903</v>
      </c>
      <c r="AM48" s="99">
        <v>0.43</v>
      </c>
      <c r="AN48" s="99">
        <v>0.6188</v>
      </c>
      <c r="AO48" s="58"/>
      <c r="AP48" s="58"/>
      <c r="AQ48" s="58"/>
    </row>
    <row r="49">
      <c r="A49" s="13"/>
      <c r="B49" s="13"/>
      <c r="C49" s="98">
        <v>2.0</v>
      </c>
      <c r="D49" s="99">
        <v>1.0</v>
      </c>
      <c r="E49" s="99">
        <v>1.0</v>
      </c>
      <c r="F49" s="99">
        <v>1.0</v>
      </c>
      <c r="G49" s="99">
        <v>0.4908</v>
      </c>
      <c r="H49" s="99">
        <v>0.8563</v>
      </c>
      <c r="I49" s="99">
        <v>0.6501</v>
      </c>
      <c r="J49" s="99">
        <v>0.8562</v>
      </c>
      <c r="K49" s="100">
        <v>1.0</v>
      </c>
      <c r="L49" s="101">
        <v>0.324140000000001</v>
      </c>
      <c r="M49" s="99">
        <v>0.723</v>
      </c>
      <c r="N49" s="57">
        <f t="shared" si="2"/>
        <v>0.569522016</v>
      </c>
      <c r="O49" s="57">
        <f t="shared" si="1"/>
        <v>62.65585046</v>
      </c>
      <c r="P49" s="99">
        <v>8311.473686</v>
      </c>
      <c r="Q49" s="99">
        <v>6.132595</v>
      </c>
      <c r="R49" s="99">
        <v>0.621</v>
      </c>
      <c r="S49" s="99">
        <v>0.4981</v>
      </c>
      <c r="T49" s="99">
        <v>0.6142</v>
      </c>
      <c r="U49" s="99">
        <v>0.6414</v>
      </c>
      <c r="V49" s="99">
        <v>0.4981</v>
      </c>
      <c r="W49" s="99">
        <v>0.621</v>
      </c>
      <c r="X49" s="99">
        <v>0.5068</v>
      </c>
      <c r="Y49" s="99">
        <v>0.6025</v>
      </c>
      <c r="Z49" s="99">
        <v>0.5679</v>
      </c>
      <c r="AA49" s="99">
        <v>0.2953</v>
      </c>
      <c r="AB49" s="99">
        <v>0.287</v>
      </c>
      <c r="AC49" s="99">
        <v>0.7506</v>
      </c>
      <c r="AD49" s="99">
        <v>0.2254</v>
      </c>
      <c r="AE49" s="99">
        <v>0.3467</v>
      </c>
      <c r="AF49" s="99">
        <v>0.4708</v>
      </c>
      <c r="AG49" s="99">
        <v>0.7051</v>
      </c>
      <c r="AH49" s="99">
        <v>0.8044</v>
      </c>
      <c r="AI49" s="99">
        <v>0.7515</v>
      </c>
      <c r="AJ49" s="99">
        <v>0.6445</v>
      </c>
      <c r="AK49" s="99">
        <v>0.3868</v>
      </c>
      <c r="AL49" s="99">
        <v>0.4645</v>
      </c>
      <c r="AM49" s="99">
        <v>0.4221</v>
      </c>
      <c r="AN49" s="99">
        <v>0.6036</v>
      </c>
      <c r="AO49" s="58"/>
      <c r="AP49" s="58"/>
      <c r="AQ49" s="58"/>
    </row>
    <row r="50">
      <c r="A50" s="13"/>
      <c r="B50" s="13"/>
      <c r="C50" s="98">
        <v>3.0</v>
      </c>
      <c r="D50" s="99">
        <v>1.0</v>
      </c>
      <c r="E50" s="99">
        <v>1.0</v>
      </c>
      <c r="F50" s="99">
        <v>1.0</v>
      </c>
      <c r="G50" s="99">
        <v>0.3942</v>
      </c>
      <c r="H50" s="99">
        <v>0.8808</v>
      </c>
      <c r="I50" s="99">
        <v>0.6207</v>
      </c>
      <c r="J50" s="99">
        <v>0.8807</v>
      </c>
      <c r="K50" s="100">
        <v>1.0</v>
      </c>
      <c r="L50" s="101">
        <v>0.324140000000001</v>
      </c>
      <c r="M50" s="99">
        <v>0.6813</v>
      </c>
      <c r="N50" s="57">
        <f t="shared" si="2"/>
        <v>0.635421182</v>
      </c>
      <c r="O50" s="57">
        <f t="shared" si="1"/>
        <v>65.33898271</v>
      </c>
      <c r="P50" s="99">
        <v>8311.473686</v>
      </c>
      <c r="Q50" s="99">
        <v>6.164482</v>
      </c>
      <c r="R50" s="99">
        <v>0.6874</v>
      </c>
      <c r="S50" s="99">
        <v>0.5642</v>
      </c>
      <c r="T50" s="99">
        <v>0.6806</v>
      </c>
      <c r="U50" s="99">
        <v>0.6859</v>
      </c>
      <c r="V50" s="99">
        <v>0.5642</v>
      </c>
      <c r="W50" s="99">
        <v>0.6874</v>
      </c>
      <c r="X50" s="99">
        <v>0.5936</v>
      </c>
      <c r="Y50" s="99">
        <v>0.6664</v>
      </c>
      <c r="Z50" s="99">
        <v>0.6248</v>
      </c>
      <c r="AA50" s="99">
        <v>0.4043</v>
      </c>
      <c r="AB50" s="99">
        <v>0.3865</v>
      </c>
      <c r="AC50" s="99">
        <v>0.758</v>
      </c>
      <c r="AD50" s="99">
        <v>0.3684</v>
      </c>
      <c r="AE50" s="99">
        <v>0.4958</v>
      </c>
      <c r="AF50" s="99">
        <v>0.5988</v>
      </c>
      <c r="AG50" s="99">
        <v>0.7043</v>
      </c>
      <c r="AH50" s="99">
        <v>0.8804</v>
      </c>
      <c r="AI50" s="99">
        <v>0.7826</v>
      </c>
      <c r="AJ50" s="99">
        <v>0.6424</v>
      </c>
      <c r="AK50" s="99">
        <v>0.5794</v>
      </c>
      <c r="AL50" s="99">
        <v>0.4437</v>
      </c>
      <c r="AM50" s="99">
        <v>0.5026</v>
      </c>
      <c r="AN50" s="99">
        <v>0.6339</v>
      </c>
      <c r="AO50" s="58"/>
      <c r="AP50" s="58"/>
      <c r="AQ50" s="58"/>
    </row>
    <row r="51">
      <c r="A51" s="16"/>
      <c r="B51" s="16"/>
      <c r="C51" s="98">
        <v>4.0</v>
      </c>
      <c r="D51" s="99">
        <v>1.0</v>
      </c>
      <c r="E51" s="99">
        <v>1.0</v>
      </c>
      <c r="F51" s="99">
        <v>1.0</v>
      </c>
      <c r="G51" s="99">
        <v>0.3481</v>
      </c>
      <c r="H51" s="99">
        <v>0.8643</v>
      </c>
      <c r="I51" s="99">
        <v>0.5944</v>
      </c>
      <c r="J51" s="99">
        <v>0.8643</v>
      </c>
      <c r="K51" s="100">
        <v>1.0</v>
      </c>
      <c r="L51" s="101">
        <v>0.324140000000001</v>
      </c>
      <c r="M51" s="99">
        <v>0.6503</v>
      </c>
      <c r="N51" s="57">
        <f t="shared" si="2"/>
        <v>0.6661026</v>
      </c>
      <c r="O51" s="57">
        <f t="shared" si="1"/>
        <v>65.97359938</v>
      </c>
      <c r="P51" s="99">
        <v>8311.473686</v>
      </c>
      <c r="Q51" s="99">
        <v>6.564038</v>
      </c>
      <c r="R51" s="99">
        <v>0.7174</v>
      </c>
      <c r="S51" s="99">
        <v>0.593</v>
      </c>
      <c r="T51" s="99">
        <v>0.7419</v>
      </c>
      <c r="U51" s="99">
        <v>0.7278</v>
      </c>
      <c r="V51" s="99">
        <v>0.593</v>
      </c>
      <c r="W51" s="99">
        <v>0.7174</v>
      </c>
      <c r="X51" s="99">
        <v>0.6324</v>
      </c>
      <c r="Y51" s="99">
        <v>0.6955</v>
      </c>
      <c r="Z51" s="99">
        <v>0.6432</v>
      </c>
      <c r="AA51" s="99">
        <v>0.4645</v>
      </c>
      <c r="AB51" s="99">
        <v>0.4338</v>
      </c>
      <c r="AC51" s="99">
        <v>0.7511</v>
      </c>
      <c r="AD51" s="99">
        <v>0.4339</v>
      </c>
      <c r="AE51" s="99">
        <v>0.55</v>
      </c>
      <c r="AF51" s="99">
        <v>0.648</v>
      </c>
      <c r="AG51" s="99">
        <v>0.7041</v>
      </c>
      <c r="AH51" s="99">
        <v>0.9169</v>
      </c>
      <c r="AI51" s="99">
        <v>0.7965</v>
      </c>
      <c r="AJ51" s="99">
        <v>0.6395</v>
      </c>
      <c r="AK51" s="99">
        <v>0.7705</v>
      </c>
      <c r="AL51" s="99">
        <v>0.4283</v>
      </c>
      <c r="AM51" s="99">
        <v>0.5506</v>
      </c>
      <c r="AN51" s="99">
        <v>0.6421</v>
      </c>
      <c r="AO51" s="58"/>
      <c r="AP51" s="58"/>
      <c r="AQ51" s="58"/>
    </row>
    <row r="52">
      <c r="A52" s="85" t="s">
        <v>99</v>
      </c>
      <c r="B52" s="91" t="s">
        <v>111</v>
      </c>
      <c r="C52" s="87">
        <v>1.0</v>
      </c>
      <c r="D52" s="104">
        <v>1.0</v>
      </c>
      <c r="E52" s="104">
        <v>1.0</v>
      </c>
      <c r="F52" s="104">
        <v>1.0</v>
      </c>
      <c r="G52" s="104">
        <v>0.863</v>
      </c>
      <c r="H52" s="104">
        <v>0.8164</v>
      </c>
      <c r="I52" s="104">
        <v>0.0</v>
      </c>
      <c r="J52" s="104">
        <v>0.8243</v>
      </c>
      <c r="K52" s="92">
        <v>1.0</v>
      </c>
      <c r="L52" s="95">
        <v>0.324140000000001</v>
      </c>
      <c r="M52" s="104">
        <v>0.0274</v>
      </c>
      <c r="N52" s="48">
        <f t="shared" si="2"/>
        <v>0.8057911963</v>
      </c>
      <c r="O52" s="48">
        <f t="shared" si="1"/>
        <v>20.83693016</v>
      </c>
      <c r="P52" s="104">
        <v>31.019137</v>
      </c>
      <c r="Q52" s="104">
        <v>1.163187</v>
      </c>
      <c r="R52" s="104">
        <v>0.7664</v>
      </c>
      <c r="S52" s="104">
        <v>0.8113</v>
      </c>
      <c r="T52" s="104">
        <v>0.8094</v>
      </c>
      <c r="U52" s="104">
        <v>0.8999</v>
      </c>
      <c r="V52" s="104">
        <v>0.8113</v>
      </c>
      <c r="W52" s="104">
        <v>0.7664</v>
      </c>
      <c r="X52" s="104">
        <v>0.7567</v>
      </c>
      <c r="Y52" s="104">
        <v>0.7939</v>
      </c>
      <c r="Z52" s="104">
        <v>0.8467</v>
      </c>
      <c r="AA52" s="104">
        <v>0.6812</v>
      </c>
      <c r="AB52" s="104">
        <v>0.6339</v>
      </c>
      <c r="AC52" s="104">
        <v>0.4283</v>
      </c>
      <c r="AD52" s="104">
        <v>1.0</v>
      </c>
      <c r="AE52" s="104">
        <v>0.5997</v>
      </c>
      <c r="AF52" s="104">
        <v>0.8466</v>
      </c>
      <c r="AG52" s="104">
        <v>1.0</v>
      </c>
      <c r="AH52" s="104">
        <v>0.7166</v>
      </c>
      <c r="AI52" s="104">
        <v>0.8349</v>
      </c>
      <c r="AJ52" s="104">
        <v>0.8465</v>
      </c>
      <c r="AK52" s="104">
        <v>1.0</v>
      </c>
      <c r="AL52" s="104">
        <v>0.7173</v>
      </c>
      <c r="AM52" s="104">
        <v>0.8354</v>
      </c>
      <c r="AN52" s="104">
        <v>0.847</v>
      </c>
      <c r="AO52" s="49"/>
      <c r="AP52" s="49"/>
      <c r="AQ52" s="49"/>
    </row>
    <row r="53">
      <c r="A53" s="13"/>
      <c r="B53" s="13"/>
      <c r="C53" s="87">
        <v>2.0</v>
      </c>
      <c r="D53" s="104">
        <v>1.0</v>
      </c>
      <c r="E53" s="104">
        <v>1.0</v>
      </c>
      <c r="F53" s="104">
        <v>1.0</v>
      </c>
      <c r="G53" s="104">
        <v>0.7051</v>
      </c>
      <c r="H53" s="104">
        <v>0.9372</v>
      </c>
      <c r="I53" s="104">
        <v>0.0</v>
      </c>
      <c r="J53" s="104">
        <v>0.9445</v>
      </c>
      <c r="K53" s="92">
        <v>1.0</v>
      </c>
      <c r="L53" s="95">
        <v>0.324140000000001</v>
      </c>
      <c r="M53" s="104">
        <v>0.0252</v>
      </c>
      <c r="N53" s="48">
        <f t="shared" si="2"/>
        <v>0.9374562164</v>
      </c>
      <c r="O53" s="48">
        <f t="shared" si="1"/>
        <v>22.06636575</v>
      </c>
      <c r="P53" s="104">
        <v>31.019137</v>
      </c>
      <c r="Q53" s="104">
        <v>1.310857</v>
      </c>
      <c r="R53" s="104">
        <v>0.9284</v>
      </c>
      <c r="S53" s="104">
        <v>0.9502</v>
      </c>
      <c r="T53" s="104">
        <v>0.9031</v>
      </c>
      <c r="U53" s="104">
        <v>0.9492</v>
      </c>
      <c r="V53" s="104">
        <v>0.9502</v>
      </c>
      <c r="W53" s="104">
        <v>0.9284</v>
      </c>
      <c r="X53" s="104">
        <v>0.9173</v>
      </c>
      <c r="Y53" s="104">
        <v>0.9327</v>
      </c>
      <c r="Z53" s="104">
        <v>0.9597</v>
      </c>
      <c r="AA53" s="104">
        <v>0.8863</v>
      </c>
      <c r="AB53" s="104">
        <v>0.879</v>
      </c>
      <c r="AC53" s="104">
        <v>0.7094</v>
      </c>
      <c r="AD53" s="104">
        <v>1.0</v>
      </c>
      <c r="AE53" s="104">
        <v>0.83</v>
      </c>
      <c r="AF53" s="104">
        <v>0.9557</v>
      </c>
      <c r="AG53" s="104">
        <v>1.0</v>
      </c>
      <c r="AH53" s="104">
        <v>0.8974</v>
      </c>
      <c r="AI53" s="104">
        <v>0.9459</v>
      </c>
      <c r="AJ53" s="104">
        <v>0.9473</v>
      </c>
      <c r="AK53" s="104">
        <v>1.0</v>
      </c>
      <c r="AL53" s="104">
        <v>0.9533</v>
      </c>
      <c r="AM53" s="104">
        <v>0.9761</v>
      </c>
      <c r="AN53" s="104">
        <v>0.9764</v>
      </c>
      <c r="AO53" s="49"/>
      <c r="AP53" s="49"/>
      <c r="AQ53" s="49"/>
    </row>
    <row r="54">
      <c r="A54" s="13"/>
      <c r="B54" s="13"/>
      <c r="C54" s="87">
        <v>3.0</v>
      </c>
      <c r="D54" s="104">
        <v>1.0</v>
      </c>
      <c r="E54" s="104">
        <v>1.0</v>
      </c>
      <c r="F54" s="104">
        <v>1.0</v>
      </c>
      <c r="G54" s="104">
        <v>0.6468</v>
      </c>
      <c r="H54" s="104">
        <v>0.9775</v>
      </c>
      <c r="I54" s="104">
        <v>0.0</v>
      </c>
      <c r="J54" s="104">
        <v>0.9795</v>
      </c>
      <c r="K54" s="92">
        <v>1.0</v>
      </c>
      <c r="L54" s="95">
        <v>0.324140000000001</v>
      </c>
      <c r="M54" s="104">
        <v>0.0244</v>
      </c>
      <c r="N54" s="48">
        <f t="shared" si="2"/>
        <v>0.9772135785</v>
      </c>
      <c r="O54" s="48">
        <f t="shared" si="1"/>
        <v>22.33313166</v>
      </c>
      <c r="P54" s="104">
        <v>31.019137</v>
      </c>
      <c r="Q54" s="104">
        <v>1.389858</v>
      </c>
      <c r="R54" s="104">
        <v>0.975</v>
      </c>
      <c r="S54" s="104">
        <v>0.9823</v>
      </c>
      <c r="T54" s="104">
        <v>0.9597</v>
      </c>
      <c r="U54" s="104">
        <v>0.978</v>
      </c>
      <c r="V54" s="104">
        <v>0.9823</v>
      </c>
      <c r="W54" s="104">
        <v>0.975</v>
      </c>
      <c r="X54" s="104">
        <v>0.9695</v>
      </c>
      <c r="Y54" s="104">
        <v>0.9756</v>
      </c>
      <c r="Z54" s="104">
        <v>0.9859</v>
      </c>
      <c r="AA54" s="104">
        <v>0.9576</v>
      </c>
      <c r="AB54" s="104">
        <v>0.9566</v>
      </c>
      <c r="AC54" s="104">
        <v>0.879</v>
      </c>
      <c r="AD54" s="104">
        <v>1.0</v>
      </c>
      <c r="AE54" s="104">
        <v>0.9356</v>
      </c>
      <c r="AF54" s="104">
        <v>0.9846</v>
      </c>
      <c r="AG54" s="104">
        <v>1.0</v>
      </c>
      <c r="AH54" s="104">
        <v>0.9645</v>
      </c>
      <c r="AI54" s="104">
        <v>0.9819</v>
      </c>
      <c r="AJ54" s="104">
        <v>0.9821</v>
      </c>
      <c r="AK54" s="104">
        <v>1.0</v>
      </c>
      <c r="AL54" s="104">
        <v>0.9823</v>
      </c>
      <c r="AM54" s="104">
        <v>0.9911</v>
      </c>
      <c r="AN54" s="104">
        <v>0.9911</v>
      </c>
      <c r="AO54" s="49"/>
      <c r="AP54" s="49"/>
      <c r="AQ54" s="49"/>
    </row>
    <row r="55">
      <c r="A55" s="13"/>
      <c r="B55" s="16"/>
      <c r="C55" s="87">
        <v>4.0</v>
      </c>
      <c r="D55" s="104">
        <v>1.0</v>
      </c>
      <c r="E55" s="104">
        <v>1.0</v>
      </c>
      <c r="F55" s="104">
        <v>1.0</v>
      </c>
      <c r="G55" s="104">
        <v>0.7051</v>
      </c>
      <c r="H55" s="104">
        <v>0.9372</v>
      </c>
      <c r="I55" s="104">
        <v>0.0</v>
      </c>
      <c r="J55" s="104">
        <v>0.9445</v>
      </c>
      <c r="K55" s="92">
        <v>1.0</v>
      </c>
      <c r="L55" s="95">
        <v>0.324140000000001</v>
      </c>
      <c r="M55" s="104">
        <v>0.0252</v>
      </c>
      <c r="N55" s="48">
        <f t="shared" si="2"/>
        <v>0.9374562164</v>
      </c>
      <c r="O55" s="48">
        <f t="shared" si="1"/>
        <v>22.06636575</v>
      </c>
      <c r="P55" s="104">
        <v>31.019137</v>
      </c>
      <c r="Q55" s="104">
        <v>1.418694</v>
      </c>
      <c r="R55" s="104">
        <v>0.9284</v>
      </c>
      <c r="S55" s="104">
        <v>0.9502</v>
      </c>
      <c r="T55" s="104">
        <v>0.9031</v>
      </c>
      <c r="U55" s="104">
        <v>0.9492</v>
      </c>
      <c r="V55" s="104">
        <v>0.9502</v>
      </c>
      <c r="W55" s="104">
        <v>0.9284</v>
      </c>
      <c r="X55" s="104">
        <v>0.9173</v>
      </c>
      <c r="Y55" s="104">
        <v>0.9327</v>
      </c>
      <c r="Z55" s="104">
        <v>0.9597</v>
      </c>
      <c r="AA55" s="104">
        <v>0.8863</v>
      </c>
      <c r="AB55" s="104">
        <v>0.879</v>
      </c>
      <c r="AC55" s="104">
        <v>0.7094</v>
      </c>
      <c r="AD55" s="104">
        <v>1.0</v>
      </c>
      <c r="AE55" s="104">
        <v>0.83</v>
      </c>
      <c r="AF55" s="104">
        <v>0.9557</v>
      </c>
      <c r="AG55" s="104">
        <v>1.0</v>
      </c>
      <c r="AH55" s="104">
        <v>0.8974</v>
      </c>
      <c r="AI55" s="104">
        <v>0.9459</v>
      </c>
      <c r="AJ55" s="104">
        <v>0.9473</v>
      </c>
      <c r="AK55" s="104">
        <v>1.0</v>
      </c>
      <c r="AL55" s="104">
        <v>0.9533</v>
      </c>
      <c r="AM55" s="104">
        <v>0.9761</v>
      </c>
      <c r="AN55" s="104">
        <v>0.9764</v>
      </c>
      <c r="AO55" s="49"/>
      <c r="AP55" s="49"/>
      <c r="AQ55" s="49"/>
    </row>
    <row r="56">
      <c r="A56" s="13"/>
      <c r="B56" s="91" t="s">
        <v>23</v>
      </c>
      <c r="C56" s="87">
        <v>1.0</v>
      </c>
      <c r="D56" s="104">
        <v>1.0</v>
      </c>
      <c r="E56" s="104">
        <v>1.0</v>
      </c>
      <c r="F56" s="104">
        <v>1.0</v>
      </c>
      <c r="G56" s="104">
        <v>0.3684</v>
      </c>
      <c r="H56" s="104">
        <v>0.8699</v>
      </c>
      <c r="I56" s="104">
        <v>0.2836</v>
      </c>
      <c r="J56" s="104">
        <v>0.8654</v>
      </c>
      <c r="K56" s="92">
        <v>1.0</v>
      </c>
      <c r="L56" s="95">
        <v>0.324140000000001</v>
      </c>
      <c r="M56" s="104">
        <v>0.6013</v>
      </c>
      <c r="N56" s="48">
        <f t="shared" si="2"/>
        <v>0.7976272594</v>
      </c>
      <c r="O56" s="48">
        <f t="shared" si="1"/>
        <v>71.23878015</v>
      </c>
      <c r="P56" s="104">
        <v>49.814268</v>
      </c>
      <c r="Q56" s="104">
        <v>0.584573</v>
      </c>
      <c r="R56" s="104">
        <v>0.8382</v>
      </c>
      <c r="S56" s="104">
        <v>0.7227</v>
      </c>
      <c r="T56" s="104">
        <v>0.9285</v>
      </c>
      <c r="U56" s="104">
        <v>0.8729</v>
      </c>
      <c r="V56" s="104">
        <v>0.7227</v>
      </c>
      <c r="W56" s="104">
        <v>0.8382</v>
      </c>
      <c r="X56" s="104">
        <v>0.7789</v>
      </c>
      <c r="Y56" s="104">
        <v>0.8243</v>
      </c>
      <c r="Z56" s="104">
        <v>0.7614</v>
      </c>
      <c r="AA56" s="104">
        <v>0.7155</v>
      </c>
      <c r="AB56" s="104">
        <v>0.6766</v>
      </c>
      <c r="AC56" s="104">
        <v>1.0</v>
      </c>
      <c r="AD56" s="104">
        <v>0.4507</v>
      </c>
      <c r="AE56" s="104">
        <v>0.6214</v>
      </c>
      <c r="AF56" s="104">
        <v>0.6714</v>
      </c>
      <c r="AG56" s="104">
        <v>0.7855</v>
      </c>
      <c r="AH56" s="104">
        <v>1.0</v>
      </c>
      <c r="AI56" s="104">
        <v>0.8799</v>
      </c>
      <c r="AJ56" s="104">
        <v>0.7764</v>
      </c>
      <c r="AK56" s="104">
        <v>1.0</v>
      </c>
      <c r="AL56" s="104">
        <v>0.7173</v>
      </c>
      <c r="AM56" s="104">
        <v>0.8354</v>
      </c>
      <c r="AN56" s="104">
        <v>0.847</v>
      </c>
      <c r="AO56" s="49"/>
      <c r="AP56" s="49"/>
      <c r="AQ56" s="49"/>
    </row>
    <row r="57">
      <c r="A57" s="13"/>
      <c r="B57" s="13"/>
      <c r="C57" s="87">
        <v>2.0</v>
      </c>
      <c r="D57" s="104">
        <v>1.0</v>
      </c>
      <c r="E57" s="104">
        <v>1.0</v>
      </c>
      <c r="F57" s="104">
        <v>1.0</v>
      </c>
      <c r="G57" s="104">
        <v>0.526</v>
      </c>
      <c r="H57" s="104">
        <v>0.9483</v>
      </c>
      <c r="I57" s="104">
        <v>0.2057</v>
      </c>
      <c r="J57" s="104">
        <v>0.9422</v>
      </c>
      <c r="K57" s="92">
        <v>1.0</v>
      </c>
      <c r="L57" s="95">
        <v>0.324140000000001</v>
      </c>
      <c r="M57" s="104">
        <v>0.6267</v>
      </c>
      <c r="N57" s="48">
        <f t="shared" si="2"/>
        <v>0.9274685677</v>
      </c>
      <c r="O57" s="48">
        <f t="shared" si="1"/>
        <v>79.28725784</v>
      </c>
      <c r="P57" s="104">
        <v>49.814268</v>
      </c>
      <c r="Q57" s="104">
        <v>0.707249</v>
      </c>
      <c r="R57" s="104">
        <v>0.9412</v>
      </c>
      <c r="S57" s="104">
        <v>0.8932</v>
      </c>
      <c r="T57" s="104">
        <v>0.9698</v>
      </c>
      <c r="U57" s="104">
        <v>0.9465</v>
      </c>
      <c r="V57" s="104">
        <v>0.8932</v>
      </c>
      <c r="W57" s="104">
        <v>0.9412</v>
      </c>
      <c r="X57" s="104">
        <v>0.9233</v>
      </c>
      <c r="Y57" s="104">
        <v>0.9387</v>
      </c>
      <c r="Z57" s="104">
        <v>0.9166</v>
      </c>
      <c r="AA57" s="104">
        <v>0.8974</v>
      </c>
      <c r="AB57" s="104">
        <v>0.8915</v>
      </c>
      <c r="AC57" s="104">
        <v>1.0</v>
      </c>
      <c r="AD57" s="104">
        <v>0.7262</v>
      </c>
      <c r="AE57" s="104">
        <v>0.8414</v>
      </c>
      <c r="AF57" s="104">
        <v>0.8522</v>
      </c>
      <c r="AG57" s="104">
        <v>0.9094</v>
      </c>
      <c r="AH57" s="104">
        <v>1.0</v>
      </c>
      <c r="AI57" s="104">
        <v>0.9526</v>
      </c>
      <c r="AJ57" s="104">
        <v>0.9254</v>
      </c>
      <c r="AK57" s="104">
        <v>1.0</v>
      </c>
      <c r="AL57" s="104">
        <v>0.9533</v>
      </c>
      <c r="AM57" s="104">
        <v>0.9761</v>
      </c>
      <c r="AN57" s="104">
        <v>0.9764</v>
      </c>
      <c r="AO57" s="49"/>
      <c r="AP57" s="49"/>
      <c r="AQ57" s="49"/>
    </row>
    <row r="58">
      <c r="A58" s="13"/>
      <c r="B58" s="13"/>
      <c r="C58" s="87">
        <v>3.0</v>
      </c>
      <c r="D58" s="104">
        <v>1.0</v>
      </c>
      <c r="E58" s="104">
        <v>1.0</v>
      </c>
      <c r="F58" s="104">
        <v>1.0</v>
      </c>
      <c r="G58" s="104">
        <v>0.5878</v>
      </c>
      <c r="H58" s="104">
        <v>0.9849</v>
      </c>
      <c r="I58" s="104">
        <v>0.1861</v>
      </c>
      <c r="J58" s="104">
        <v>0.9834</v>
      </c>
      <c r="K58" s="92">
        <v>1.0</v>
      </c>
      <c r="L58" s="95">
        <v>0.324140000000001</v>
      </c>
      <c r="M58" s="104">
        <v>0.6383</v>
      </c>
      <c r="N58" s="48">
        <f t="shared" si="2"/>
        <v>0.9782279678</v>
      </c>
      <c r="O58" s="48">
        <f t="shared" si="1"/>
        <v>82.46582023</v>
      </c>
      <c r="P58" s="104">
        <v>49.814268</v>
      </c>
      <c r="Q58" s="104">
        <v>0.797178</v>
      </c>
      <c r="R58" s="104">
        <v>0.9815</v>
      </c>
      <c r="S58" s="104">
        <v>0.9676</v>
      </c>
      <c r="T58" s="104">
        <v>0.9899</v>
      </c>
      <c r="U58" s="104">
        <v>0.9821</v>
      </c>
      <c r="V58" s="104">
        <v>0.9676</v>
      </c>
      <c r="W58" s="104">
        <v>0.9815</v>
      </c>
      <c r="X58" s="104">
        <v>0.9781</v>
      </c>
      <c r="Y58" s="104">
        <v>0.9814</v>
      </c>
      <c r="Z58" s="104">
        <v>0.9759</v>
      </c>
      <c r="AA58" s="104">
        <v>0.9676</v>
      </c>
      <c r="AB58" s="104">
        <v>0.967</v>
      </c>
      <c r="AC58" s="104">
        <v>1.0</v>
      </c>
      <c r="AD58" s="104">
        <v>0.9206</v>
      </c>
      <c r="AE58" s="104">
        <v>0.9587</v>
      </c>
      <c r="AF58" s="104">
        <v>0.9595</v>
      </c>
      <c r="AG58" s="104">
        <v>0.9697</v>
      </c>
      <c r="AH58" s="104">
        <v>1.0</v>
      </c>
      <c r="AI58" s="104">
        <v>0.9846</v>
      </c>
      <c r="AJ58" s="104">
        <v>0.9773</v>
      </c>
      <c r="AK58" s="104">
        <v>1.0</v>
      </c>
      <c r="AL58" s="104">
        <v>0.9823</v>
      </c>
      <c r="AM58" s="104">
        <v>0.9911</v>
      </c>
      <c r="AN58" s="104">
        <v>0.9911</v>
      </c>
      <c r="AO58" s="49"/>
      <c r="AP58" s="49"/>
      <c r="AQ58" s="49"/>
    </row>
    <row r="59">
      <c r="A59" s="13"/>
      <c r="B59" s="16"/>
      <c r="C59" s="87">
        <v>4.0</v>
      </c>
      <c r="D59" s="104">
        <v>1.0</v>
      </c>
      <c r="E59" s="104">
        <v>1.0</v>
      </c>
      <c r="F59" s="104">
        <v>1.0</v>
      </c>
      <c r="G59" s="104">
        <v>0.526</v>
      </c>
      <c r="H59" s="104">
        <v>0.9483</v>
      </c>
      <c r="I59" s="104">
        <v>0.2057</v>
      </c>
      <c r="J59" s="104">
        <v>0.9422</v>
      </c>
      <c r="K59" s="92">
        <v>1.0</v>
      </c>
      <c r="L59" s="95">
        <v>0.324140000000001</v>
      </c>
      <c r="M59" s="104">
        <v>0.6267</v>
      </c>
      <c r="N59" s="48">
        <f t="shared" si="2"/>
        <v>0.9274685677</v>
      </c>
      <c r="O59" s="48">
        <f t="shared" si="1"/>
        <v>79.28725784</v>
      </c>
      <c r="P59" s="104">
        <v>49.814268</v>
      </c>
      <c r="Q59" s="104">
        <v>0.707249</v>
      </c>
      <c r="R59" s="104">
        <v>0.9412</v>
      </c>
      <c r="S59" s="104">
        <v>0.8932</v>
      </c>
      <c r="T59" s="104">
        <v>0.9698</v>
      </c>
      <c r="U59" s="104">
        <v>0.9465</v>
      </c>
      <c r="V59" s="104">
        <v>0.8932</v>
      </c>
      <c r="W59" s="104">
        <v>0.9412</v>
      </c>
      <c r="X59" s="104">
        <v>0.9233</v>
      </c>
      <c r="Y59" s="104">
        <v>0.9387</v>
      </c>
      <c r="Z59" s="104">
        <v>0.9166</v>
      </c>
      <c r="AA59" s="104">
        <v>0.8974</v>
      </c>
      <c r="AB59" s="104">
        <v>0.8915</v>
      </c>
      <c r="AC59" s="104">
        <v>1.0</v>
      </c>
      <c r="AD59" s="104">
        <v>0.7262</v>
      </c>
      <c r="AE59" s="104">
        <v>0.8414</v>
      </c>
      <c r="AF59" s="104">
        <v>0.8522</v>
      </c>
      <c r="AG59" s="104">
        <v>0.9094</v>
      </c>
      <c r="AH59" s="104">
        <v>1.0</v>
      </c>
      <c r="AI59" s="104">
        <v>0.9526</v>
      </c>
      <c r="AJ59" s="104">
        <v>0.9254</v>
      </c>
      <c r="AK59" s="104">
        <v>1.0</v>
      </c>
      <c r="AL59" s="104">
        <v>0.9533</v>
      </c>
      <c r="AM59" s="104">
        <v>0.9761</v>
      </c>
      <c r="AN59" s="104">
        <v>0.9764</v>
      </c>
      <c r="AO59" s="49"/>
      <c r="AP59" s="49"/>
      <c r="AQ59" s="49"/>
    </row>
    <row r="60">
      <c r="A60" s="13"/>
      <c r="B60" s="91" t="s">
        <v>24</v>
      </c>
      <c r="C60" s="87">
        <v>1.0</v>
      </c>
      <c r="D60" s="104">
        <v>1.0</v>
      </c>
      <c r="E60" s="104">
        <v>1.0</v>
      </c>
      <c r="F60" s="104">
        <v>1.0</v>
      </c>
      <c r="G60" s="104">
        <v>0.7595</v>
      </c>
      <c r="H60" s="104">
        <v>0.8515</v>
      </c>
      <c r="I60" s="104">
        <v>0.9997</v>
      </c>
      <c r="J60" s="104">
        <v>0.8445</v>
      </c>
      <c r="K60" s="92">
        <v>1.0</v>
      </c>
      <c r="L60" s="95">
        <v>0.324140000000001</v>
      </c>
      <c r="M60" s="104">
        <v>0.886</v>
      </c>
      <c r="N60" s="48">
        <f t="shared" si="2"/>
        <v>0.5038668549</v>
      </c>
      <c r="O60" s="48">
        <f t="shared" si="1"/>
        <v>63.14848898</v>
      </c>
      <c r="P60" s="104">
        <v>5894.99852</v>
      </c>
      <c r="Q60" s="104">
        <v>4.39433</v>
      </c>
      <c r="R60" s="104">
        <v>0.5031</v>
      </c>
      <c r="S60" s="104">
        <v>0.4366</v>
      </c>
      <c r="T60" s="104">
        <v>0.4748</v>
      </c>
      <c r="U60" s="104">
        <v>0.56</v>
      </c>
      <c r="V60" s="104">
        <v>0.4366</v>
      </c>
      <c r="W60" s="104">
        <v>0.5031</v>
      </c>
      <c r="X60" s="104">
        <v>0.4325</v>
      </c>
      <c r="Y60" s="104">
        <v>0.5154</v>
      </c>
      <c r="Z60" s="104">
        <v>0.5388</v>
      </c>
      <c r="AA60" s="104">
        <v>0.1721</v>
      </c>
      <c r="AB60" s="104">
        <v>0.1649</v>
      </c>
      <c r="AC60" s="104">
        <v>0.4434</v>
      </c>
      <c r="AD60" s="104">
        <v>0.2309</v>
      </c>
      <c r="AE60" s="104">
        <v>0.3036</v>
      </c>
      <c r="AF60" s="104">
        <v>0.4655</v>
      </c>
      <c r="AG60" s="104">
        <v>0.7064</v>
      </c>
      <c r="AH60" s="104">
        <v>0.5884</v>
      </c>
      <c r="AI60" s="104">
        <v>0.642</v>
      </c>
      <c r="AJ60" s="104">
        <v>0.6157</v>
      </c>
      <c r="AK60" s="104">
        <v>0.2745</v>
      </c>
      <c r="AL60" s="104">
        <v>0.4905</v>
      </c>
      <c r="AM60" s="104">
        <v>0.352</v>
      </c>
      <c r="AN60" s="104">
        <v>0.5459</v>
      </c>
      <c r="AO60" s="49"/>
      <c r="AP60" s="49"/>
      <c r="AQ60" s="49"/>
    </row>
    <row r="61">
      <c r="A61" s="13"/>
      <c r="B61" s="13"/>
      <c r="C61" s="87">
        <v>2.0</v>
      </c>
      <c r="D61" s="104">
        <v>1.0</v>
      </c>
      <c r="E61" s="104">
        <v>1.0</v>
      </c>
      <c r="F61" s="104">
        <v>1.0</v>
      </c>
      <c r="G61" s="104">
        <v>0.5204</v>
      </c>
      <c r="H61" s="104">
        <v>0.9462</v>
      </c>
      <c r="I61" s="104">
        <v>0.765</v>
      </c>
      <c r="J61" s="104">
        <v>0.9403</v>
      </c>
      <c r="K61" s="92">
        <v>1.0</v>
      </c>
      <c r="L61" s="95">
        <v>0.324140000000001</v>
      </c>
      <c r="M61" s="104">
        <v>0.8126</v>
      </c>
      <c r="N61" s="48">
        <f t="shared" si="2"/>
        <v>0.533359696</v>
      </c>
      <c r="O61" s="48">
        <f t="shared" si="1"/>
        <v>63.11939739</v>
      </c>
      <c r="P61" s="104">
        <v>5894.99852</v>
      </c>
      <c r="Q61" s="104">
        <v>4.72517</v>
      </c>
      <c r="R61" s="104">
        <v>0.5727</v>
      </c>
      <c r="S61" s="104">
        <v>0.4653</v>
      </c>
      <c r="T61" s="104">
        <v>0.4938</v>
      </c>
      <c r="U61" s="104">
        <v>0.5589</v>
      </c>
      <c r="V61" s="104">
        <v>0.4653</v>
      </c>
      <c r="W61" s="104">
        <v>0.5727</v>
      </c>
      <c r="X61" s="104">
        <v>0.475</v>
      </c>
      <c r="Y61" s="104">
        <v>0.5627</v>
      </c>
      <c r="Z61" s="104">
        <v>0.5502</v>
      </c>
      <c r="AA61" s="104">
        <v>0.211</v>
      </c>
      <c r="AB61" s="104">
        <v>0.2094</v>
      </c>
      <c r="AC61" s="104">
        <v>0.4982</v>
      </c>
      <c r="AD61" s="104">
        <v>0.3587</v>
      </c>
      <c r="AE61" s="104">
        <v>0.4171</v>
      </c>
      <c r="AF61" s="104">
        <v>0.5755</v>
      </c>
      <c r="AG61" s="104">
        <v>0.6776</v>
      </c>
      <c r="AH61" s="104">
        <v>0.7494</v>
      </c>
      <c r="AI61" s="104">
        <v>0.7117</v>
      </c>
      <c r="AJ61" s="104">
        <v>0.6033</v>
      </c>
      <c r="AK61" s="104">
        <v>0.3055</v>
      </c>
      <c r="AL61" s="104">
        <v>0.2877</v>
      </c>
      <c r="AM61" s="104">
        <v>0.2963</v>
      </c>
      <c r="AN61" s="104">
        <v>0.4796</v>
      </c>
      <c r="AO61" s="49"/>
      <c r="AP61" s="49"/>
      <c r="AQ61" s="49"/>
    </row>
    <row r="62">
      <c r="A62" s="13"/>
      <c r="B62" s="13"/>
      <c r="C62" s="87">
        <v>3.0</v>
      </c>
      <c r="D62" s="104">
        <v>1.0</v>
      </c>
      <c r="E62" s="104">
        <v>1.0</v>
      </c>
      <c r="F62" s="104">
        <v>1.0</v>
      </c>
      <c r="G62" s="104">
        <v>0.4388</v>
      </c>
      <c r="H62" s="104">
        <v>0.907</v>
      </c>
      <c r="I62" s="104">
        <v>0.7281</v>
      </c>
      <c r="J62" s="104">
        <v>0.9078</v>
      </c>
      <c r="K62" s="92">
        <v>1.0</v>
      </c>
      <c r="L62" s="95">
        <v>0.324140000000001</v>
      </c>
      <c r="M62" s="104">
        <v>0.7656</v>
      </c>
      <c r="N62" s="48">
        <f t="shared" si="2"/>
        <v>0.5709150244</v>
      </c>
      <c r="O62" s="48">
        <f t="shared" si="1"/>
        <v>64.20127503</v>
      </c>
      <c r="P62" s="104">
        <v>5894.99852</v>
      </c>
      <c r="Q62" s="104">
        <v>5.001225</v>
      </c>
      <c r="R62" s="104">
        <v>0.6184</v>
      </c>
      <c r="S62" s="104">
        <v>0.5069</v>
      </c>
      <c r="T62" s="104">
        <v>0.5455</v>
      </c>
      <c r="U62" s="104">
        <v>0.5921</v>
      </c>
      <c r="V62" s="104">
        <v>0.5069</v>
      </c>
      <c r="W62" s="104">
        <v>0.6184</v>
      </c>
      <c r="X62" s="104">
        <v>0.5164</v>
      </c>
      <c r="Y62" s="104">
        <v>0.5965</v>
      </c>
      <c r="Z62" s="104">
        <v>0.5692</v>
      </c>
      <c r="AA62" s="104">
        <v>0.2779</v>
      </c>
      <c r="AB62" s="104">
        <v>0.2704</v>
      </c>
      <c r="AC62" s="104">
        <v>0.5409</v>
      </c>
      <c r="AD62" s="104">
        <v>0.4528</v>
      </c>
      <c r="AE62" s="104">
        <v>0.493</v>
      </c>
      <c r="AF62" s="104">
        <v>0.6436</v>
      </c>
      <c r="AG62" s="104">
        <v>0.6741</v>
      </c>
      <c r="AH62" s="104">
        <v>0.8087</v>
      </c>
      <c r="AI62" s="104">
        <v>0.7353</v>
      </c>
      <c r="AJ62" s="104">
        <v>0.5953</v>
      </c>
      <c r="AK62" s="104">
        <v>0.4214</v>
      </c>
      <c r="AL62" s="104">
        <v>0.259</v>
      </c>
      <c r="AM62" s="104">
        <v>0.3209</v>
      </c>
      <c r="AN62" s="104">
        <v>0.4814</v>
      </c>
      <c r="AO62" s="49"/>
      <c r="AP62" s="49"/>
      <c r="AQ62" s="49"/>
    </row>
    <row r="63">
      <c r="A63" s="13"/>
      <c r="B63" s="16"/>
      <c r="C63" s="87">
        <v>4.0</v>
      </c>
      <c r="D63" s="104">
        <v>1.0</v>
      </c>
      <c r="E63" s="104">
        <v>1.0</v>
      </c>
      <c r="F63" s="104">
        <v>1.0</v>
      </c>
      <c r="G63" s="104">
        <v>0.4006</v>
      </c>
      <c r="H63" s="104">
        <v>0.8712</v>
      </c>
      <c r="I63" s="104">
        <v>0.7281</v>
      </c>
      <c r="J63" s="104">
        <v>0.8713</v>
      </c>
      <c r="K63" s="92">
        <v>1.0</v>
      </c>
      <c r="L63" s="95">
        <v>0.324140000000001</v>
      </c>
      <c r="M63" s="104">
        <v>0.7397</v>
      </c>
      <c r="N63" s="48">
        <f t="shared" si="2"/>
        <v>0.5862490634</v>
      </c>
      <c r="O63" s="48">
        <f t="shared" si="1"/>
        <v>64.33859084</v>
      </c>
      <c r="P63" s="104">
        <v>5894.99852</v>
      </c>
      <c r="Q63" s="104">
        <v>5.106664</v>
      </c>
      <c r="R63" s="104">
        <v>0.6378</v>
      </c>
      <c r="S63" s="104">
        <v>0.5232</v>
      </c>
      <c r="T63" s="104">
        <v>0.5866</v>
      </c>
      <c r="U63" s="104">
        <v>0.6194</v>
      </c>
      <c r="V63" s="104">
        <v>0.5232</v>
      </c>
      <c r="W63" s="104">
        <v>0.6378</v>
      </c>
      <c r="X63" s="104">
        <v>0.532</v>
      </c>
      <c r="Y63" s="104">
        <v>0.6099</v>
      </c>
      <c r="Z63" s="104">
        <v>0.5722</v>
      </c>
      <c r="AA63" s="104">
        <v>0.31</v>
      </c>
      <c r="AB63" s="104">
        <v>0.2958</v>
      </c>
      <c r="AC63" s="104">
        <v>0.5437</v>
      </c>
      <c r="AD63" s="104">
        <v>0.4932</v>
      </c>
      <c r="AE63" s="104">
        <v>0.5172</v>
      </c>
      <c r="AF63" s="104">
        <v>0.6688</v>
      </c>
      <c r="AG63" s="104">
        <v>0.672</v>
      </c>
      <c r="AH63" s="104">
        <v>0.8352</v>
      </c>
      <c r="AI63" s="104">
        <v>0.7448</v>
      </c>
      <c r="AJ63" s="104">
        <v>0.5881</v>
      </c>
      <c r="AK63" s="104">
        <v>0.544</v>
      </c>
      <c r="AL63" s="104">
        <v>0.2411</v>
      </c>
      <c r="AM63" s="104">
        <v>0.3341</v>
      </c>
      <c r="AN63" s="104">
        <v>0.4763</v>
      </c>
      <c r="AO63" s="49"/>
      <c r="AP63" s="49"/>
      <c r="AQ63" s="49"/>
    </row>
    <row r="64">
      <c r="A64" s="13"/>
      <c r="B64" s="91" t="s">
        <v>25</v>
      </c>
      <c r="C64" s="87">
        <v>1.0</v>
      </c>
      <c r="D64" s="104">
        <v>1.0</v>
      </c>
      <c r="E64" s="104">
        <v>1.0</v>
      </c>
      <c r="F64" s="104">
        <v>1.0</v>
      </c>
      <c r="G64" s="104">
        <v>0.9182</v>
      </c>
      <c r="H64" s="104">
        <v>0.8043</v>
      </c>
      <c r="I64" s="104">
        <v>0.956</v>
      </c>
      <c r="J64" s="104">
        <v>0.8098</v>
      </c>
      <c r="K64" s="92">
        <v>1.0</v>
      </c>
      <c r="L64" s="95">
        <v>0.324140000000001</v>
      </c>
      <c r="M64" s="104">
        <v>0.8942</v>
      </c>
      <c r="N64" s="48">
        <f t="shared" si="2"/>
        <v>0.6378894952</v>
      </c>
      <c r="O64" s="48">
        <f t="shared" si="1"/>
        <v>73.016521</v>
      </c>
      <c r="P64" s="104">
        <v>6725.869225</v>
      </c>
      <c r="Q64" s="104">
        <v>4.541824</v>
      </c>
      <c r="R64" s="104">
        <v>0.5742</v>
      </c>
      <c r="S64" s="104">
        <v>0.6182</v>
      </c>
      <c r="T64" s="104">
        <v>0.5898</v>
      </c>
      <c r="U64" s="104">
        <v>0.7062</v>
      </c>
      <c r="V64" s="104">
        <v>0.6182</v>
      </c>
      <c r="W64" s="104">
        <v>0.5742</v>
      </c>
      <c r="X64" s="104">
        <v>0.5643</v>
      </c>
      <c r="Y64" s="104">
        <v>0.5987</v>
      </c>
      <c r="Z64" s="104">
        <v>0.699</v>
      </c>
      <c r="AA64" s="104">
        <v>0.3947</v>
      </c>
      <c r="AB64" s="104">
        <v>0.3612</v>
      </c>
      <c r="AC64" s="104">
        <v>0.2887</v>
      </c>
      <c r="AD64" s="104">
        <v>0.6399</v>
      </c>
      <c r="AE64" s="104">
        <v>0.3979</v>
      </c>
      <c r="AF64" s="104">
        <v>0.6526</v>
      </c>
      <c r="AG64" s="104">
        <v>0.8649</v>
      </c>
      <c r="AH64" s="104">
        <v>0.4994</v>
      </c>
      <c r="AI64" s="104">
        <v>0.6332</v>
      </c>
      <c r="AJ64" s="104">
        <v>0.6654</v>
      </c>
      <c r="AK64" s="104">
        <v>0.6159</v>
      </c>
      <c r="AL64" s="104">
        <v>0.7154</v>
      </c>
      <c r="AM64" s="104">
        <v>0.6619</v>
      </c>
      <c r="AN64" s="104">
        <v>0.7866</v>
      </c>
      <c r="AO64" s="49"/>
      <c r="AP64" s="49"/>
      <c r="AQ64" s="49"/>
    </row>
    <row r="65">
      <c r="A65" s="13"/>
      <c r="B65" s="13"/>
      <c r="C65" s="87">
        <v>2.0</v>
      </c>
      <c r="D65" s="104">
        <v>1.0</v>
      </c>
      <c r="E65" s="104">
        <v>1.0</v>
      </c>
      <c r="F65" s="104">
        <v>1.0</v>
      </c>
      <c r="G65" s="104">
        <v>0.8284</v>
      </c>
      <c r="H65" s="104">
        <v>0.8897</v>
      </c>
      <c r="I65" s="104">
        <v>0.9353</v>
      </c>
      <c r="J65" s="104">
        <v>0.894</v>
      </c>
      <c r="K65" s="92">
        <v>1.0</v>
      </c>
      <c r="L65" s="95">
        <v>0.324140000000001</v>
      </c>
      <c r="M65" s="104">
        <v>0.9077</v>
      </c>
      <c r="N65" s="48">
        <f t="shared" si="2"/>
        <v>0.7223157832</v>
      </c>
      <c r="O65" s="48">
        <f t="shared" si="1"/>
        <v>79.14312544</v>
      </c>
      <c r="P65" s="104">
        <v>6725.869225</v>
      </c>
      <c r="Q65" s="104">
        <v>4.970093</v>
      </c>
      <c r="R65" s="104">
        <v>0.6916</v>
      </c>
      <c r="S65" s="104">
        <v>0.7099</v>
      </c>
      <c r="T65" s="104">
        <v>0.6623</v>
      </c>
      <c r="U65" s="104">
        <v>0.7462</v>
      </c>
      <c r="V65" s="104">
        <v>0.7099</v>
      </c>
      <c r="W65" s="104">
        <v>0.6916</v>
      </c>
      <c r="X65" s="104">
        <v>0.6704</v>
      </c>
      <c r="Y65" s="104">
        <v>0.7046</v>
      </c>
      <c r="Z65" s="104">
        <v>0.771</v>
      </c>
      <c r="AA65" s="104">
        <v>0.5202</v>
      </c>
      <c r="AB65" s="104">
        <v>0.505</v>
      </c>
      <c r="AC65" s="104">
        <v>0.3906</v>
      </c>
      <c r="AD65" s="104">
        <v>0.6381</v>
      </c>
      <c r="AE65" s="104">
        <v>0.4846</v>
      </c>
      <c r="AF65" s="104">
        <v>0.7096</v>
      </c>
      <c r="AG65" s="104">
        <v>0.8524</v>
      </c>
      <c r="AH65" s="104">
        <v>0.6463</v>
      </c>
      <c r="AI65" s="104">
        <v>0.7352</v>
      </c>
      <c r="AJ65" s="104">
        <v>0.7362</v>
      </c>
      <c r="AK65" s="104">
        <v>0.7437</v>
      </c>
      <c r="AL65" s="104">
        <v>0.8453</v>
      </c>
      <c r="AM65" s="104">
        <v>0.7913</v>
      </c>
      <c r="AN65" s="104">
        <v>0.8774</v>
      </c>
      <c r="AO65" s="49"/>
      <c r="AP65" s="49"/>
      <c r="AQ65" s="49"/>
    </row>
    <row r="66">
      <c r="A66" s="13"/>
      <c r="B66" s="13"/>
      <c r="C66" s="87">
        <v>3.0</v>
      </c>
      <c r="D66" s="104">
        <v>1.0</v>
      </c>
      <c r="E66" s="104">
        <v>1.0</v>
      </c>
      <c r="F66" s="104">
        <v>1.0</v>
      </c>
      <c r="G66" s="104">
        <v>0.7695</v>
      </c>
      <c r="H66" s="104">
        <v>0.9082</v>
      </c>
      <c r="I66" s="104">
        <v>0.8927</v>
      </c>
      <c r="J66" s="104">
        <v>0.9099</v>
      </c>
      <c r="K66" s="92">
        <v>1.0</v>
      </c>
      <c r="L66" s="95">
        <v>0.324140000000001</v>
      </c>
      <c r="M66" s="104">
        <v>0.8929</v>
      </c>
      <c r="N66" s="48">
        <f t="shared" si="2"/>
        <v>0.7578590498</v>
      </c>
      <c r="O66" s="48">
        <f t="shared" si="1"/>
        <v>80.92341349</v>
      </c>
      <c r="P66" s="104">
        <v>6725.869225</v>
      </c>
      <c r="Q66" s="104">
        <v>4.970093</v>
      </c>
      <c r="R66" s="104">
        <v>0.7316</v>
      </c>
      <c r="S66" s="104">
        <v>0.7485</v>
      </c>
      <c r="T66" s="104">
        <v>0.7155</v>
      </c>
      <c r="U66" s="104">
        <v>0.7739</v>
      </c>
      <c r="V66" s="104">
        <v>0.7485</v>
      </c>
      <c r="W66" s="104">
        <v>0.7316</v>
      </c>
      <c r="X66" s="104">
        <v>0.7201</v>
      </c>
      <c r="Y66" s="104">
        <v>0.7434</v>
      </c>
      <c r="Z66" s="104">
        <v>0.7983</v>
      </c>
      <c r="AA66" s="104">
        <v>0.5701</v>
      </c>
      <c r="AB66" s="104">
        <v>0.5592</v>
      </c>
      <c r="AC66" s="104">
        <v>0.4397</v>
      </c>
      <c r="AD66" s="104">
        <v>0.6947</v>
      </c>
      <c r="AE66" s="104">
        <v>0.5386</v>
      </c>
      <c r="AF66" s="104">
        <v>0.7473</v>
      </c>
      <c r="AG66" s="104">
        <v>0.8411</v>
      </c>
      <c r="AH66" s="104">
        <v>0.6946</v>
      </c>
      <c r="AI66" s="104">
        <v>0.7609</v>
      </c>
      <c r="AJ66" s="104">
        <v>0.7507</v>
      </c>
      <c r="AK66" s="104">
        <v>0.8656</v>
      </c>
      <c r="AL66" s="104">
        <v>0.856</v>
      </c>
      <c r="AM66" s="104">
        <v>0.8608</v>
      </c>
      <c r="AN66" s="104">
        <v>0.9068</v>
      </c>
      <c r="AO66" s="49"/>
      <c r="AP66" s="49"/>
      <c r="AQ66" s="49"/>
    </row>
    <row r="67">
      <c r="A67" s="13"/>
      <c r="B67" s="16"/>
      <c r="C67" s="87">
        <v>4.0</v>
      </c>
      <c r="D67" s="104">
        <v>1.0</v>
      </c>
      <c r="E67" s="104">
        <v>1.0</v>
      </c>
      <c r="F67" s="104">
        <v>1.0</v>
      </c>
      <c r="G67" s="104">
        <v>0.7416</v>
      </c>
      <c r="H67" s="104">
        <v>0.9115</v>
      </c>
      <c r="I67" s="104">
        <v>0.8818</v>
      </c>
      <c r="J67" s="104">
        <v>0.9116</v>
      </c>
      <c r="K67" s="92">
        <v>1.0</v>
      </c>
      <c r="L67" s="95">
        <v>0.324140000000001</v>
      </c>
      <c r="M67" s="104">
        <v>0.8852</v>
      </c>
      <c r="N67" s="48">
        <f t="shared" si="2"/>
        <v>0.7729718485</v>
      </c>
      <c r="O67" s="48">
        <f t="shared" si="1"/>
        <v>81.60462407</v>
      </c>
      <c r="P67" s="104">
        <v>6725.869225</v>
      </c>
      <c r="Q67" s="104">
        <v>5.169831</v>
      </c>
      <c r="R67" s="104">
        <v>0.7484</v>
      </c>
      <c r="S67" s="104">
        <v>0.7632</v>
      </c>
      <c r="T67" s="104">
        <v>0.7463</v>
      </c>
      <c r="U67" s="104">
        <v>0.7914</v>
      </c>
      <c r="V67" s="104">
        <v>0.7632</v>
      </c>
      <c r="W67" s="104">
        <v>0.7484</v>
      </c>
      <c r="X67" s="104">
        <v>0.7428</v>
      </c>
      <c r="Y67" s="104">
        <v>0.7613</v>
      </c>
      <c r="Z67" s="104">
        <v>0.8082</v>
      </c>
      <c r="AA67" s="104">
        <v>0.592</v>
      </c>
      <c r="AB67" s="104">
        <v>0.5822</v>
      </c>
      <c r="AC67" s="104">
        <v>0.4523</v>
      </c>
      <c r="AD67" s="104">
        <v>0.7123</v>
      </c>
      <c r="AE67" s="104">
        <v>0.5533</v>
      </c>
      <c r="AF67" s="104">
        <v>0.7576</v>
      </c>
      <c r="AG67" s="104">
        <v>0.8358</v>
      </c>
      <c r="AH67" s="104">
        <v>0.7165</v>
      </c>
      <c r="AI67" s="104">
        <v>0.7715</v>
      </c>
      <c r="AJ67" s="104">
        <v>0.756</v>
      </c>
      <c r="AK67" s="104">
        <v>0.9508</v>
      </c>
      <c r="AL67" s="104">
        <v>0.8608</v>
      </c>
      <c r="AM67" s="104">
        <v>0.9036</v>
      </c>
      <c r="AN67" s="104">
        <v>0.9217</v>
      </c>
      <c r="AO67" s="49"/>
      <c r="AP67" s="49"/>
      <c r="AQ67" s="49"/>
    </row>
    <row r="68">
      <c r="A68" s="13"/>
      <c r="B68" s="91" t="s">
        <v>26</v>
      </c>
      <c r="C68" s="87">
        <v>1.0</v>
      </c>
      <c r="D68" s="104">
        <v>1.0</v>
      </c>
      <c r="E68" s="104">
        <v>1.0</v>
      </c>
      <c r="F68" s="104">
        <v>1.0</v>
      </c>
      <c r="G68" s="104">
        <v>0.7952</v>
      </c>
      <c r="H68" s="104">
        <v>0.9128</v>
      </c>
      <c r="I68" s="104">
        <v>0.81</v>
      </c>
      <c r="J68" s="104">
        <v>0.9148</v>
      </c>
      <c r="K68" s="92">
        <v>1.0</v>
      </c>
      <c r="L68" s="95">
        <v>0.324140000000001</v>
      </c>
      <c r="M68" s="104">
        <v>0.8834</v>
      </c>
      <c r="N68" s="48">
        <f t="shared" si="2"/>
        <v>0.6811782111</v>
      </c>
      <c r="O68" s="48">
        <f t="shared" si="1"/>
        <v>75.58217871</v>
      </c>
      <c r="P68" s="104">
        <v>6988.619101</v>
      </c>
      <c r="Q68" s="104">
        <v>6.194472</v>
      </c>
      <c r="R68" s="104">
        <v>0.6715</v>
      </c>
      <c r="S68" s="104">
        <v>0.6463</v>
      </c>
      <c r="T68" s="104">
        <v>0.61</v>
      </c>
      <c r="U68" s="104">
        <v>0.7171</v>
      </c>
      <c r="V68" s="104">
        <v>0.6463</v>
      </c>
      <c r="W68" s="104">
        <v>0.6715</v>
      </c>
      <c r="X68" s="104">
        <v>0.6185</v>
      </c>
      <c r="Y68" s="104">
        <v>0.6843</v>
      </c>
      <c r="Z68" s="104">
        <v>0.7258</v>
      </c>
      <c r="AA68" s="104">
        <v>0.4726</v>
      </c>
      <c r="AB68" s="104">
        <v>0.463</v>
      </c>
      <c r="AC68" s="104">
        <v>0.3431</v>
      </c>
      <c r="AD68" s="104">
        <v>0.454</v>
      </c>
      <c r="AE68" s="104">
        <v>0.3908</v>
      </c>
      <c r="AF68" s="104">
        <v>0.6085</v>
      </c>
      <c r="AG68" s="104">
        <v>0.8649</v>
      </c>
      <c r="AH68" s="104">
        <v>0.6857</v>
      </c>
      <c r="AI68" s="104">
        <v>0.765</v>
      </c>
      <c r="AJ68" s="104">
        <v>0.7608</v>
      </c>
      <c r="AK68" s="104">
        <v>0.622</v>
      </c>
      <c r="AL68" s="104">
        <v>0.7992</v>
      </c>
      <c r="AM68" s="104">
        <v>0.6996</v>
      </c>
      <c r="AN68" s="104">
        <v>0.8256</v>
      </c>
      <c r="AO68" s="64"/>
      <c r="AP68" s="64"/>
      <c r="AQ68" s="64"/>
    </row>
    <row r="69">
      <c r="A69" s="13"/>
      <c r="B69" s="13"/>
      <c r="C69" s="87">
        <v>2.0</v>
      </c>
      <c r="D69" s="104">
        <v>1.0</v>
      </c>
      <c r="E69" s="104">
        <v>1.0</v>
      </c>
      <c r="F69" s="104">
        <v>1.0</v>
      </c>
      <c r="G69" s="104">
        <v>0.6563</v>
      </c>
      <c r="H69" s="104">
        <v>0.9552</v>
      </c>
      <c r="I69" s="104">
        <v>0.8099</v>
      </c>
      <c r="J69" s="104">
        <v>0.9464</v>
      </c>
      <c r="K69" s="92">
        <v>1.0</v>
      </c>
      <c r="L69" s="95">
        <v>0.324140000000001</v>
      </c>
      <c r="M69" s="104">
        <v>0.8637</v>
      </c>
      <c r="N69" s="48">
        <f t="shared" si="2"/>
        <v>0.7810734441</v>
      </c>
      <c r="O69" s="48">
        <f t="shared" si="1"/>
        <v>81.31305745</v>
      </c>
      <c r="P69" s="104">
        <v>6988.619101</v>
      </c>
      <c r="Q69" s="104">
        <v>5.936947</v>
      </c>
      <c r="R69" s="104">
        <v>0.793</v>
      </c>
      <c r="S69" s="104">
        <v>0.7501</v>
      </c>
      <c r="T69" s="104">
        <v>0.733</v>
      </c>
      <c r="U69" s="104">
        <v>0.7907</v>
      </c>
      <c r="V69" s="104">
        <v>0.7501</v>
      </c>
      <c r="W69" s="104">
        <v>0.793</v>
      </c>
      <c r="X69" s="104">
        <v>0.7374</v>
      </c>
      <c r="Y69" s="104">
        <v>0.7889</v>
      </c>
      <c r="Z69" s="104">
        <v>0.798</v>
      </c>
      <c r="AA69" s="104">
        <v>0.6418</v>
      </c>
      <c r="AB69" s="104">
        <v>0.6394</v>
      </c>
      <c r="AC69" s="104">
        <v>0.565</v>
      </c>
      <c r="AD69" s="104">
        <v>0.4841</v>
      </c>
      <c r="AE69" s="104">
        <v>0.5214</v>
      </c>
      <c r="AF69" s="104">
        <v>0.6677</v>
      </c>
      <c r="AG69" s="104">
        <v>0.8669</v>
      </c>
      <c r="AH69" s="104">
        <v>0.8257</v>
      </c>
      <c r="AI69" s="104">
        <v>0.8458</v>
      </c>
      <c r="AJ69" s="104">
        <v>0.8214</v>
      </c>
      <c r="AK69" s="104">
        <v>0.7671</v>
      </c>
      <c r="AL69" s="104">
        <v>0.9406</v>
      </c>
      <c r="AM69" s="104">
        <v>0.845</v>
      </c>
      <c r="AN69" s="104">
        <v>0.9264</v>
      </c>
      <c r="AO69" s="64"/>
      <c r="AP69" s="64"/>
      <c r="AQ69" s="64"/>
    </row>
    <row r="70">
      <c r="A70" s="13"/>
      <c r="B70" s="13"/>
      <c r="C70" s="87">
        <v>3.0</v>
      </c>
      <c r="D70" s="104">
        <v>1.0</v>
      </c>
      <c r="E70" s="104">
        <v>1.0</v>
      </c>
      <c r="F70" s="104">
        <v>1.0</v>
      </c>
      <c r="G70" s="104">
        <v>0.6016</v>
      </c>
      <c r="H70" s="104">
        <v>0.9686</v>
      </c>
      <c r="I70" s="104">
        <v>0.81</v>
      </c>
      <c r="J70" s="104">
        <v>0.966</v>
      </c>
      <c r="K70" s="92">
        <v>1.0</v>
      </c>
      <c r="L70" s="95">
        <v>0.324140000000001</v>
      </c>
      <c r="M70" s="104">
        <v>0.8547</v>
      </c>
      <c r="N70" s="48">
        <f t="shared" si="2"/>
        <v>0.8110167184</v>
      </c>
      <c r="O70" s="48">
        <f t="shared" si="1"/>
        <v>82.82155223</v>
      </c>
      <c r="P70" s="104">
        <v>6988.619101</v>
      </c>
      <c r="Q70" s="104">
        <v>5.993452</v>
      </c>
      <c r="R70" s="104">
        <v>0.8236</v>
      </c>
      <c r="S70" s="104">
        <v>0.7801</v>
      </c>
      <c r="T70" s="104">
        <v>0.7839</v>
      </c>
      <c r="U70" s="104">
        <v>0.8163</v>
      </c>
      <c r="V70" s="104">
        <v>0.7801</v>
      </c>
      <c r="W70" s="104">
        <v>0.8236</v>
      </c>
      <c r="X70" s="104">
        <v>0.7797</v>
      </c>
      <c r="Y70" s="104">
        <v>0.8186</v>
      </c>
      <c r="Z70" s="104">
        <v>0.819</v>
      </c>
      <c r="AA70" s="104">
        <v>0.6872</v>
      </c>
      <c r="AB70" s="104">
        <v>0.6863</v>
      </c>
      <c r="AC70" s="104">
        <v>0.6288</v>
      </c>
      <c r="AD70" s="104">
        <v>0.5217</v>
      </c>
      <c r="AE70" s="104">
        <v>0.5702</v>
      </c>
      <c r="AF70" s="104">
        <v>0.6972</v>
      </c>
      <c r="AG70" s="104">
        <v>0.8533</v>
      </c>
      <c r="AH70" s="104">
        <v>0.8667</v>
      </c>
      <c r="AI70" s="104">
        <v>0.8599</v>
      </c>
      <c r="AJ70" s="104">
        <v>0.8253</v>
      </c>
      <c r="AK70" s="104">
        <v>0.8697</v>
      </c>
      <c r="AL70" s="104">
        <v>0.9521</v>
      </c>
      <c r="AM70" s="104">
        <v>0.909</v>
      </c>
      <c r="AN70" s="104">
        <v>0.9549</v>
      </c>
      <c r="AO70" s="64"/>
      <c r="AP70" s="64"/>
      <c r="AQ70" s="64"/>
    </row>
    <row r="71">
      <c r="A71" s="13"/>
      <c r="B71" s="16"/>
      <c r="C71" s="87">
        <v>4.0</v>
      </c>
      <c r="D71" s="104">
        <v>1.0</v>
      </c>
      <c r="E71" s="104">
        <v>1.0</v>
      </c>
      <c r="F71" s="104">
        <v>1.0</v>
      </c>
      <c r="G71" s="104">
        <v>0.5755</v>
      </c>
      <c r="H71" s="104">
        <v>0.9734</v>
      </c>
      <c r="I71" s="104">
        <v>0.81</v>
      </c>
      <c r="J71" s="104">
        <v>0.9733</v>
      </c>
      <c r="K71" s="92">
        <v>1.0</v>
      </c>
      <c r="L71" s="95">
        <v>0.324140000000001</v>
      </c>
      <c r="M71" s="104">
        <v>0.8492</v>
      </c>
      <c r="N71" s="48">
        <f t="shared" si="2"/>
        <v>0.8289070852</v>
      </c>
      <c r="O71" s="48">
        <f t="shared" si="1"/>
        <v>83.69654012</v>
      </c>
      <c r="P71" s="104">
        <v>6988.619101</v>
      </c>
      <c r="Q71" s="104">
        <v>5.865146</v>
      </c>
      <c r="R71" s="104">
        <v>0.8411</v>
      </c>
      <c r="S71" s="104">
        <v>0.7975</v>
      </c>
      <c r="T71" s="104">
        <v>0.8156</v>
      </c>
      <c r="U71" s="104">
        <v>0.8353</v>
      </c>
      <c r="V71" s="104">
        <v>0.7975</v>
      </c>
      <c r="W71" s="104">
        <v>0.8411</v>
      </c>
      <c r="X71" s="104">
        <v>0.8051</v>
      </c>
      <c r="Y71" s="104">
        <v>0.8372</v>
      </c>
      <c r="Z71" s="104">
        <v>0.8317</v>
      </c>
      <c r="AA71" s="104">
        <v>0.7155</v>
      </c>
      <c r="AB71" s="104">
        <v>0.7144</v>
      </c>
      <c r="AC71" s="104">
        <v>0.6443</v>
      </c>
      <c r="AD71" s="104">
        <v>0.5474</v>
      </c>
      <c r="AE71" s="104">
        <v>0.5919</v>
      </c>
      <c r="AF71" s="104">
        <v>0.7143</v>
      </c>
      <c r="AG71" s="104">
        <v>0.8497</v>
      </c>
      <c r="AH71" s="104">
        <v>0.888</v>
      </c>
      <c r="AI71" s="104">
        <v>0.8684</v>
      </c>
      <c r="AJ71" s="104">
        <v>0.8291</v>
      </c>
      <c r="AK71" s="104">
        <v>0.9528</v>
      </c>
      <c r="AL71" s="104">
        <v>0.9572</v>
      </c>
      <c r="AM71" s="104">
        <v>0.955</v>
      </c>
      <c r="AN71" s="104">
        <v>0.9716</v>
      </c>
      <c r="AO71" s="64"/>
      <c r="AP71" s="64"/>
      <c r="AQ71" s="64"/>
    </row>
    <row r="72">
      <c r="A72" s="13"/>
      <c r="B72" s="91" t="s">
        <v>27</v>
      </c>
      <c r="C72" s="87">
        <v>1.0</v>
      </c>
      <c r="D72" s="104">
        <v>1.0</v>
      </c>
      <c r="E72" s="104">
        <v>1.0</v>
      </c>
      <c r="F72" s="104">
        <v>1.0</v>
      </c>
      <c r="G72" s="104">
        <v>0.6682</v>
      </c>
      <c r="H72" s="104">
        <v>0.8105</v>
      </c>
      <c r="I72" s="104">
        <v>0.6931</v>
      </c>
      <c r="J72" s="104">
        <v>0.8025</v>
      </c>
      <c r="K72" s="92">
        <v>1.0</v>
      </c>
      <c r="L72" s="95">
        <v>0.324140000000001</v>
      </c>
      <c r="M72" s="104">
        <v>0.7866</v>
      </c>
      <c r="N72" s="48">
        <f t="shared" si="2"/>
        <v>0.5395418399</v>
      </c>
      <c r="O72" s="48">
        <f t="shared" si="1"/>
        <v>62.7359753</v>
      </c>
      <c r="P72" s="104">
        <v>7765.973842</v>
      </c>
      <c r="Q72" s="104">
        <v>4.930156</v>
      </c>
      <c r="R72" s="104">
        <v>0.5683</v>
      </c>
      <c r="S72" s="104">
        <v>0.4743</v>
      </c>
      <c r="T72" s="104">
        <v>0.5747</v>
      </c>
      <c r="U72" s="104">
        <v>0.6259</v>
      </c>
      <c r="V72" s="104">
        <v>0.4743</v>
      </c>
      <c r="W72" s="104">
        <v>0.5683</v>
      </c>
      <c r="X72" s="104">
        <v>0.4585</v>
      </c>
      <c r="Y72" s="104">
        <v>0.5601</v>
      </c>
      <c r="Z72" s="104">
        <v>0.5362</v>
      </c>
      <c r="AA72" s="104">
        <v>0.2542</v>
      </c>
      <c r="AB72" s="104">
        <v>0.2428</v>
      </c>
      <c r="AC72" s="104">
        <v>0.6543</v>
      </c>
      <c r="AD72" s="104">
        <v>0.1446</v>
      </c>
      <c r="AE72" s="104">
        <v>0.2368</v>
      </c>
      <c r="AF72" s="104">
        <v>0.3771</v>
      </c>
      <c r="AG72" s="104">
        <v>0.7296</v>
      </c>
      <c r="AH72" s="104">
        <v>0.6827</v>
      </c>
      <c r="AI72" s="104">
        <v>0.7054</v>
      </c>
      <c r="AJ72" s="104">
        <v>0.6568</v>
      </c>
      <c r="AK72" s="104">
        <v>0.3403</v>
      </c>
      <c r="AL72" s="104">
        <v>0.5957</v>
      </c>
      <c r="AM72" s="104">
        <v>0.4332</v>
      </c>
      <c r="AN72" s="104">
        <v>0.6225</v>
      </c>
      <c r="AO72" s="49"/>
      <c r="AP72" s="49"/>
      <c r="AQ72" s="49"/>
    </row>
    <row r="73">
      <c r="A73" s="13"/>
      <c r="B73" s="13"/>
      <c r="C73" s="87">
        <v>2.0</v>
      </c>
      <c r="D73" s="104">
        <v>1.0</v>
      </c>
      <c r="E73" s="104">
        <v>1.0</v>
      </c>
      <c r="F73" s="104">
        <v>1.0</v>
      </c>
      <c r="G73" s="104">
        <v>0.4232</v>
      </c>
      <c r="H73" s="104">
        <v>0.8722</v>
      </c>
      <c r="I73" s="104">
        <v>0.6448</v>
      </c>
      <c r="J73" s="104">
        <v>0.8658</v>
      </c>
      <c r="K73" s="92">
        <v>1.0</v>
      </c>
      <c r="L73" s="95">
        <v>0.324140000000001</v>
      </c>
      <c r="M73" s="104">
        <v>0.7291</v>
      </c>
      <c r="N73" s="48">
        <f t="shared" si="2"/>
        <v>0.5856516964</v>
      </c>
      <c r="O73" s="48">
        <f t="shared" si="1"/>
        <v>63.92908414</v>
      </c>
      <c r="P73" s="104">
        <v>7765.973842</v>
      </c>
      <c r="Q73" s="104">
        <v>5.39015</v>
      </c>
      <c r="R73" s="104">
        <v>0.6452</v>
      </c>
      <c r="S73" s="104">
        <v>0.5115</v>
      </c>
      <c r="T73" s="104">
        <v>0.6295</v>
      </c>
      <c r="U73" s="104">
        <v>0.6465</v>
      </c>
      <c r="V73" s="104">
        <v>0.5115</v>
      </c>
      <c r="W73" s="104">
        <v>0.6452</v>
      </c>
      <c r="X73" s="104">
        <v>0.5319</v>
      </c>
      <c r="Y73" s="104">
        <v>0.6225</v>
      </c>
      <c r="Z73" s="104">
        <v>0.5781</v>
      </c>
      <c r="AA73" s="104">
        <v>0.321</v>
      </c>
      <c r="AB73" s="104">
        <v>0.3093</v>
      </c>
      <c r="AC73" s="104">
        <v>0.7503</v>
      </c>
      <c r="AD73" s="104">
        <v>0.2787</v>
      </c>
      <c r="AE73" s="104">
        <v>0.4064</v>
      </c>
      <c r="AF73" s="104">
        <v>0.5227</v>
      </c>
      <c r="AG73" s="104">
        <v>0.6975</v>
      </c>
      <c r="AH73" s="104">
        <v>0.8479</v>
      </c>
      <c r="AI73" s="104">
        <v>0.7654</v>
      </c>
      <c r="AJ73" s="104">
        <v>0.6311</v>
      </c>
      <c r="AK73" s="104">
        <v>0.4408</v>
      </c>
      <c r="AL73" s="104">
        <v>0.408</v>
      </c>
      <c r="AM73" s="104">
        <v>0.4238</v>
      </c>
      <c r="AN73" s="104">
        <v>0.5859</v>
      </c>
      <c r="AO73" s="49"/>
      <c r="AP73" s="49"/>
      <c r="AQ73" s="49"/>
    </row>
    <row r="74">
      <c r="A74" s="13"/>
      <c r="B74" s="13"/>
      <c r="C74" s="87">
        <v>3.0</v>
      </c>
      <c r="D74" s="104">
        <v>1.0</v>
      </c>
      <c r="E74" s="104">
        <v>1.0</v>
      </c>
      <c r="F74" s="104">
        <v>1.0</v>
      </c>
      <c r="G74" s="104">
        <v>0.3516</v>
      </c>
      <c r="H74" s="104">
        <v>0.8651</v>
      </c>
      <c r="I74" s="104">
        <v>0.6314</v>
      </c>
      <c r="J74" s="104">
        <v>0.8648</v>
      </c>
      <c r="K74" s="92">
        <v>1.0</v>
      </c>
      <c r="L74" s="95">
        <v>0.324140000000001</v>
      </c>
      <c r="M74" s="104">
        <v>0.6983</v>
      </c>
      <c r="N74" s="48">
        <f t="shared" si="2"/>
        <v>0.6368939169</v>
      </c>
      <c r="O74" s="48">
        <f t="shared" si="1"/>
        <v>66.07802856</v>
      </c>
      <c r="P74" s="104">
        <v>7765.973842</v>
      </c>
      <c r="Q74" s="104">
        <v>5.473105</v>
      </c>
      <c r="R74" s="104">
        <v>0.6937</v>
      </c>
      <c r="S74" s="104">
        <v>0.5628</v>
      </c>
      <c r="T74" s="104">
        <v>0.7</v>
      </c>
      <c r="U74" s="104">
        <v>0.6946</v>
      </c>
      <c r="V74" s="104">
        <v>0.5628</v>
      </c>
      <c r="W74" s="104">
        <v>0.6937</v>
      </c>
      <c r="X74" s="104">
        <v>0.597</v>
      </c>
      <c r="Y74" s="104">
        <v>0.6686</v>
      </c>
      <c r="Z74" s="104">
        <v>0.616</v>
      </c>
      <c r="AA74" s="104">
        <v>0.4129</v>
      </c>
      <c r="AB74" s="104">
        <v>0.3864</v>
      </c>
      <c r="AC74" s="104">
        <v>0.7869</v>
      </c>
      <c r="AD74" s="104">
        <v>0.4033</v>
      </c>
      <c r="AE74" s="104">
        <v>0.5333</v>
      </c>
      <c r="AF74" s="104">
        <v>0.6273</v>
      </c>
      <c r="AG74" s="104">
        <v>0.6966</v>
      </c>
      <c r="AH74" s="104">
        <v>0.9044</v>
      </c>
      <c r="AI74" s="104">
        <v>0.787</v>
      </c>
      <c r="AJ74" s="104">
        <v>0.6264</v>
      </c>
      <c r="AK74" s="104">
        <v>0.6164</v>
      </c>
      <c r="AL74" s="104">
        <v>0.3808</v>
      </c>
      <c r="AM74" s="104">
        <v>0.4707</v>
      </c>
      <c r="AN74" s="104">
        <v>0.595</v>
      </c>
      <c r="AO74" s="49"/>
      <c r="AP74" s="49"/>
      <c r="AQ74" s="49"/>
    </row>
    <row r="75">
      <c r="A75" s="16"/>
      <c r="B75" s="16"/>
      <c r="C75" s="87">
        <v>4.0</v>
      </c>
      <c r="D75" s="104">
        <v>1.0</v>
      </c>
      <c r="E75" s="104">
        <v>1.0</v>
      </c>
      <c r="F75" s="104">
        <v>1.0</v>
      </c>
      <c r="G75" s="104">
        <v>0.319</v>
      </c>
      <c r="H75" s="104">
        <v>0.846</v>
      </c>
      <c r="I75" s="104">
        <v>0.6223</v>
      </c>
      <c r="J75" s="104">
        <v>0.846</v>
      </c>
      <c r="K75" s="92">
        <v>1.0</v>
      </c>
      <c r="L75" s="95">
        <v>0.324140000000001</v>
      </c>
      <c r="M75" s="104">
        <v>0.6769</v>
      </c>
      <c r="N75" s="48">
        <f t="shared" si="2"/>
        <v>0.6590713394</v>
      </c>
      <c r="O75" s="48">
        <f t="shared" si="1"/>
        <v>66.61457498</v>
      </c>
      <c r="P75" s="104">
        <v>7765.973842</v>
      </c>
      <c r="Q75" s="104">
        <v>5.485974</v>
      </c>
      <c r="R75" s="104">
        <v>0.7147</v>
      </c>
      <c r="S75" s="104">
        <v>0.5839</v>
      </c>
      <c r="T75" s="104">
        <v>0.7547</v>
      </c>
      <c r="U75" s="104">
        <v>0.7328</v>
      </c>
      <c r="V75" s="104">
        <v>0.5839</v>
      </c>
      <c r="W75" s="104">
        <v>0.7147</v>
      </c>
      <c r="X75" s="104">
        <v>0.6235</v>
      </c>
      <c r="Y75" s="104">
        <v>0.6882</v>
      </c>
      <c r="Z75" s="104">
        <v>0.6273</v>
      </c>
      <c r="AA75" s="104">
        <v>0.4595</v>
      </c>
      <c r="AB75" s="104">
        <v>0.4204</v>
      </c>
      <c r="AC75" s="104">
        <v>0.7695</v>
      </c>
      <c r="AD75" s="104">
        <v>0.4594</v>
      </c>
      <c r="AE75" s="104">
        <v>0.5753</v>
      </c>
      <c r="AF75" s="104">
        <v>0.6672</v>
      </c>
      <c r="AG75" s="104">
        <v>0.6961</v>
      </c>
      <c r="AH75" s="104">
        <v>0.9294</v>
      </c>
      <c r="AI75" s="104">
        <v>0.796</v>
      </c>
      <c r="AJ75" s="104">
        <v>0.6224</v>
      </c>
      <c r="AK75" s="104">
        <v>0.7984</v>
      </c>
      <c r="AL75" s="104">
        <v>0.363</v>
      </c>
      <c r="AM75" s="104">
        <v>0.4991</v>
      </c>
      <c r="AN75" s="104">
        <v>0.5944</v>
      </c>
      <c r="AO75" s="49"/>
      <c r="AP75" s="49"/>
      <c r="AQ75" s="49"/>
    </row>
    <row r="76">
      <c r="A76" s="96" t="s">
        <v>100</v>
      </c>
      <c r="B76" s="97" t="s">
        <v>111</v>
      </c>
      <c r="C76" s="98">
        <v>1.0</v>
      </c>
      <c r="D76" s="99">
        <v>1.0</v>
      </c>
      <c r="E76" s="99">
        <v>1.0</v>
      </c>
      <c r="F76" s="99">
        <v>1.0</v>
      </c>
      <c r="G76" s="99">
        <v>0.863</v>
      </c>
      <c r="H76" s="99">
        <v>0.8163</v>
      </c>
      <c r="I76" s="99">
        <v>0.0</v>
      </c>
      <c r="J76" s="99">
        <v>0.8242</v>
      </c>
      <c r="K76" s="100">
        <v>1.0</v>
      </c>
      <c r="L76" s="99">
        <v>0.324140000000001</v>
      </c>
      <c r="M76" s="99">
        <v>0.1022</v>
      </c>
      <c r="N76" s="57">
        <f t="shared" si="2"/>
        <v>0.8057788668</v>
      </c>
      <c r="O76" s="57">
        <f t="shared" si="1"/>
        <v>35.27848139</v>
      </c>
      <c r="P76" s="99">
        <v>51.44416</v>
      </c>
      <c r="Q76" s="99">
        <v>1.644185</v>
      </c>
      <c r="R76" s="99">
        <v>0.7664</v>
      </c>
      <c r="S76" s="99">
        <v>0.8113</v>
      </c>
      <c r="T76" s="99">
        <v>0.8094</v>
      </c>
      <c r="U76" s="99">
        <v>0.8999</v>
      </c>
      <c r="V76" s="99">
        <v>0.8113</v>
      </c>
      <c r="W76" s="99">
        <v>0.7664</v>
      </c>
      <c r="X76" s="99">
        <v>0.7567</v>
      </c>
      <c r="Y76" s="99">
        <v>0.7939</v>
      </c>
      <c r="Z76" s="99">
        <v>0.8467</v>
      </c>
      <c r="AA76" s="99">
        <v>0.6812</v>
      </c>
      <c r="AB76" s="99">
        <v>0.6338</v>
      </c>
      <c r="AC76" s="99">
        <v>0.4283</v>
      </c>
      <c r="AD76" s="99">
        <v>1.0</v>
      </c>
      <c r="AE76" s="99">
        <v>0.5997</v>
      </c>
      <c r="AF76" s="99">
        <v>0.8466</v>
      </c>
      <c r="AG76" s="99">
        <v>1.0</v>
      </c>
      <c r="AH76" s="99">
        <v>0.7166</v>
      </c>
      <c r="AI76" s="99">
        <v>0.8349</v>
      </c>
      <c r="AJ76" s="99">
        <v>0.8465</v>
      </c>
      <c r="AK76" s="99">
        <v>1.0</v>
      </c>
      <c r="AL76" s="99">
        <v>0.7173</v>
      </c>
      <c r="AM76" s="99">
        <v>0.8354</v>
      </c>
      <c r="AN76" s="99">
        <v>0.847</v>
      </c>
      <c r="AO76" s="58"/>
      <c r="AP76" s="58"/>
      <c r="AQ76" s="58"/>
    </row>
    <row r="77">
      <c r="A77" s="13"/>
      <c r="B77" s="13"/>
      <c r="C77" s="98">
        <v>2.0</v>
      </c>
      <c r="D77" s="99">
        <v>1.0</v>
      </c>
      <c r="E77" s="99">
        <v>1.0</v>
      </c>
      <c r="F77" s="99">
        <v>1.0</v>
      </c>
      <c r="G77" s="99">
        <v>0.7052</v>
      </c>
      <c r="H77" s="99">
        <v>0.9372</v>
      </c>
      <c r="I77" s="99">
        <v>0.0</v>
      </c>
      <c r="J77" s="99">
        <v>0.9445</v>
      </c>
      <c r="K77" s="100">
        <v>1.0</v>
      </c>
      <c r="L77" s="99">
        <v>0.324140000000001</v>
      </c>
      <c r="M77" s="99">
        <v>0.1229</v>
      </c>
      <c r="N77" s="57">
        <f t="shared" si="2"/>
        <v>0.9374437916</v>
      </c>
      <c r="O77" s="57">
        <f t="shared" si="1"/>
        <v>41.58990185</v>
      </c>
      <c r="P77" s="99">
        <v>51.44416</v>
      </c>
      <c r="Q77" s="99">
        <v>1.824216</v>
      </c>
      <c r="R77" s="99">
        <v>0.9284</v>
      </c>
      <c r="S77" s="99">
        <v>0.9502</v>
      </c>
      <c r="T77" s="99">
        <v>0.9031</v>
      </c>
      <c r="U77" s="99">
        <v>0.9492</v>
      </c>
      <c r="V77" s="99">
        <v>0.9502</v>
      </c>
      <c r="W77" s="99">
        <v>0.9284</v>
      </c>
      <c r="X77" s="99">
        <v>0.9173</v>
      </c>
      <c r="Y77" s="99">
        <v>0.9327</v>
      </c>
      <c r="Z77" s="99">
        <v>0.9597</v>
      </c>
      <c r="AA77" s="99">
        <v>0.8862</v>
      </c>
      <c r="AB77" s="99">
        <v>0.879</v>
      </c>
      <c r="AC77" s="99">
        <v>0.7094</v>
      </c>
      <c r="AD77" s="99">
        <v>1.0</v>
      </c>
      <c r="AE77" s="99">
        <v>0.83</v>
      </c>
      <c r="AF77" s="99">
        <v>0.9556</v>
      </c>
      <c r="AG77" s="99">
        <v>1.0</v>
      </c>
      <c r="AH77" s="99">
        <v>0.8973</v>
      </c>
      <c r="AI77" s="99">
        <v>0.9459</v>
      </c>
      <c r="AJ77" s="99">
        <v>0.9473</v>
      </c>
      <c r="AK77" s="99">
        <v>1.0</v>
      </c>
      <c r="AL77" s="99">
        <v>0.9533</v>
      </c>
      <c r="AM77" s="99">
        <v>0.9761</v>
      </c>
      <c r="AN77" s="99">
        <v>0.9764</v>
      </c>
      <c r="AO77" s="58"/>
      <c r="AP77" s="58"/>
      <c r="AQ77" s="58"/>
    </row>
    <row r="78">
      <c r="A78" s="13"/>
      <c r="B78" s="13"/>
      <c r="C78" s="98">
        <v>3.0</v>
      </c>
      <c r="D78" s="99">
        <v>1.0</v>
      </c>
      <c r="E78" s="99">
        <v>1.0</v>
      </c>
      <c r="F78" s="99">
        <v>1.0</v>
      </c>
      <c r="G78" s="99">
        <v>0.6469</v>
      </c>
      <c r="H78" s="99">
        <v>0.9775</v>
      </c>
      <c r="I78" s="99">
        <v>1.0E-4</v>
      </c>
      <c r="J78" s="99">
        <v>0.9795</v>
      </c>
      <c r="K78" s="100">
        <v>1.0</v>
      </c>
      <c r="L78" s="99">
        <v>0.324140000000001</v>
      </c>
      <c r="M78" s="99">
        <v>0.131</v>
      </c>
      <c r="N78" s="57">
        <f t="shared" si="2"/>
        <v>0.9772135785</v>
      </c>
      <c r="O78" s="57">
        <f t="shared" si="1"/>
        <v>43.74236035</v>
      </c>
      <c r="P78" s="99">
        <v>51.44416</v>
      </c>
      <c r="Q78" s="99">
        <v>1.883339</v>
      </c>
      <c r="R78" s="99">
        <v>0.975</v>
      </c>
      <c r="S78" s="99">
        <v>0.9823</v>
      </c>
      <c r="T78" s="99">
        <v>0.9596</v>
      </c>
      <c r="U78" s="99">
        <v>0.978</v>
      </c>
      <c r="V78" s="99">
        <v>0.9823</v>
      </c>
      <c r="W78" s="99">
        <v>0.975</v>
      </c>
      <c r="X78" s="99">
        <v>0.9695</v>
      </c>
      <c r="Y78" s="99">
        <v>0.9756</v>
      </c>
      <c r="Z78" s="99">
        <v>0.9859</v>
      </c>
      <c r="AA78" s="99">
        <v>0.9576</v>
      </c>
      <c r="AB78" s="99">
        <v>0.9566</v>
      </c>
      <c r="AC78" s="99">
        <v>0.8789</v>
      </c>
      <c r="AD78" s="99">
        <v>1.0</v>
      </c>
      <c r="AE78" s="99">
        <v>0.9356</v>
      </c>
      <c r="AF78" s="99">
        <v>0.9846</v>
      </c>
      <c r="AG78" s="99">
        <v>1.0</v>
      </c>
      <c r="AH78" s="99">
        <v>0.9645</v>
      </c>
      <c r="AI78" s="99">
        <v>0.9819</v>
      </c>
      <c r="AJ78" s="99">
        <v>0.9821</v>
      </c>
      <c r="AK78" s="99">
        <v>1.0</v>
      </c>
      <c r="AL78" s="99">
        <v>0.9823</v>
      </c>
      <c r="AM78" s="99">
        <v>0.9911</v>
      </c>
      <c r="AN78" s="99">
        <v>0.9911</v>
      </c>
      <c r="AO78" s="58"/>
      <c r="AP78" s="58"/>
      <c r="AQ78" s="58"/>
    </row>
    <row r="79">
      <c r="A79" s="13"/>
      <c r="B79" s="16"/>
      <c r="C79" s="98">
        <v>4.0</v>
      </c>
      <c r="D79" s="99">
        <v>1.0</v>
      </c>
      <c r="E79" s="99">
        <v>1.0</v>
      </c>
      <c r="F79" s="99">
        <v>1.0</v>
      </c>
      <c r="G79" s="99">
        <v>0.7052</v>
      </c>
      <c r="H79" s="99">
        <v>0.9372</v>
      </c>
      <c r="I79" s="99">
        <v>0.0</v>
      </c>
      <c r="J79" s="99">
        <v>0.9445</v>
      </c>
      <c r="K79" s="100">
        <v>1.0</v>
      </c>
      <c r="L79" s="99">
        <v>0.324140000000001</v>
      </c>
      <c r="M79" s="99">
        <v>0.1229</v>
      </c>
      <c r="N79" s="57">
        <f t="shared" si="2"/>
        <v>0.9374437916</v>
      </c>
      <c r="O79" s="57">
        <f t="shared" si="1"/>
        <v>41.58990185</v>
      </c>
      <c r="P79" s="99">
        <v>51.44416</v>
      </c>
      <c r="Q79" s="99">
        <v>1.824216</v>
      </c>
      <c r="R79" s="99">
        <v>0.9284</v>
      </c>
      <c r="S79" s="99">
        <v>0.9502</v>
      </c>
      <c r="T79" s="99">
        <v>0.9031</v>
      </c>
      <c r="U79" s="99">
        <v>0.9492</v>
      </c>
      <c r="V79" s="99">
        <v>0.9502</v>
      </c>
      <c r="W79" s="99">
        <v>0.9284</v>
      </c>
      <c r="X79" s="99">
        <v>0.9173</v>
      </c>
      <c r="Y79" s="99">
        <v>0.9327</v>
      </c>
      <c r="Z79" s="99">
        <v>0.9597</v>
      </c>
      <c r="AA79" s="99">
        <v>0.8862</v>
      </c>
      <c r="AB79" s="99">
        <v>0.879</v>
      </c>
      <c r="AC79" s="99">
        <v>0.7094</v>
      </c>
      <c r="AD79" s="99">
        <v>1.0</v>
      </c>
      <c r="AE79" s="99">
        <v>0.83</v>
      </c>
      <c r="AF79" s="99">
        <v>0.9556</v>
      </c>
      <c r="AG79" s="99">
        <v>1.0</v>
      </c>
      <c r="AH79" s="99">
        <v>0.8973</v>
      </c>
      <c r="AI79" s="99">
        <v>0.9459</v>
      </c>
      <c r="AJ79" s="99">
        <v>0.9473</v>
      </c>
      <c r="AK79" s="99">
        <v>1.0</v>
      </c>
      <c r="AL79" s="99">
        <v>0.9533</v>
      </c>
      <c r="AM79" s="99">
        <v>0.9761</v>
      </c>
      <c r="AN79" s="99">
        <v>0.9764</v>
      </c>
      <c r="AO79" s="58"/>
      <c r="AP79" s="58"/>
      <c r="AQ79" s="58"/>
    </row>
    <row r="80">
      <c r="A80" s="13"/>
      <c r="B80" s="97" t="s">
        <v>23</v>
      </c>
      <c r="C80" s="98">
        <v>1.0</v>
      </c>
      <c r="D80" s="99">
        <v>1.0</v>
      </c>
      <c r="E80" s="99">
        <v>1.0</v>
      </c>
      <c r="F80" s="99">
        <v>1.0</v>
      </c>
      <c r="G80" s="99">
        <v>0.863</v>
      </c>
      <c r="H80" s="99">
        <v>0.8164</v>
      </c>
      <c r="I80" s="99">
        <v>0.5533</v>
      </c>
      <c r="J80" s="99">
        <v>0.7985</v>
      </c>
      <c r="K80" s="100">
        <v>1.0</v>
      </c>
      <c r="L80" s="99">
        <v>0.324140000000001</v>
      </c>
      <c r="M80" s="99">
        <v>0.7918</v>
      </c>
      <c r="N80" s="57">
        <f t="shared" si="2"/>
        <v>0.8057911963</v>
      </c>
      <c r="O80" s="57">
        <f t="shared" si="1"/>
        <v>80.01652927</v>
      </c>
      <c r="P80" s="99">
        <v>91.004633</v>
      </c>
      <c r="Q80" s="99">
        <v>0.730416</v>
      </c>
      <c r="R80" s="99">
        <v>0.7664</v>
      </c>
      <c r="S80" s="99">
        <v>0.8113</v>
      </c>
      <c r="T80" s="99">
        <v>0.8094</v>
      </c>
      <c r="U80" s="99">
        <v>0.8999</v>
      </c>
      <c r="V80" s="99">
        <v>0.8113</v>
      </c>
      <c r="W80" s="99">
        <v>0.7664</v>
      </c>
      <c r="X80" s="99">
        <v>0.7567</v>
      </c>
      <c r="Y80" s="99">
        <v>0.7939</v>
      </c>
      <c r="Z80" s="99">
        <v>0.8467</v>
      </c>
      <c r="AA80" s="99">
        <v>0.6812</v>
      </c>
      <c r="AB80" s="99">
        <v>0.6339</v>
      </c>
      <c r="AC80" s="99">
        <v>0.4283</v>
      </c>
      <c r="AD80" s="99">
        <v>0.9999</v>
      </c>
      <c r="AE80" s="99">
        <v>0.5997</v>
      </c>
      <c r="AF80" s="99">
        <v>0.8466</v>
      </c>
      <c r="AG80" s="99">
        <v>1.0</v>
      </c>
      <c r="AH80" s="99">
        <v>0.7166</v>
      </c>
      <c r="AI80" s="99">
        <v>0.8349</v>
      </c>
      <c r="AJ80" s="99">
        <v>0.8465</v>
      </c>
      <c r="AK80" s="99">
        <v>1.0</v>
      </c>
      <c r="AL80" s="99">
        <v>0.7173</v>
      </c>
      <c r="AM80" s="99">
        <v>0.8354</v>
      </c>
      <c r="AN80" s="99">
        <v>0.847</v>
      </c>
      <c r="AO80" s="58"/>
      <c r="AP80" s="58"/>
      <c r="AQ80" s="58"/>
    </row>
    <row r="81">
      <c r="A81" s="13"/>
      <c r="B81" s="13"/>
      <c r="C81" s="98">
        <v>2.0</v>
      </c>
      <c r="D81" s="99">
        <v>1.0</v>
      </c>
      <c r="E81" s="99">
        <v>1.0</v>
      </c>
      <c r="F81" s="99">
        <v>1.0</v>
      </c>
      <c r="G81" s="99">
        <v>0.7051</v>
      </c>
      <c r="H81" s="99">
        <v>0.9372</v>
      </c>
      <c r="I81" s="99">
        <v>0.3866</v>
      </c>
      <c r="J81" s="99">
        <v>0.8914</v>
      </c>
      <c r="K81" s="100">
        <v>1.0</v>
      </c>
      <c r="L81" s="99">
        <v>0.324140000000001</v>
      </c>
      <c r="M81" s="99">
        <v>0.7438</v>
      </c>
      <c r="N81" s="57">
        <f t="shared" si="2"/>
        <v>0.9374562164</v>
      </c>
      <c r="O81" s="57">
        <f t="shared" si="1"/>
        <v>85.45806708</v>
      </c>
      <c r="P81" s="99">
        <v>91.004633</v>
      </c>
      <c r="Q81" s="99">
        <v>0.920883</v>
      </c>
      <c r="R81" s="99">
        <v>0.9284</v>
      </c>
      <c r="S81" s="99">
        <v>0.9502</v>
      </c>
      <c r="T81" s="99">
        <v>0.9031</v>
      </c>
      <c r="U81" s="99">
        <v>0.9492</v>
      </c>
      <c r="V81" s="99">
        <v>0.9502</v>
      </c>
      <c r="W81" s="99">
        <v>0.9284</v>
      </c>
      <c r="X81" s="99">
        <v>0.9173</v>
      </c>
      <c r="Y81" s="99">
        <v>0.9327</v>
      </c>
      <c r="Z81" s="99">
        <v>0.9597</v>
      </c>
      <c r="AA81" s="99">
        <v>0.8863</v>
      </c>
      <c r="AB81" s="99">
        <v>0.879</v>
      </c>
      <c r="AC81" s="99">
        <v>0.7094</v>
      </c>
      <c r="AD81" s="99">
        <v>1.0</v>
      </c>
      <c r="AE81" s="99">
        <v>0.83</v>
      </c>
      <c r="AF81" s="99">
        <v>0.9556</v>
      </c>
      <c r="AG81" s="99">
        <v>1.0</v>
      </c>
      <c r="AH81" s="99">
        <v>0.8974</v>
      </c>
      <c r="AI81" s="99">
        <v>0.9459</v>
      </c>
      <c r="AJ81" s="99">
        <v>0.9473</v>
      </c>
      <c r="AK81" s="99">
        <v>1.0</v>
      </c>
      <c r="AL81" s="99">
        <v>0.9533</v>
      </c>
      <c r="AM81" s="99">
        <v>0.9761</v>
      </c>
      <c r="AN81" s="99">
        <v>0.9764</v>
      </c>
      <c r="AO81" s="58"/>
      <c r="AP81" s="58"/>
      <c r="AQ81" s="58"/>
    </row>
    <row r="82">
      <c r="A82" s="13"/>
      <c r="B82" s="13"/>
      <c r="C82" s="98">
        <v>3.0</v>
      </c>
      <c r="D82" s="99">
        <v>1.0</v>
      </c>
      <c r="E82" s="99">
        <v>1.0</v>
      </c>
      <c r="F82" s="99">
        <v>1.0</v>
      </c>
      <c r="G82" s="99">
        <v>0.6469</v>
      </c>
      <c r="H82" s="99">
        <v>0.9775</v>
      </c>
      <c r="I82" s="99">
        <v>0.3548</v>
      </c>
      <c r="J82" s="99">
        <v>0.8934</v>
      </c>
      <c r="K82" s="100">
        <v>1.0</v>
      </c>
      <c r="L82" s="99">
        <v>0.324140000000001</v>
      </c>
      <c r="M82" s="99">
        <v>0.7251</v>
      </c>
      <c r="N82" s="57">
        <f t="shared" si="2"/>
        <v>0.9772135785</v>
      </c>
      <c r="O82" s="57">
        <f t="shared" si="1"/>
        <v>86.72670724</v>
      </c>
      <c r="P82" s="99">
        <v>91.004633</v>
      </c>
      <c r="Q82" s="99">
        <v>1.006983</v>
      </c>
      <c r="R82" s="99">
        <v>0.975</v>
      </c>
      <c r="S82" s="99">
        <v>0.9823</v>
      </c>
      <c r="T82" s="99">
        <v>0.9597</v>
      </c>
      <c r="U82" s="99">
        <v>0.978</v>
      </c>
      <c r="V82" s="99">
        <v>0.9823</v>
      </c>
      <c r="W82" s="99">
        <v>0.975</v>
      </c>
      <c r="X82" s="99">
        <v>0.9695</v>
      </c>
      <c r="Y82" s="99">
        <v>0.9756</v>
      </c>
      <c r="Z82" s="99">
        <v>0.9859</v>
      </c>
      <c r="AA82" s="99">
        <v>0.9576</v>
      </c>
      <c r="AB82" s="99">
        <v>0.9566</v>
      </c>
      <c r="AC82" s="99">
        <v>0.879</v>
      </c>
      <c r="AD82" s="99">
        <v>1.0</v>
      </c>
      <c r="AE82" s="99">
        <v>0.9356</v>
      </c>
      <c r="AF82" s="99">
        <v>0.9846</v>
      </c>
      <c r="AG82" s="99">
        <v>1.0</v>
      </c>
      <c r="AH82" s="99">
        <v>0.9645</v>
      </c>
      <c r="AI82" s="99">
        <v>0.9819</v>
      </c>
      <c r="AJ82" s="99">
        <v>0.9821</v>
      </c>
      <c r="AK82" s="99">
        <v>1.0</v>
      </c>
      <c r="AL82" s="99">
        <v>0.9823</v>
      </c>
      <c r="AM82" s="99">
        <v>0.9911</v>
      </c>
      <c r="AN82" s="99">
        <v>0.9911</v>
      </c>
      <c r="AO82" s="58"/>
      <c r="AP82" s="58"/>
      <c r="AQ82" s="58"/>
    </row>
    <row r="83">
      <c r="A83" s="13"/>
      <c r="B83" s="16"/>
      <c r="C83" s="98">
        <v>4.0</v>
      </c>
      <c r="D83" s="99">
        <v>1.0</v>
      </c>
      <c r="E83" s="99">
        <v>1.0</v>
      </c>
      <c r="F83" s="99">
        <v>1.0</v>
      </c>
      <c r="G83" s="99">
        <v>0.7051</v>
      </c>
      <c r="H83" s="99">
        <v>0.9372</v>
      </c>
      <c r="I83" s="99">
        <v>0.3866</v>
      </c>
      <c r="J83" s="99">
        <v>0.8914</v>
      </c>
      <c r="K83" s="100">
        <v>1.0</v>
      </c>
      <c r="L83" s="99">
        <v>0.324140000000001</v>
      </c>
      <c r="M83" s="99">
        <v>0.7438</v>
      </c>
      <c r="N83" s="57">
        <f t="shared" si="2"/>
        <v>0.9374562164</v>
      </c>
      <c r="O83" s="57">
        <f t="shared" si="1"/>
        <v>85.45806708</v>
      </c>
      <c r="P83" s="99">
        <v>91.004633</v>
      </c>
      <c r="Q83" s="99">
        <v>0.920883</v>
      </c>
      <c r="R83" s="99">
        <v>0.9284</v>
      </c>
      <c r="S83" s="99">
        <v>0.9502</v>
      </c>
      <c r="T83" s="99">
        <v>0.9031</v>
      </c>
      <c r="U83" s="99">
        <v>0.9492</v>
      </c>
      <c r="V83" s="99">
        <v>0.9502</v>
      </c>
      <c r="W83" s="99">
        <v>0.9284</v>
      </c>
      <c r="X83" s="99">
        <v>0.9173</v>
      </c>
      <c r="Y83" s="99">
        <v>0.9327</v>
      </c>
      <c r="Z83" s="99">
        <v>0.9597</v>
      </c>
      <c r="AA83" s="99">
        <v>0.8863</v>
      </c>
      <c r="AB83" s="99">
        <v>0.879</v>
      </c>
      <c r="AC83" s="99">
        <v>0.7094</v>
      </c>
      <c r="AD83" s="99">
        <v>1.0</v>
      </c>
      <c r="AE83" s="99">
        <v>0.83</v>
      </c>
      <c r="AF83" s="99">
        <v>0.9556</v>
      </c>
      <c r="AG83" s="99">
        <v>1.0</v>
      </c>
      <c r="AH83" s="99">
        <v>0.8974</v>
      </c>
      <c r="AI83" s="99">
        <v>0.9459</v>
      </c>
      <c r="AJ83" s="99">
        <v>0.9473</v>
      </c>
      <c r="AK83" s="99">
        <v>1.0</v>
      </c>
      <c r="AL83" s="99">
        <v>0.9533</v>
      </c>
      <c r="AM83" s="99">
        <v>0.9761</v>
      </c>
      <c r="AN83" s="99">
        <v>0.9764</v>
      </c>
      <c r="AO83" s="58"/>
      <c r="AP83" s="58"/>
      <c r="AQ83" s="58"/>
    </row>
    <row r="84">
      <c r="A84" s="13"/>
      <c r="B84" s="97" t="s">
        <v>24</v>
      </c>
      <c r="C84" s="98">
        <v>1.0</v>
      </c>
      <c r="D84" s="99">
        <v>1.0</v>
      </c>
      <c r="E84" s="99">
        <v>1.0</v>
      </c>
      <c r="F84" s="99">
        <v>1.0</v>
      </c>
      <c r="G84" s="99">
        <v>0.3751</v>
      </c>
      <c r="H84" s="99">
        <v>0.8542</v>
      </c>
      <c r="I84" s="99">
        <v>0.9609</v>
      </c>
      <c r="J84" s="99">
        <v>0.7803</v>
      </c>
      <c r="K84" s="100">
        <v>1.0</v>
      </c>
      <c r="L84" s="99">
        <v>0.324140000000001</v>
      </c>
      <c r="M84" s="99">
        <v>0.7519</v>
      </c>
      <c r="N84" s="57">
        <f t="shared" si="2"/>
        <v>0.6373960881</v>
      </c>
      <c r="O84" s="57">
        <f t="shared" si="1"/>
        <v>68.09412917</v>
      </c>
      <c r="P84" s="99">
        <v>8142.315576</v>
      </c>
      <c r="Q84" s="99">
        <v>4.088305</v>
      </c>
      <c r="R84" s="99">
        <v>0.7096</v>
      </c>
      <c r="S84" s="99">
        <v>0.5645</v>
      </c>
      <c r="T84" s="99">
        <v>0.6284</v>
      </c>
      <c r="U84" s="99">
        <v>0.6726</v>
      </c>
      <c r="V84" s="99">
        <v>0.5645</v>
      </c>
      <c r="W84" s="99">
        <v>0.7096</v>
      </c>
      <c r="X84" s="99">
        <v>0.5702</v>
      </c>
      <c r="Y84" s="99">
        <v>0.6724</v>
      </c>
      <c r="Z84" s="99">
        <v>0.5574</v>
      </c>
      <c r="AA84" s="99">
        <v>0.4444</v>
      </c>
      <c r="AB84" s="99">
        <v>0.4201</v>
      </c>
      <c r="AC84" s="99">
        <v>0.3576</v>
      </c>
      <c r="AD84" s="99">
        <v>0.1165</v>
      </c>
      <c r="AE84" s="99">
        <v>0.1757</v>
      </c>
      <c r="AF84" s="99">
        <v>0.3336</v>
      </c>
      <c r="AG84" s="99">
        <v>0.7081</v>
      </c>
      <c r="AH84" s="99">
        <v>0.8961</v>
      </c>
      <c r="AI84" s="99">
        <v>0.7911</v>
      </c>
      <c r="AJ84" s="99">
        <v>0.6439</v>
      </c>
      <c r="AK84" s="99">
        <v>0.8194</v>
      </c>
      <c r="AL84" s="99">
        <v>0.6809</v>
      </c>
      <c r="AM84" s="99">
        <v>0.7437</v>
      </c>
      <c r="AN84" s="99">
        <v>0.8062</v>
      </c>
      <c r="AO84" s="58"/>
      <c r="AP84" s="58"/>
      <c r="AQ84" s="58"/>
    </row>
    <row r="85">
      <c r="A85" s="13"/>
      <c r="B85" s="13"/>
      <c r="C85" s="98">
        <v>2.0</v>
      </c>
      <c r="D85" s="99">
        <v>1.0</v>
      </c>
      <c r="E85" s="99">
        <v>1.0</v>
      </c>
      <c r="F85" s="99">
        <v>1.0</v>
      </c>
      <c r="G85" s="99">
        <v>0.5122</v>
      </c>
      <c r="H85" s="99">
        <v>0.9256</v>
      </c>
      <c r="I85" s="99">
        <v>0.9916</v>
      </c>
      <c r="J85" s="99">
        <v>0.8547</v>
      </c>
      <c r="K85" s="100">
        <v>1.0</v>
      </c>
      <c r="L85" s="99">
        <v>0.324140000000001</v>
      </c>
      <c r="M85" s="99">
        <v>0.8333</v>
      </c>
      <c r="N85" s="57">
        <f t="shared" si="2"/>
        <v>0.7344380317</v>
      </c>
      <c r="O85" s="57">
        <f t="shared" si="1"/>
        <v>77.24913899</v>
      </c>
      <c r="P85" s="99">
        <v>8142.315576</v>
      </c>
      <c r="Q85" s="99">
        <v>4.397015</v>
      </c>
      <c r="R85" s="99">
        <v>0.7717</v>
      </c>
      <c r="S85" s="99">
        <v>0.6803</v>
      </c>
      <c r="T85" s="99">
        <v>0.7115</v>
      </c>
      <c r="U85" s="99">
        <v>0.75</v>
      </c>
      <c r="V85" s="99">
        <v>0.6803</v>
      </c>
      <c r="W85" s="99">
        <v>0.7717</v>
      </c>
      <c r="X85" s="99">
        <v>0.6868</v>
      </c>
      <c r="Y85" s="99">
        <v>0.755</v>
      </c>
      <c r="Z85" s="99">
        <v>0.7094</v>
      </c>
      <c r="AA85" s="99">
        <v>0.5814</v>
      </c>
      <c r="AB85" s="99">
        <v>0.5751</v>
      </c>
      <c r="AC85" s="99">
        <v>0.4795</v>
      </c>
      <c r="AD85" s="99">
        <v>0.2841</v>
      </c>
      <c r="AE85" s="99">
        <v>0.3568</v>
      </c>
      <c r="AF85" s="99">
        <v>0.5153</v>
      </c>
      <c r="AG85" s="99">
        <v>0.7806</v>
      </c>
      <c r="AH85" s="99">
        <v>0.8705</v>
      </c>
      <c r="AI85" s="99">
        <v>0.8231</v>
      </c>
      <c r="AJ85" s="99">
        <v>0.7505</v>
      </c>
      <c r="AK85" s="99">
        <v>0.8745</v>
      </c>
      <c r="AL85" s="99">
        <v>0.8864</v>
      </c>
      <c r="AM85" s="99">
        <v>0.8804</v>
      </c>
      <c r="AN85" s="99">
        <v>0.923</v>
      </c>
      <c r="AO85" s="58"/>
      <c r="AP85" s="58"/>
      <c r="AQ85" s="58"/>
    </row>
    <row r="86">
      <c r="A86" s="13"/>
      <c r="B86" s="13"/>
      <c r="C86" s="98">
        <v>3.0</v>
      </c>
      <c r="D86" s="99">
        <v>1.0</v>
      </c>
      <c r="E86" s="99">
        <v>1.0</v>
      </c>
      <c r="F86" s="99">
        <v>1.0</v>
      </c>
      <c r="G86" s="99">
        <v>0.5608</v>
      </c>
      <c r="H86" s="99">
        <v>0.9624</v>
      </c>
      <c r="I86" s="99">
        <v>0.9916</v>
      </c>
      <c r="J86" s="99">
        <v>0.8773</v>
      </c>
      <c r="K86" s="100">
        <v>1.0</v>
      </c>
      <c r="L86" s="99">
        <v>0.324140000000001</v>
      </c>
      <c r="M86" s="99">
        <v>0.8597</v>
      </c>
      <c r="N86" s="57">
        <f t="shared" si="2"/>
        <v>0.7719489472</v>
      </c>
      <c r="O86" s="57">
        <f t="shared" si="1"/>
        <v>80.59199716</v>
      </c>
      <c r="P86" s="99">
        <v>8142.315576</v>
      </c>
      <c r="Q86" s="99">
        <v>4.542293</v>
      </c>
      <c r="R86" s="99">
        <v>0.7907</v>
      </c>
      <c r="S86" s="99">
        <v>0.7314</v>
      </c>
      <c r="T86" s="99">
        <v>0.7504</v>
      </c>
      <c r="U86" s="99">
        <v>0.7803</v>
      </c>
      <c r="V86" s="99">
        <v>0.7314</v>
      </c>
      <c r="W86" s="99">
        <v>0.7907</v>
      </c>
      <c r="X86" s="99">
        <v>0.7384</v>
      </c>
      <c r="Y86" s="99">
        <v>0.7838</v>
      </c>
      <c r="Z86" s="99">
        <v>0.7705</v>
      </c>
      <c r="AA86" s="99">
        <v>0.6227</v>
      </c>
      <c r="AB86" s="99">
        <v>0.6208</v>
      </c>
      <c r="AC86" s="99">
        <v>0.5407</v>
      </c>
      <c r="AD86" s="99">
        <v>0.4264</v>
      </c>
      <c r="AE86" s="99">
        <v>0.4768</v>
      </c>
      <c r="AF86" s="99">
        <v>0.6262</v>
      </c>
      <c r="AG86" s="99">
        <v>0.8058</v>
      </c>
      <c r="AH86" s="99">
        <v>0.8555</v>
      </c>
      <c r="AI86" s="99">
        <v>0.8299</v>
      </c>
      <c r="AJ86" s="99">
        <v>0.7759</v>
      </c>
      <c r="AK86" s="99">
        <v>0.9047</v>
      </c>
      <c r="AL86" s="99">
        <v>0.9124</v>
      </c>
      <c r="AM86" s="99">
        <v>0.9085</v>
      </c>
      <c r="AN86" s="99">
        <v>0.9415</v>
      </c>
      <c r="AO86" s="58"/>
      <c r="AP86" s="58"/>
      <c r="AQ86" s="58"/>
    </row>
    <row r="87">
      <c r="A87" s="13"/>
      <c r="B87" s="16"/>
      <c r="C87" s="98">
        <v>4.0</v>
      </c>
      <c r="D87" s="99">
        <v>1.0</v>
      </c>
      <c r="E87" s="99">
        <v>1.0</v>
      </c>
      <c r="F87" s="99">
        <v>1.0</v>
      </c>
      <c r="G87" s="99">
        <v>0.5828</v>
      </c>
      <c r="H87" s="99">
        <v>0.9797</v>
      </c>
      <c r="I87" s="99">
        <v>0.9916</v>
      </c>
      <c r="J87" s="99">
        <v>0.8826</v>
      </c>
      <c r="K87" s="100">
        <v>1.0</v>
      </c>
      <c r="L87" s="99">
        <v>0.324140000000001</v>
      </c>
      <c r="M87" s="99">
        <v>0.8704</v>
      </c>
      <c r="N87" s="57">
        <f t="shared" si="2"/>
        <v>0.7856195798</v>
      </c>
      <c r="O87" s="57">
        <f t="shared" si="1"/>
        <v>81.84929296</v>
      </c>
      <c r="P87" s="99">
        <v>8142.315576</v>
      </c>
      <c r="Q87" s="99">
        <v>4.627795</v>
      </c>
      <c r="R87" s="99">
        <v>0.7977</v>
      </c>
      <c r="S87" s="99">
        <v>0.7511</v>
      </c>
      <c r="T87" s="99">
        <v>0.7627</v>
      </c>
      <c r="U87" s="99">
        <v>0.792</v>
      </c>
      <c r="V87" s="99">
        <v>0.7511</v>
      </c>
      <c r="W87" s="99">
        <v>0.7977</v>
      </c>
      <c r="X87" s="99">
        <v>0.7562</v>
      </c>
      <c r="Y87" s="99">
        <v>0.7944</v>
      </c>
      <c r="Z87" s="99">
        <v>0.7902</v>
      </c>
      <c r="AA87" s="99">
        <v>0.6382</v>
      </c>
      <c r="AB87" s="99">
        <v>0.6376</v>
      </c>
      <c r="AC87" s="99">
        <v>0.5401</v>
      </c>
      <c r="AD87" s="99">
        <v>0.479</v>
      </c>
      <c r="AE87" s="99">
        <v>0.5077</v>
      </c>
      <c r="AF87" s="99">
        <v>0.6596</v>
      </c>
      <c r="AG87" s="99">
        <v>0.8172</v>
      </c>
      <c r="AH87" s="99">
        <v>0.8473</v>
      </c>
      <c r="AI87" s="99">
        <v>0.832</v>
      </c>
      <c r="AJ87" s="99">
        <v>0.7851</v>
      </c>
      <c r="AK87" s="99">
        <v>0.9309</v>
      </c>
      <c r="AL87" s="99">
        <v>0.9268</v>
      </c>
      <c r="AM87" s="99">
        <v>0.9289</v>
      </c>
      <c r="AN87" s="99">
        <v>0.953</v>
      </c>
      <c r="AO87" s="58"/>
      <c r="AP87" s="58"/>
      <c r="AQ87" s="58"/>
    </row>
    <row r="88">
      <c r="A88" s="13"/>
      <c r="B88" s="97" t="s">
        <v>25</v>
      </c>
      <c r="C88" s="98">
        <v>1.0</v>
      </c>
      <c r="D88" s="99">
        <v>1.0</v>
      </c>
      <c r="E88" s="99">
        <v>1.0</v>
      </c>
      <c r="F88" s="99">
        <v>1.0</v>
      </c>
      <c r="G88" s="99">
        <v>0.7443</v>
      </c>
      <c r="H88" s="99">
        <v>0.936</v>
      </c>
      <c r="I88" s="99">
        <v>0.8719</v>
      </c>
      <c r="J88" s="99">
        <v>0.9314</v>
      </c>
      <c r="K88" s="100">
        <v>1.0</v>
      </c>
      <c r="L88" s="99">
        <v>0.324140000000001</v>
      </c>
      <c r="M88" s="99">
        <v>0.8923</v>
      </c>
      <c r="N88" s="57">
        <f t="shared" si="2"/>
        <v>0.7209345677</v>
      </c>
      <c r="O88" s="57">
        <f t="shared" si="1"/>
        <v>78.51305331</v>
      </c>
      <c r="P88" s="99">
        <v>9988.302202</v>
      </c>
      <c r="Q88" s="99">
        <v>4.240865</v>
      </c>
      <c r="R88" s="99">
        <v>0.7158</v>
      </c>
      <c r="S88" s="99">
        <v>0.692</v>
      </c>
      <c r="T88" s="99">
        <v>0.6564</v>
      </c>
      <c r="U88" s="99">
        <v>0.7451</v>
      </c>
      <c r="V88" s="99">
        <v>0.692</v>
      </c>
      <c r="W88" s="99">
        <v>0.7158</v>
      </c>
      <c r="X88" s="99">
        <v>0.6684</v>
      </c>
      <c r="Y88" s="99">
        <v>0.7249</v>
      </c>
      <c r="Z88" s="99">
        <v>0.7662</v>
      </c>
      <c r="AA88" s="99">
        <v>0.5314</v>
      </c>
      <c r="AB88" s="99">
        <v>0.5255</v>
      </c>
      <c r="AC88" s="99">
        <v>0.4488</v>
      </c>
      <c r="AD88" s="99">
        <v>0.5744</v>
      </c>
      <c r="AE88" s="99">
        <v>0.5039</v>
      </c>
      <c r="AF88" s="99">
        <v>0.6989</v>
      </c>
      <c r="AG88" s="99">
        <v>0.8695</v>
      </c>
      <c r="AH88" s="99">
        <v>0.7392</v>
      </c>
      <c r="AI88" s="99">
        <v>0.7991</v>
      </c>
      <c r="AJ88" s="99">
        <v>0.7874</v>
      </c>
      <c r="AK88" s="99">
        <v>0.651</v>
      </c>
      <c r="AL88" s="99">
        <v>0.7625</v>
      </c>
      <c r="AM88" s="99">
        <v>0.7023</v>
      </c>
      <c r="AN88" s="99">
        <v>0.8174</v>
      </c>
      <c r="AO88" s="58"/>
      <c r="AP88" s="58"/>
      <c r="AQ88" s="58"/>
    </row>
    <row r="89">
      <c r="A89" s="13"/>
      <c r="B89" s="13"/>
      <c r="C89" s="98">
        <v>2.0</v>
      </c>
      <c r="D89" s="99">
        <v>1.0</v>
      </c>
      <c r="E89" s="99">
        <v>1.0</v>
      </c>
      <c r="F89" s="99">
        <v>1.0</v>
      </c>
      <c r="G89" s="99">
        <v>0.7068</v>
      </c>
      <c r="H89" s="99">
        <v>0.9509</v>
      </c>
      <c r="I89" s="99">
        <v>0.6884</v>
      </c>
      <c r="J89" s="99">
        <v>0.9438</v>
      </c>
      <c r="K89" s="100">
        <v>1.0</v>
      </c>
      <c r="L89" s="99">
        <v>0.324140000000001</v>
      </c>
      <c r="M89" s="99">
        <v>0.8473</v>
      </c>
      <c r="N89" s="57">
        <f t="shared" si="2"/>
        <v>0.8262181167</v>
      </c>
      <c r="O89" s="57">
        <f t="shared" si="1"/>
        <v>83.45871828</v>
      </c>
      <c r="P89" s="99">
        <v>9988.302202</v>
      </c>
      <c r="Q89" s="99">
        <v>4.548697</v>
      </c>
      <c r="R89" s="99">
        <v>0.8248</v>
      </c>
      <c r="S89" s="99">
        <v>0.8123</v>
      </c>
      <c r="T89" s="99">
        <v>0.7764</v>
      </c>
      <c r="U89" s="99">
        <v>0.8346</v>
      </c>
      <c r="V89" s="99">
        <v>0.8123</v>
      </c>
      <c r="W89" s="99">
        <v>0.8248</v>
      </c>
      <c r="X89" s="99">
        <v>0.7901</v>
      </c>
      <c r="Y89" s="99">
        <v>0.8257</v>
      </c>
      <c r="Z89" s="99">
        <v>0.8546</v>
      </c>
      <c r="AA89" s="99">
        <v>0.7065</v>
      </c>
      <c r="AB89" s="99">
        <v>0.7019</v>
      </c>
      <c r="AC89" s="99">
        <v>0.6439</v>
      </c>
      <c r="AD89" s="99">
        <v>0.6611</v>
      </c>
      <c r="AE89" s="99">
        <v>0.6524</v>
      </c>
      <c r="AF89" s="99">
        <v>0.781</v>
      </c>
      <c r="AG89" s="99">
        <v>0.9177</v>
      </c>
      <c r="AH89" s="99">
        <v>0.8218</v>
      </c>
      <c r="AI89" s="99">
        <v>0.8671</v>
      </c>
      <c r="AJ89" s="99">
        <v>0.857</v>
      </c>
      <c r="AK89" s="99">
        <v>0.7676</v>
      </c>
      <c r="AL89" s="99">
        <v>0.9541</v>
      </c>
      <c r="AM89" s="99">
        <v>0.8508</v>
      </c>
      <c r="AN89" s="99">
        <v>0.9325</v>
      </c>
      <c r="AO89" s="58"/>
      <c r="AP89" s="58"/>
      <c r="AQ89" s="58"/>
    </row>
    <row r="90">
      <c r="A90" s="13"/>
      <c r="B90" s="13"/>
      <c r="C90" s="98">
        <v>3.0</v>
      </c>
      <c r="D90" s="99">
        <v>1.0</v>
      </c>
      <c r="E90" s="99">
        <v>1.0</v>
      </c>
      <c r="F90" s="99">
        <v>1.0</v>
      </c>
      <c r="G90" s="99">
        <v>0.6673</v>
      </c>
      <c r="H90" s="99">
        <v>0.9724</v>
      </c>
      <c r="I90" s="99">
        <v>0.6677</v>
      </c>
      <c r="J90" s="99">
        <v>0.9193</v>
      </c>
      <c r="K90" s="100">
        <v>1.0</v>
      </c>
      <c r="L90" s="99">
        <v>0.324140000000001</v>
      </c>
      <c r="M90" s="99">
        <v>0.8319</v>
      </c>
      <c r="N90" s="57">
        <f t="shared" si="2"/>
        <v>0.8682752514</v>
      </c>
      <c r="O90" s="57">
        <f t="shared" si="1"/>
        <v>85.35380831</v>
      </c>
      <c r="P90" s="99">
        <v>9988.302202</v>
      </c>
      <c r="Q90" s="99">
        <v>4.675587</v>
      </c>
      <c r="R90" s="99">
        <v>0.8664</v>
      </c>
      <c r="S90" s="99">
        <v>0.8589</v>
      </c>
      <c r="T90" s="99">
        <v>0.8335</v>
      </c>
      <c r="U90" s="99">
        <v>0.869</v>
      </c>
      <c r="V90" s="99">
        <v>0.8589</v>
      </c>
      <c r="W90" s="99">
        <v>0.8664</v>
      </c>
      <c r="X90" s="99">
        <v>0.8447</v>
      </c>
      <c r="Y90" s="99">
        <v>0.8664</v>
      </c>
      <c r="Z90" s="99">
        <v>0.8891</v>
      </c>
      <c r="AA90" s="99">
        <v>0.771</v>
      </c>
      <c r="AB90" s="99">
        <v>0.7694</v>
      </c>
      <c r="AC90" s="99">
        <v>0.7276</v>
      </c>
      <c r="AD90" s="99">
        <v>0.7423</v>
      </c>
      <c r="AE90" s="99">
        <v>0.7349</v>
      </c>
      <c r="AF90" s="99">
        <v>0.8346</v>
      </c>
      <c r="AG90" s="99">
        <v>0.9181</v>
      </c>
      <c r="AH90" s="99">
        <v>0.8643</v>
      </c>
      <c r="AI90" s="99">
        <v>0.8904</v>
      </c>
      <c r="AJ90" s="99">
        <v>0.8767</v>
      </c>
      <c r="AK90" s="99">
        <v>0.8547</v>
      </c>
      <c r="AL90" s="99">
        <v>0.9701</v>
      </c>
      <c r="AM90" s="99">
        <v>0.9087</v>
      </c>
      <c r="AN90" s="99">
        <v>0.9605</v>
      </c>
      <c r="AO90" s="58"/>
      <c r="AP90" s="58"/>
      <c r="AQ90" s="58"/>
    </row>
    <row r="91">
      <c r="A91" s="13"/>
      <c r="B91" s="16"/>
      <c r="C91" s="98">
        <v>4.0</v>
      </c>
      <c r="D91" s="99">
        <v>1.0</v>
      </c>
      <c r="E91" s="99">
        <v>1.0</v>
      </c>
      <c r="F91" s="99">
        <v>1.0</v>
      </c>
      <c r="G91" s="99">
        <v>0.6401</v>
      </c>
      <c r="H91" s="99">
        <v>0.9858</v>
      </c>
      <c r="I91" s="99">
        <v>0.6758</v>
      </c>
      <c r="J91" s="99">
        <v>0.9048</v>
      </c>
      <c r="K91" s="100">
        <v>1.0</v>
      </c>
      <c r="L91" s="99">
        <v>0.324140000000001</v>
      </c>
      <c r="M91" s="99">
        <v>0.8266</v>
      </c>
      <c r="N91" s="57">
        <f t="shared" si="2"/>
        <v>0.8879136108</v>
      </c>
      <c r="O91" s="57">
        <f t="shared" si="1"/>
        <v>86.28605001</v>
      </c>
      <c r="P91" s="99">
        <v>9988.302202</v>
      </c>
      <c r="Q91" s="99">
        <v>4.744274</v>
      </c>
      <c r="R91" s="99">
        <v>0.8874</v>
      </c>
      <c r="S91" s="99">
        <v>0.8778</v>
      </c>
      <c r="T91" s="99">
        <v>0.8643</v>
      </c>
      <c r="U91" s="99">
        <v>0.8874</v>
      </c>
      <c r="V91" s="99">
        <v>0.8778</v>
      </c>
      <c r="W91" s="99">
        <v>0.8874</v>
      </c>
      <c r="X91" s="99">
        <v>0.8706</v>
      </c>
      <c r="Y91" s="99">
        <v>0.887</v>
      </c>
      <c r="Z91" s="99">
        <v>0.9028</v>
      </c>
      <c r="AA91" s="99">
        <v>0.8039</v>
      </c>
      <c r="AB91" s="99">
        <v>0.8035</v>
      </c>
      <c r="AC91" s="99">
        <v>0.7638</v>
      </c>
      <c r="AD91" s="99">
        <v>0.7636</v>
      </c>
      <c r="AE91" s="99">
        <v>0.7637</v>
      </c>
      <c r="AF91" s="99">
        <v>0.8503</v>
      </c>
      <c r="AG91" s="99">
        <v>0.9162</v>
      </c>
      <c r="AH91" s="99">
        <v>0.8907</v>
      </c>
      <c r="AI91" s="99">
        <v>0.9033</v>
      </c>
      <c r="AJ91" s="99">
        <v>0.8868</v>
      </c>
      <c r="AK91" s="99">
        <v>0.9128</v>
      </c>
      <c r="AL91" s="99">
        <v>0.9792</v>
      </c>
      <c r="AM91" s="99">
        <v>0.9448</v>
      </c>
      <c r="AN91" s="99">
        <v>0.9759</v>
      </c>
      <c r="AO91" s="58"/>
      <c r="AP91" s="58"/>
      <c r="AQ91" s="58"/>
    </row>
    <row r="92">
      <c r="A92" s="13"/>
      <c r="B92" s="97" t="s">
        <v>26</v>
      </c>
      <c r="C92" s="98">
        <v>1.0</v>
      </c>
      <c r="D92" s="99">
        <v>1.0</v>
      </c>
      <c r="E92" s="99">
        <v>1.0</v>
      </c>
      <c r="F92" s="99">
        <v>1.0</v>
      </c>
      <c r="G92" s="99">
        <v>0.4706</v>
      </c>
      <c r="H92" s="99">
        <v>0.9297</v>
      </c>
      <c r="I92" s="99">
        <v>0.4449</v>
      </c>
      <c r="J92" s="99">
        <v>0.8255</v>
      </c>
      <c r="K92" s="100">
        <v>1.0</v>
      </c>
      <c r="L92" s="99">
        <v>0.324140000000001</v>
      </c>
      <c r="M92" s="99">
        <v>0.6937</v>
      </c>
      <c r="N92" s="57">
        <f t="shared" si="2"/>
        <v>0.6867036627</v>
      </c>
      <c r="O92" s="57">
        <f t="shared" si="1"/>
        <v>68.94936901</v>
      </c>
      <c r="P92" s="99">
        <v>6988.619101</v>
      </c>
      <c r="Q92" s="99">
        <v>6.194472</v>
      </c>
      <c r="R92" s="99">
        <v>0.7208</v>
      </c>
      <c r="S92" s="99">
        <v>0.6259</v>
      </c>
      <c r="T92" s="99">
        <v>0.6978</v>
      </c>
      <c r="U92" s="99">
        <v>0.7253</v>
      </c>
      <c r="V92" s="99">
        <v>0.6259</v>
      </c>
      <c r="W92" s="99">
        <v>0.7208</v>
      </c>
      <c r="X92" s="99">
        <v>0.6525</v>
      </c>
      <c r="Y92" s="99">
        <v>0.7152</v>
      </c>
      <c r="Z92" s="99">
        <v>0.6768</v>
      </c>
      <c r="AA92" s="99">
        <v>0.4797</v>
      </c>
      <c r="AB92" s="99">
        <v>0.4719</v>
      </c>
      <c r="AC92" s="99">
        <v>0.4127</v>
      </c>
      <c r="AD92" s="99">
        <v>0.3412</v>
      </c>
      <c r="AE92" s="99">
        <v>0.3735</v>
      </c>
      <c r="AF92" s="99">
        <v>0.5532</v>
      </c>
      <c r="AG92" s="99">
        <v>0.7288</v>
      </c>
      <c r="AH92" s="99">
        <v>0.844</v>
      </c>
      <c r="AI92" s="99">
        <v>0.7821</v>
      </c>
      <c r="AJ92" s="99">
        <v>0.677</v>
      </c>
      <c r="AK92" s="99">
        <v>0.9521</v>
      </c>
      <c r="AL92" s="99">
        <v>0.6926</v>
      </c>
      <c r="AM92" s="99">
        <v>0.8019</v>
      </c>
      <c r="AN92" s="99">
        <v>0.8278</v>
      </c>
      <c r="AO92" s="60"/>
      <c r="AP92" s="60"/>
      <c r="AQ92" s="60"/>
    </row>
    <row r="93">
      <c r="A93" s="13"/>
      <c r="B93" s="13"/>
      <c r="C93" s="98">
        <v>2.0</v>
      </c>
      <c r="D93" s="99">
        <v>1.0</v>
      </c>
      <c r="E93" s="99">
        <v>1.0</v>
      </c>
      <c r="F93" s="99">
        <v>1.0</v>
      </c>
      <c r="G93" s="99">
        <v>0.6347</v>
      </c>
      <c r="H93" s="99">
        <v>0.985</v>
      </c>
      <c r="I93" s="99">
        <v>0.5862</v>
      </c>
      <c r="J93" s="99">
        <v>0.8972</v>
      </c>
      <c r="K93" s="100">
        <v>1.0</v>
      </c>
      <c r="L93" s="99">
        <v>0.324140000000001</v>
      </c>
      <c r="M93" s="99">
        <v>0.8006</v>
      </c>
      <c r="N93" s="57">
        <f t="shared" si="2"/>
        <v>0.7969087423</v>
      </c>
      <c r="O93" s="57">
        <f t="shared" si="1"/>
        <v>79.83831987</v>
      </c>
      <c r="P93" s="99">
        <v>6988.619101</v>
      </c>
      <c r="Q93" s="99">
        <v>5.936947</v>
      </c>
      <c r="R93" s="99">
        <v>0.8007</v>
      </c>
      <c r="S93" s="99">
        <v>0.7708</v>
      </c>
      <c r="T93" s="99">
        <v>0.7648</v>
      </c>
      <c r="U93" s="99">
        <v>0.8063</v>
      </c>
      <c r="V93" s="99">
        <v>0.7708</v>
      </c>
      <c r="W93" s="99">
        <v>0.8007</v>
      </c>
      <c r="X93" s="99">
        <v>0.7674</v>
      </c>
      <c r="Y93" s="99">
        <v>0.8033</v>
      </c>
      <c r="Z93" s="99">
        <v>0.8132</v>
      </c>
      <c r="AA93" s="99">
        <v>0.6516</v>
      </c>
      <c r="AB93" s="99">
        <v>0.6513</v>
      </c>
      <c r="AC93" s="99">
        <v>0.5148</v>
      </c>
      <c r="AD93" s="99">
        <v>0.5628</v>
      </c>
      <c r="AE93" s="99">
        <v>0.5377</v>
      </c>
      <c r="AF93" s="99">
        <v>0.7068</v>
      </c>
      <c r="AG93" s="99">
        <v>0.8393</v>
      </c>
      <c r="AH93" s="99">
        <v>0.8198</v>
      </c>
      <c r="AI93" s="99">
        <v>0.8294</v>
      </c>
      <c r="AJ93" s="99">
        <v>0.7964</v>
      </c>
      <c r="AK93" s="99">
        <v>0.9403</v>
      </c>
      <c r="AL93" s="99">
        <v>0.9299</v>
      </c>
      <c r="AM93" s="99">
        <v>0.9351</v>
      </c>
      <c r="AN93" s="99">
        <v>0.9555</v>
      </c>
      <c r="AO93" s="60"/>
      <c r="AP93" s="60"/>
      <c r="AQ93" s="60"/>
    </row>
    <row r="94">
      <c r="A94" s="13"/>
      <c r="B94" s="13"/>
      <c r="C94" s="98">
        <v>3.0</v>
      </c>
      <c r="D94" s="99">
        <v>1.0</v>
      </c>
      <c r="E94" s="99">
        <v>1.0</v>
      </c>
      <c r="F94" s="99">
        <v>1.0</v>
      </c>
      <c r="G94" s="99">
        <v>0.708</v>
      </c>
      <c r="H94" s="99">
        <v>0.9474</v>
      </c>
      <c r="I94" s="99">
        <v>0.6509</v>
      </c>
      <c r="J94" s="99">
        <v>0.9009</v>
      </c>
      <c r="K94" s="100">
        <v>1.0</v>
      </c>
      <c r="L94" s="99">
        <v>0.324140000000001</v>
      </c>
      <c r="M94" s="99">
        <v>0.8298</v>
      </c>
      <c r="N94" s="57">
        <f t="shared" si="2"/>
        <v>0.8382254188</v>
      </c>
      <c r="O94" s="57">
        <f t="shared" si="1"/>
        <v>83.48450339</v>
      </c>
      <c r="P94" s="99">
        <v>6988.619101</v>
      </c>
      <c r="Q94" s="99">
        <v>5.993452</v>
      </c>
      <c r="R94" s="99">
        <v>0.826</v>
      </c>
      <c r="S94" s="99">
        <v>0.8338</v>
      </c>
      <c r="T94" s="99">
        <v>0.7989</v>
      </c>
      <c r="U94" s="99">
        <v>0.8442</v>
      </c>
      <c r="V94" s="99">
        <v>0.8338</v>
      </c>
      <c r="W94" s="99">
        <v>0.826</v>
      </c>
      <c r="X94" s="99">
        <v>0.8115</v>
      </c>
      <c r="Y94" s="99">
        <v>0.8314</v>
      </c>
      <c r="Z94" s="99">
        <v>0.8659</v>
      </c>
      <c r="AA94" s="99">
        <v>0.7107</v>
      </c>
      <c r="AB94" s="99">
        <v>0.706</v>
      </c>
      <c r="AC94" s="99">
        <v>0.5666</v>
      </c>
      <c r="AD94" s="99">
        <v>0.7424</v>
      </c>
      <c r="AE94" s="99">
        <v>0.6427</v>
      </c>
      <c r="AF94" s="99">
        <v>0.8056</v>
      </c>
      <c r="AG94" s="99">
        <v>0.8937</v>
      </c>
      <c r="AH94" s="99">
        <v>0.8001</v>
      </c>
      <c r="AI94" s="99">
        <v>0.8443</v>
      </c>
      <c r="AJ94" s="99">
        <v>0.8311</v>
      </c>
      <c r="AK94" s="99">
        <v>0.9366</v>
      </c>
      <c r="AL94" s="99">
        <v>0.9588</v>
      </c>
      <c r="AM94" s="99">
        <v>0.9476</v>
      </c>
      <c r="AN94" s="99">
        <v>0.9697</v>
      </c>
      <c r="AO94" s="60"/>
      <c r="AP94" s="60"/>
      <c r="AQ94" s="60"/>
    </row>
    <row r="95">
      <c r="A95" s="13"/>
      <c r="B95" s="16"/>
      <c r="C95" s="98">
        <v>4.0</v>
      </c>
      <c r="D95" s="99">
        <v>1.0</v>
      </c>
      <c r="E95" s="99">
        <v>1.0</v>
      </c>
      <c r="F95" s="99">
        <v>1.0</v>
      </c>
      <c r="G95" s="99">
        <v>0.738</v>
      </c>
      <c r="H95" s="99">
        <v>0.9325</v>
      </c>
      <c r="I95" s="99">
        <v>0.6698</v>
      </c>
      <c r="J95" s="99">
        <v>0.8986</v>
      </c>
      <c r="K95" s="100">
        <v>1.0</v>
      </c>
      <c r="L95" s="99">
        <v>0.324140000000001</v>
      </c>
      <c r="M95" s="99">
        <v>0.8384</v>
      </c>
      <c r="N95" s="57">
        <f t="shared" si="2"/>
        <v>0.855588405</v>
      </c>
      <c r="O95" s="57">
        <f t="shared" si="1"/>
        <v>84.86711562</v>
      </c>
      <c r="P95" s="99">
        <v>6988.619101</v>
      </c>
      <c r="Q95" s="99">
        <v>5.865146</v>
      </c>
      <c r="R95" s="99">
        <v>0.838</v>
      </c>
      <c r="S95" s="99">
        <v>0.8601</v>
      </c>
      <c r="T95" s="99">
        <v>0.8134</v>
      </c>
      <c r="U95" s="99">
        <v>0.8624</v>
      </c>
      <c r="V95" s="99">
        <v>0.8601</v>
      </c>
      <c r="W95" s="99">
        <v>0.838</v>
      </c>
      <c r="X95" s="99">
        <v>0.8288</v>
      </c>
      <c r="Y95" s="99">
        <v>0.8439</v>
      </c>
      <c r="Z95" s="99">
        <v>0.8857</v>
      </c>
      <c r="AA95" s="99">
        <v>0.7381</v>
      </c>
      <c r="AB95" s="99">
        <v>0.73</v>
      </c>
      <c r="AC95" s="99">
        <v>0.5818</v>
      </c>
      <c r="AD95" s="99">
        <v>0.8106</v>
      </c>
      <c r="AE95" s="99">
        <v>0.6774</v>
      </c>
      <c r="AF95" s="99">
        <v>0.8392</v>
      </c>
      <c r="AG95" s="99">
        <v>0.921</v>
      </c>
      <c r="AH95" s="99">
        <v>0.7934</v>
      </c>
      <c r="AI95" s="99">
        <v>0.8525</v>
      </c>
      <c r="AJ95" s="99">
        <v>0.8461</v>
      </c>
      <c r="AK95" s="99">
        <v>0.9373</v>
      </c>
      <c r="AL95" s="99">
        <v>0.9764</v>
      </c>
      <c r="AM95" s="99">
        <v>0.9564</v>
      </c>
      <c r="AN95" s="99">
        <v>0.9786</v>
      </c>
      <c r="AO95" s="60"/>
      <c r="AP95" s="60"/>
      <c r="AQ95" s="60"/>
    </row>
    <row r="96">
      <c r="A96" s="13"/>
      <c r="B96" s="97" t="s">
        <v>27</v>
      </c>
      <c r="C96" s="98">
        <v>1.0</v>
      </c>
      <c r="D96" s="99">
        <v>1.0</v>
      </c>
      <c r="E96" s="99">
        <v>1.0</v>
      </c>
      <c r="F96" s="99">
        <v>1.0</v>
      </c>
      <c r="G96" s="99">
        <v>0.395</v>
      </c>
      <c r="H96" s="99">
        <v>0.877</v>
      </c>
      <c r="I96" s="99">
        <v>0.7686</v>
      </c>
      <c r="J96" s="99">
        <v>0.7953</v>
      </c>
      <c r="K96" s="100">
        <v>1.0</v>
      </c>
      <c r="L96" s="99">
        <v>0.324140000000001</v>
      </c>
      <c r="M96" s="99">
        <v>0.7331</v>
      </c>
      <c r="N96" s="57">
        <f t="shared" si="2"/>
        <v>0.627292275</v>
      </c>
      <c r="O96" s="57">
        <f t="shared" si="1"/>
        <v>66.76475373</v>
      </c>
      <c r="P96" s="99">
        <v>10714.629319</v>
      </c>
      <c r="Q96" s="99">
        <v>4.472311</v>
      </c>
      <c r="R96" s="99">
        <v>0.6902</v>
      </c>
      <c r="S96" s="99">
        <v>0.5561</v>
      </c>
      <c r="T96" s="99">
        <v>0.6271</v>
      </c>
      <c r="U96" s="99">
        <v>0.6652</v>
      </c>
      <c r="V96" s="99">
        <v>0.5561</v>
      </c>
      <c r="W96" s="99">
        <v>0.6902</v>
      </c>
      <c r="X96" s="99">
        <v>0.5705</v>
      </c>
      <c r="Y96" s="99">
        <v>0.6623</v>
      </c>
      <c r="Z96" s="99">
        <v>0.5831</v>
      </c>
      <c r="AA96" s="99">
        <v>0.406</v>
      </c>
      <c r="AB96" s="99">
        <v>0.3885</v>
      </c>
      <c r="AC96" s="99">
        <v>0.4133</v>
      </c>
      <c r="AD96" s="99">
        <v>0.1798</v>
      </c>
      <c r="AE96" s="99">
        <v>0.2505</v>
      </c>
      <c r="AF96" s="99">
        <v>0.4124</v>
      </c>
      <c r="AG96" s="99">
        <v>0.6987</v>
      </c>
      <c r="AH96" s="99">
        <v>0.8685</v>
      </c>
      <c r="AI96" s="99">
        <v>0.7744</v>
      </c>
      <c r="AJ96" s="99">
        <v>0.6287</v>
      </c>
      <c r="AK96" s="99">
        <v>0.7695</v>
      </c>
      <c r="AL96" s="99">
        <v>0.6199</v>
      </c>
      <c r="AM96" s="99">
        <v>0.6866</v>
      </c>
      <c r="AN96" s="99">
        <v>0.7649</v>
      </c>
      <c r="AO96" s="58"/>
      <c r="AP96" s="58"/>
      <c r="AQ96" s="58"/>
    </row>
    <row r="97">
      <c r="A97" s="13"/>
      <c r="B97" s="13"/>
      <c r="C97" s="98">
        <v>2.0</v>
      </c>
      <c r="D97" s="99">
        <v>1.0</v>
      </c>
      <c r="E97" s="99">
        <v>1.0</v>
      </c>
      <c r="F97" s="99">
        <v>1.0</v>
      </c>
      <c r="G97" s="99">
        <v>0.4737</v>
      </c>
      <c r="H97" s="99">
        <v>0.8786</v>
      </c>
      <c r="I97" s="99">
        <v>0.8431</v>
      </c>
      <c r="J97" s="99">
        <v>0.8242</v>
      </c>
      <c r="K97" s="100">
        <v>1.0</v>
      </c>
      <c r="L97" s="99">
        <v>0.324140000000001</v>
      </c>
      <c r="M97" s="99">
        <v>0.7803</v>
      </c>
      <c r="N97" s="57">
        <f t="shared" si="2"/>
        <v>0.7091240544</v>
      </c>
      <c r="O97" s="57">
        <f t="shared" si="1"/>
        <v>73.67802458</v>
      </c>
      <c r="P97" s="99">
        <v>10714.629319</v>
      </c>
      <c r="Q97" s="99">
        <v>4.681336</v>
      </c>
      <c r="R97" s="99">
        <v>0.7553</v>
      </c>
      <c r="S97" s="99">
        <v>0.65</v>
      </c>
      <c r="T97" s="99">
        <v>0.7227</v>
      </c>
      <c r="U97" s="99">
        <v>0.7404</v>
      </c>
      <c r="V97" s="99">
        <v>0.65</v>
      </c>
      <c r="W97" s="99">
        <v>0.7553</v>
      </c>
      <c r="X97" s="99">
        <v>0.655</v>
      </c>
      <c r="Y97" s="99">
        <v>0.7296</v>
      </c>
      <c r="Z97" s="99">
        <v>0.672</v>
      </c>
      <c r="AA97" s="99">
        <v>0.5481</v>
      </c>
      <c r="AB97" s="99">
        <v>0.5346</v>
      </c>
      <c r="AC97" s="99">
        <v>0.6244</v>
      </c>
      <c r="AD97" s="99">
        <v>0.234</v>
      </c>
      <c r="AE97" s="99">
        <v>0.3404</v>
      </c>
      <c r="AF97" s="99">
        <v>0.4764</v>
      </c>
      <c r="AG97" s="99">
        <v>0.7559</v>
      </c>
      <c r="AH97" s="99">
        <v>0.8758</v>
      </c>
      <c r="AI97" s="99">
        <v>0.8115</v>
      </c>
      <c r="AJ97" s="99">
        <v>0.7202</v>
      </c>
      <c r="AK97" s="99">
        <v>0.7879</v>
      </c>
      <c r="AL97" s="99">
        <v>0.8403</v>
      </c>
      <c r="AM97" s="105"/>
      <c r="AN97" s="105"/>
      <c r="AO97" s="58"/>
      <c r="AP97" s="58"/>
      <c r="AQ97" s="58"/>
    </row>
    <row r="98">
      <c r="A98" s="13"/>
      <c r="B98" s="13"/>
      <c r="C98" s="98">
        <v>3.0</v>
      </c>
      <c r="D98" s="99">
        <v>1.0</v>
      </c>
      <c r="E98" s="99">
        <v>1.0</v>
      </c>
      <c r="F98" s="99">
        <v>1.0</v>
      </c>
      <c r="G98" s="99">
        <v>0.4835</v>
      </c>
      <c r="H98" s="99">
        <v>0.8851</v>
      </c>
      <c r="I98" s="99">
        <v>0.8629</v>
      </c>
      <c r="J98" s="99">
        <v>0.833</v>
      </c>
      <c r="K98" s="100">
        <v>1.0</v>
      </c>
      <c r="L98" s="99">
        <v>0.324140000000001</v>
      </c>
      <c r="M98" s="99">
        <v>0.7899</v>
      </c>
      <c r="N98" s="57">
        <f t="shared" si="2"/>
        <v>0.7374880294</v>
      </c>
      <c r="O98" s="57">
        <f t="shared" si="1"/>
        <v>75.80220357</v>
      </c>
      <c r="P98" s="99">
        <v>10714.629319</v>
      </c>
      <c r="Q98" s="99">
        <v>4.935093</v>
      </c>
      <c r="R98" s="99">
        <v>0.7742</v>
      </c>
      <c r="S98" s="99">
        <v>0.6834</v>
      </c>
      <c r="T98" s="99">
        <v>0.766</v>
      </c>
      <c r="U98" s="99">
        <v>0.7691</v>
      </c>
      <c r="V98" s="99">
        <v>0.6834</v>
      </c>
      <c r="W98" s="99">
        <v>0.7742</v>
      </c>
      <c r="X98" s="99">
        <v>0.6931</v>
      </c>
      <c r="Y98" s="99">
        <v>0.7528</v>
      </c>
      <c r="Z98" s="99">
        <v>0.7115</v>
      </c>
      <c r="AA98" s="99">
        <v>0.5871</v>
      </c>
      <c r="AB98" s="99">
        <v>0.574</v>
      </c>
      <c r="AC98" s="99">
        <v>0.728</v>
      </c>
      <c r="AD98" s="99">
        <v>0.2994</v>
      </c>
      <c r="AE98" s="99">
        <v>0.4243</v>
      </c>
      <c r="AF98" s="99">
        <v>0.5404</v>
      </c>
      <c r="AG98" s="99">
        <v>0.7696</v>
      </c>
      <c r="AH98" s="99">
        <v>0.8844</v>
      </c>
      <c r="AI98" s="99">
        <v>0.823</v>
      </c>
      <c r="AJ98" s="99">
        <v>0.7402</v>
      </c>
      <c r="AK98" s="99">
        <v>0.8005</v>
      </c>
      <c r="AL98" s="99">
        <v>0.8663</v>
      </c>
      <c r="AM98" s="99">
        <v>0.8321</v>
      </c>
      <c r="AN98" s="99">
        <v>0.9004</v>
      </c>
      <c r="AO98" s="58"/>
      <c r="AP98" s="58"/>
      <c r="AQ98" s="58"/>
    </row>
    <row r="99">
      <c r="A99" s="16"/>
      <c r="B99" s="16"/>
      <c r="C99" s="98">
        <v>4.0</v>
      </c>
      <c r="D99" s="99">
        <v>1.0</v>
      </c>
      <c r="E99" s="99">
        <v>1.0</v>
      </c>
      <c r="F99" s="99">
        <v>1.0</v>
      </c>
      <c r="G99" s="99">
        <v>0.4823</v>
      </c>
      <c r="H99" s="99">
        <v>0.8836</v>
      </c>
      <c r="I99" s="99">
        <v>0.8716</v>
      </c>
      <c r="J99" s="99">
        <v>0.8328</v>
      </c>
      <c r="K99" s="100">
        <v>1.0</v>
      </c>
      <c r="L99" s="99">
        <v>0.324140000000001</v>
      </c>
      <c r="M99" s="99">
        <v>0.7908</v>
      </c>
      <c r="N99" s="57">
        <f t="shared" si="2"/>
        <v>0.7490351079</v>
      </c>
      <c r="O99" s="57">
        <f t="shared" si="1"/>
        <v>76.54696368</v>
      </c>
      <c r="P99" s="99">
        <v>10714.629319</v>
      </c>
      <c r="Q99" s="99">
        <v>5.063137</v>
      </c>
      <c r="R99" s="99">
        <v>0.7836</v>
      </c>
      <c r="S99" s="99">
        <v>0.6963</v>
      </c>
      <c r="T99" s="99">
        <v>0.7863</v>
      </c>
      <c r="U99" s="99">
        <v>0.7828</v>
      </c>
      <c r="V99" s="99">
        <v>0.6963</v>
      </c>
      <c r="W99" s="99">
        <v>0.7836</v>
      </c>
      <c r="X99" s="99">
        <v>0.7074</v>
      </c>
      <c r="Y99" s="99">
        <v>0.7628</v>
      </c>
      <c r="Z99" s="99">
        <v>0.7235</v>
      </c>
      <c r="AA99" s="99">
        <v>0.6058</v>
      </c>
      <c r="AB99" s="99">
        <v>0.5919</v>
      </c>
      <c r="AC99" s="99">
        <v>0.774</v>
      </c>
      <c r="AD99" s="99">
        <v>0.3159</v>
      </c>
      <c r="AE99" s="99">
        <v>0.4486</v>
      </c>
      <c r="AF99" s="99">
        <v>0.5562</v>
      </c>
      <c r="AG99" s="99">
        <v>0.7752</v>
      </c>
      <c r="AH99" s="99">
        <v>0.8918</v>
      </c>
      <c r="AI99" s="99">
        <v>0.8294</v>
      </c>
      <c r="AJ99" s="99">
        <v>0.7485</v>
      </c>
      <c r="AK99" s="99">
        <v>0.8098</v>
      </c>
      <c r="AL99" s="99">
        <v>0.8813</v>
      </c>
      <c r="AM99" s="99">
        <v>0.844</v>
      </c>
      <c r="AN99" s="99">
        <v>0.9099</v>
      </c>
      <c r="AO99" s="58"/>
      <c r="AP99" s="58"/>
      <c r="AQ99" s="58"/>
    </row>
    <row r="100">
      <c r="A100" s="85" t="s">
        <v>101</v>
      </c>
      <c r="B100" s="91" t="s">
        <v>111</v>
      </c>
      <c r="C100" s="87">
        <v>1.0</v>
      </c>
      <c r="D100" s="104">
        <v>1.0</v>
      </c>
      <c r="E100" s="104">
        <v>1.0</v>
      </c>
      <c r="F100" s="104">
        <v>1.0</v>
      </c>
      <c r="G100" s="104">
        <v>0.863</v>
      </c>
      <c r="H100" s="104">
        <v>0.8164</v>
      </c>
      <c r="I100" s="104">
        <v>0.0</v>
      </c>
      <c r="J100" s="104">
        <v>0.7985</v>
      </c>
      <c r="K100" s="92">
        <v>1.0</v>
      </c>
      <c r="L100" s="104">
        <v>0.324140000000001</v>
      </c>
      <c r="M100" s="104">
        <v>0.0729</v>
      </c>
      <c r="N100" s="48">
        <f t="shared" si="2"/>
        <v>0.8057911963</v>
      </c>
      <c r="O100" s="48">
        <f t="shared" si="1"/>
        <v>30.81942432</v>
      </c>
      <c r="P100" s="104">
        <v>53.145883</v>
      </c>
      <c r="Q100" s="104">
        <v>1.623218</v>
      </c>
      <c r="R100" s="104">
        <v>0.7664</v>
      </c>
      <c r="S100" s="104">
        <v>0.8113</v>
      </c>
      <c r="T100" s="104">
        <v>0.8094</v>
      </c>
      <c r="U100" s="104">
        <v>0.8999</v>
      </c>
      <c r="V100" s="104">
        <v>0.8113</v>
      </c>
      <c r="W100" s="104">
        <v>0.7664</v>
      </c>
      <c r="X100" s="104">
        <v>0.7567</v>
      </c>
      <c r="Y100" s="104">
        <v>0.7939</v>
      </c>
      <c r="Z100" s="104">
        <v>0.8467</v>
      </c>
      <c r="AA100" s="104">
        <v>0.6812</v>
      </c>
      <c r="AB100" s="104">
        <v>0.6339</v>
      </c>
      <c r="AC100" s="104">
        <v>0.4283</v>
      </c>
      <c r="AD100" s="104">
        <v>1.0</v>
      </c>
      <c r="AE100" s="104">
        <v>0.5997</v>
      </c>
      <c r="AF100" s="104">
        <v>0.8466</v>
      </c>
      <c r="AG100" s="104">
        <v>1.0</v>
      </c>
      <c r="AH100" s="104">
        <v>0.7166</v>
      </c>
      <c r="AI100" s="104">
        <v>0.8349</v>
      </c>
      <c r="AJ100" s="104">
        <v>0.8465</v>
      </c>
      <c r="AK100" s="104">
        <v>1.0</v>
      </c>
      <c r="AL100" s="104">
        <v>0.7173</v>
      </c>
      <c r="AM100" s="104">
        <v>0.8354</v>
      </c>
      <c r="AN100" s="104">
        <v>0.847</v>
      </c>
      <c r="AO100" s="49"/>
      <c r="AP100" s="49"/>
      <c r="AQ100" s="49"/>
    </row>
    <row r="101">
      <c r="A101" s="13"/>
      <c r="B101" s="13"/>
      <c r="C101" s="87">
        <v>2.0</v>
      </c>
      <c r="D101" s="104">
        <v>1.0</v>
      </c>
      <c r="E101" s="104">
        <v>1.0</v>
      </c>
      <c r="F101" s="104">
        <v>1.0</v>
      </c>
      <c r="G101" s="104">
        <v>0.7052</v>
      </c>
      <c r="H101" s="104">
        <v>0.9372</v>
      </c>
      <c r="I101" s="104">
        <v>0.0</v>
      </c>
      <c r="J101" s="104">
        <v>0.8914</v>
      </c>
      <c r="K101" s="92">
        <v>1.0</v>
      </c>
      <c r="L101" s="104">
        <v>0.324140000000001</v>
      </c>
      <c r="M101" s="104">
        <v>0.088</v>
      </c>
      <c r="N101" s="48">
        <f t="shared" si="2"/>
        <v>0.9374437916</v>
      </c>
      <c r="O101" s="48">
        <f t="shared" si="1"/>
        <v>36.38816968</v>
      </c>
      <c r="P101" s="104">
        <v>53.145883</v>
      </c>
      <c r="Q101" s="104">
        <v>1.812426</v>
      </c>
      <c r="R101" s="104">
        <v>0.9284</v>
      </c>
      <c r="S101" s="104">
        <v>0.9502</v>
      </c>
      <c r="T101" s="104">
        <v>0.9031</v>
      </c>
      <c r="U101" s="104">
        <v>0.9492</v>
      </c>
      <c r="V101" s="104">
        <v>0.9502</v>
      </c>
      <c r="W101" s="104">
        <v>0.9284</v>
      </c>
      <c r="X101" s="104">
        <v>0.9173</v>
      </c>
      <c r="Y101" s="104">
        <v>0.9327</v>
      </c>
      <c r="Z101" s="104">
        <v>0.9597</v>
      </c>
      <c r="AA101" s="104">
        <v>0.8862</v>
      </c>
      <c r="AB101" s="104">
        <v>0.879</v>
      </c>
      <c r="AC101" s="104">
        <v>0.7094</v>
      </c>
      <c r="AD101" s="104">
        <v>1.0</v>
      </c>
      <c r="AE101" s="104">
        <v>0.83</v>
      </c>
      <c r="AF101" s="104">
        <v>0.9557</v>
      </c>
      <c r="AG101" s="104">
        <v>1.0</v>
      </c>
      <c r="AH101" s="104">
        <v>0.8973</v>
      </c>
      <c r="AI101" s="104">
        <v>0.9459</v>
      </c>
      <c r="AJ101" s="104">
        <v>0.9473</v>
      </c>
      <c r="AK101" s="104">
        <v>1.0</v>
      </c>
      <c r="AL101" s="104">
        <v>0.9533</v>
      </c>
      <c r="AM101" s="104">
        <v>0.9761</v>
      </c>
      <c r="AN101" s="104">
        <v>0.9764</v>
      </c>
      <c r="AO101" s="49"/>
      <c r="AP101" s="49"/>
      <c r="AQ101" s="49"/>
    </row>
    <row r="102">
      <c r="A102" s="13"/>
      <c r="B102" s="13"/>
      <c r="C102" s="87">
        <v>3.0</v>
      </c>
      <c r="D102" s="104">
        <v>1.0</v>
      </c>
      <c r="E102" s="104">
        <v>1.0</v>
      </c>
      <c r="F102" s="104">
        <v>1.0</v>
      </c>
      <c r="G102" s="104">
        <v>0.6469</v>
      </c>
      <c r="H102" s="104">
        <v>0.9775</v>
      </c>
      <c r="I102" s="104">
        <v>0.0</v>
      </c>
      <c r="J102" s="104">
        <v>0.8934</v>
      </c>
      <c r="K102" s="92">
        <v>1.0</v>
      </c>
      <c r="L102" s="104">
        <v>0.324140000000001</v>
      </c>
      <c r="M102" s="104">
        <v>0.0937</v>
      </c>
      <c r="N102" s="48">
        <f t="shared" si="2"/>
        <v>0.9772135785</v>
      </c>
      <c r="O102" s="48">
        <f t="shared" si="1"/>
        <v>38.25511678</v>
      </c>
      <c r="P102" s="104">
        <v>53.145883</v>
      </c>
      <c r="Q102" s="104">
        <v>1.842556</v>
      </c>
      <c r="R102" s="104">
        <v>0.975</v>
      </c>
      <c r="S102" s="104">
        <v>0.9823</v>
      </c>
      <c r="T102" s="104">
        <v>0.9596</v>
      </c>
      <c r="U102" s="104">
        <v>0.978</v>
      </c>
      <c r="V102" s="104">
        <v>0.9823</v>
      </c>
      <c r="W102" s="104">
        <v>0.975</v>
      </c>
      <c r="X102" s="104">
        <v>0.9695</v>
      </c>
      <c r="Y102" s="104">
        <v>0.9756</v>
      </c>
      <c r="Z102" s="104">
        <v>0.9859</v>
      </c>
      <c r="AA102" s="104">
        <v>0.9576</v>
      </c>
      <c r="AB102" s="104">
        <v>0.9566</v>
      </c>
      <c r="AC102" s="104">
        <v>0.879</v>
      </c>
      <c r="AD102" s="104">
        <v>1.0</v>
      </c>
      <c r="AE102" s="104">
        <v>0.9356</v>
      </c>
      <c r="AF102" s="104">
        <v>0.9846</v>
      </c>
      <c r="AG102" s="104">
        <v>1.0</v>
      </c>
      <c r="AH102" s="104">
        <v>0.9645</v>
      </c>
      <c r="AI102" s="104">
        <v>0.9819</v>
      </c>
      <c r="AJ102" s="104">
        <v>0.9821</v>
      </c>
      <c r="AK102" s="104">
        <v>1.0</v>
      </c>
      <c r="AL102" s="104">
        <v>0.9823</v>
      </c>
      <c r="AM102" s="104">
        <v>0.9911</v>
      </c>
      <c r="AN102" s="104">
        <v>0.9911</v>
      </c>
      <c r="AO102" s="49"/>
      <c r="AP102" s="49"/>
      <c r="AQ102" s="49"/>
    </row>
    <row r="103">
      <c r="A103" s="13"/>
      <c r="B103" s="16"/>
      <c r="C103" s="87">
        <v>4.0</v>
      </c>
      <c r="D103" s="104">
        <v>1.0</v>
      </c>
      <c r="E103" s="104">
        <v>1.0</v>
      </c>
      <c r="F103" s="104">
        <v>1.0</v>
      </c>
      <c r="G103" s="104">
        <v>0.7052</v>
      </c>
      <c r="H103" s="104">
        <v>0.9372</v>
      </c>
      <c r="I103" s="104">
        <v>0.0</v>
      </c>
      <c r="J103" s="104">
        <v>0.8914</v>
      </c>
      <c r="K103" s="92">
        <v>1.0</v>
      </c>
      <c r="L103" s="104">
        <v>0.324140000000001</v>
      </c>
      <c r="M103" s="104">
        <v>0.088</v>
      </c>
      <c r="N103" s="48">
        <f t="shared" si="2"/>
        <v>0.9374437916</v>
      </c>
      <c r="O103" s="48">
        <f t="shared" si="1"/>
        <v>36.38816968</v>
      </c>
      <c r="P103" s="104">
        <v>53.145883</v>
      </c>
      <c r="Q103" s="104">
        <v>1.812426</v>
      </c>
      <c r="R103" s="104">
        <v>0.9284</v>
      </c>
      <c r="S103" s="104">
        <v>0.9502</v>
      </c>
      <c r="T103" s="104">
        <v>0.9031</v>
      </c>
      <c r="U103" s="104">
        <v>0.9492</v>
      </c>
      <c r="V103" s="104">
        <v>0.9502</v>
      </c>
      <c r="W103" s="104">
        <v>0.9284</v>
      </c>
      <c r="X103" s="104">
        <v>0.9173</v>
      </c>
      <c r="Y103" s="104">
        <v>0.9327</v>
      </c>
      <c r="Z103" s="104">
        <v>0.9597</v>
      </c>
      <c r="AA103" s="104">
        <v>0.8862</v>
      </c>
      <c r="AB103" s="104">
        <v>0.879</v>
      </c>
      <c r="AC103" s="104">
        <v>0.7094</v>
      </c>
      <c r="AD103" s="104">
        <v>1.0</v>
      </c>
      <c r="AE103" s="104">
        <v>0.83</v>
      </c>
      <c r="AF103" s="104">
        <v>0.9557</v>
      </c>
      <c r="AG103" s="104">
        <v>1.0</v>
      </c>
      <c r="AH103" s="104">
        <v>0.8973</v>
      </c>
      <c r="AI103" s="104">
        <v>0.9459</v>
      </c>
      <c r="AJ103" s="104">
        <v>0.9473</v>
      </c>
      <c r="AK103" s="104">
        <v>1.0</v>
      </c>
      <c r="AL103" s="104">
        <v>0.9533</v>
      </c>
      <c r="AM103" s="104">
        <v>0.9761</v>
      </c>
      <c r="AN103" s="104">
        <v>0.9764</v>
      </c>
      <c r="AO103" s="49"/>
      <c r="AP103" s="49"/>
      <c r="AQ103" s="49"/>
    </row>
    <row r="104">
      <c r="A104" s="13"/>
      <c r="B104" s="91" t="s">
        <v>23</v>
      </c>
      <c r="C104" s="87">
        <v>1.0</v>
      </c>
      <c r="D104" s="104">
        <v>1.0</v>
      </c>
      <c r="E104" s="104">
        <v>1.0</v>
      </c>
      <c r="F104" s="104">
        <v>1.0</v>
      </c>
      <c r="G104" s="104">
        <v>0.3684</v>
      </c>
      <c r="H104" s="104">
        <v>0.8699</v>
      </c>
      <c r="I104" s="104">
        <v>0.3178</v>
      </c>
      <c r="J104" s="104">
        <v>0.7778</v>
      </c>
      <c r="K104" s="92">
        <v>1.0</v>
      </c>
      <c r="L104" s="104">
        <v>0.324140000000001</v>
      </c>
      <c r="M104" s="104">
        <v>0.6022</v>
      </c>
      <c r="N104" s="48">
        <f t="shared" si="2"/>
        <v>0.7976272594</v>
      </c>
      <c r="O104" s="48">
        <f t="shared" si="1"/>
        <v>71.28141187</v>
      </c>
      <c r="P104" s="104">
        <v>92.793704</v>
      </c>
      <c r="Q104" s="104">
        <v>0.665853</v>
      </c>
      <c r="R104" s="104">
        <v>0.8382</v>
      </c>
      <c r="S104" s="104">
        <v>0.7227</v>
      </c>
      <c r="T104" s="104">
        <v>0.9285</v>
      </c>
      <c r="U104" s="104">
        <v>0.8729</v>
      </c>
      <c r="V104" s="104">
        <v>0.7227</v>
      </c>
      <c r="W104" s="104">
        <v>0.8382</v>
      </c>
      <c r="X104" s="104">
        <v>0.7789</v>
      </c>
      <c r="Y104" s="104">
        <v>0.8243</v>
      </c>
      <c r="Z104" s="104">
        <v>0.7614</v>
      </c>
      <c r="AA104" s="104">
        <v>0.7155</v>
      </c>
      <c r="AB104" s="104">
        <v>0.6766</v>
      </c>
      <c r="AC104" s="104">
        <v>1.0</v>
      </c>
      <c r="AD104" s="104">
        <v>0.4507</v>
      </c>
      <c r="AE104" s="104">
        <v>0.6214</v>
      </c>
      <c r="AF104" s="104">
        <v>0.6714</v>
      </c>
      <c r="AG104" s="104">
        <v>0.7855</v>
      </c>
      <c r="AH104" s="104">
        <v>1.0</v>
      </c>
      <c r="AI104" s="104">
        <v>0.8799</v>
      </c>
      <c r="AJ104" s="104">
        <v>0.7764</v>
      </c>
      <c r="AK104" s="104">
        <v>1.0</v>
      </c>
      <c r="AL104" s="104">
        <v>0.7173</v>
      </c>
      <c r="AM104" s="104">
        <v>0.8354</v>
      </c>
      <c r="AN104" s="104">
        <v>0.847</v>
      </c>
      <c r="AO104" s="49"/>
      <c r="AP104" s="49"/>
      <c r="AQ104" s="49"/>
    </row>
    <row r="105">
      <c r="A105" s="13"/>
      <c r="B105" s="13"/>
      <c r="C105" s="87">
        <v>2.0</v>
      </c>
      <c r="D105" s="104">
        <v>1.0</v>
      </c>
      <c r="E105" s="104">
        <v>1.0</v>
      </c>
      <c r="F105" s="104">
        <v>1.0</v>
      </c>
      <c r="G105" s="104">
        <v>0.526</v>
      </c>
      <c r="H105" s="104">
        <v>0.9483</v>
      </c>
      <c r="I105" s="104">
        <v>0.2488</v>
      </c>
      <c r="J105" s="104">
        <v>0.8574</v>
      </c>
      <c r="K105" s="92">
        <v>1.0</v>
      </c>
      <c r="L105" s="104">
        <v>0.324140000000001</v>
      </c>
      <c r="M105" s="104">
        <v>0.6389</v>
      </c>
      <c r="N105" s="48">
        <f t="shared" si="2"/>
        <v>0.9274685677</v>
      </c>
      <c r="O105" s="48">
        <f t="shared" si="1"/>
        <v>79.90108474</v>
      </c>
      <c r="P105" s="104">
        <v>92.793704</v>
      </c>
      <c r="Q105" s="104">
        <v>0.895748</v>
      </c>
      <c r="R105" s="104">
        <v>0.9412</v>
      </c>
      <c r="S105" s="104">
        <v>0.8932</v>
      </c>
      <c r="T105" s="104">
        <v>0.9698</v>
      </c>
      <c r="U105" s="104">
        <v>0.9465</v>
      </c>
      <c r="V105" s="104">
        <v>0.8932</v>
      </c>
      <c r="W105" s="104">
        <v>0.9412</v>
      </c>
      <c r="X105" s="104">
        <v>0.9233</v>
      </c>
      <c r="Y105" s="104">
        <v>0.9387</v>
      </c>
      <c r="Z105" s="104">
        <v>0.9166</v>
      </c>
      <c r="AA105" s="104">
        <v>0.8974</v>
      </c>
      <c r="AB105" s="104">
        <v>0.8915</v>
      </c>
      <c r="AC105" s="104">
        <v>1.0</v>
      </c>
      <c r="AD105" s="104">
        <v>0.7262</v>
      </c>
      <c r="AE105" s="104">
        <v>0.8414</v>
      </c>
      <c r="AF105" s="104">
        <v>0.8522</v>
      </c>
      <c r="AG105" s="104">
        <v>0.9094</v>
      </c>
      <c r="AH105" s="104">
        <v>1.0</v>
      </c>
      <c r="AI105" s="104">
        <v>0.9526</v>
      </c>
      <c r="AJ105" s="104">
        <v>0.9254</v>
      </c>
      <c r="AK105" s="104">
        <v>1.0</v>
      </c>
      <c r="AL105" s="104">
        <v>0.9533</v>
      </c>
      <c r="AM105" s="104">
        <v>0.9761</v>
      </c>
      <c r="AN105" s="104">
        <v>0.9764</v>
      </c>
      <c r="AO105" s="49"/>
      <c r="AP105" s="49"/>
      <c r="AQ105" s="49"/>
    </row>
    <row r="106">
      <c r="A106" s="13"/>
      <c r="B106" s="13"/>
      <c r="C106" s="87">
        <v>3.0</v>
      </c>
      <c r="D106" s="104">
        <v>1.0</v>
      </c>
      <c r="E106" s="104">
        <v>1.0</v>
      </c>
      <c r="F106" s="104">
        <v>1.0</v>
      </c>
      <c r="G106" s="104">
        <v>0.5878</v>
      </c>
      <c r="H106" s="104">
        <v>0.9849</v>
      </c>
      <c r="I106" s="104">
        <v>0.2356</v>
      </c>
      <c r="J106" s="104">
        <v>0.8798</v>
      </c>
      <c r="K106" s="92">
        <v>1.0</v>
      </c>
      <c r="L106" s="104">
        <v>0.324140000000001</v>
      </c>
      <c r="M106" s="104">
        <v>0.6544</v>
      </c>
      <c r="N106" s="48">
        <f t="shared" si="2"/>
        <v>0.9782279678</v>
      </c>
      <c r="O106" s="48">
        <f t="shared" si="1"/>
        <v>83.29163004</v>
      </c>
      <c r="P106" s="104">
        <v>92.793704</v>
      </c>
      <c r="Q106" s="104">
        <v>0.968741</v>
      </c>
      <c r="R106" s="104">
        <v>0.9815</v>
      </c>
      <c r="S106" s="104">
        <v>0.9676</v>
      </c>
      <c r="T106" s="104">
        <v>0.9899</v>
      </c>
      <c r="U106" s="104">
        <v>0.9821</v>
      </c>
      <c r="V106" s="104">
        <v>0.9676</v>
      </c>
      <c r="W106" s="104">
        <v>0.9815</v>
      </c>
      <c r="X106" s="104">
        <v>0.9781</v>
      </c>
      <c r="Y106" s="104">
        <v>0.9814</v>
      </c>
      <c r="Z106" s="104">
        <v>0.9759</v>
      </c>
      <c r="AA106" s="104">
        <v>0.9676</v>
      </c>
      <c r="AB106" s="104">
        <v>0.967</v>
      </c>
      <c r="AC106" s="104">
        <v>1.0</v>
      </c>
      <c r="AD106" s="104">
        <v>0.9206</v>
      </c>
      <c r="AE106" s="104">
        <v>0.9587</v>
      </c>
      <c r="AF106" s="104">
        <v>0.9595</v>
      </c>
      <c r="AG106" s="104">
        <v>0.9697</v>
      </c>
      <c r="AH106" s="104">
        <v>1.0</v>
      </c>
      <c r="AI106" s="104">
        <v>0.9846</v>
      </c>
      <c r="AJ106" s="104">
        <v>0.9773</v>
      </c>
      <c r="AK106" s="104">
        <v>1.0</v>
      </c>
      <c r="AL106" s="104">
        <v>0.9823</v>
      </c>
      <c r="AM106" s="104">
        <v>0.9911</v>
      </c>
      <c r="AN106" s="104">
        <v>0.9911</v>
      </c>
      <c r="AO106" s="49"/>
      <c r="AP106" s="49"/>
      <c r="AQ106" s="49"/>
    </row>
    <row r="107">
      <c r="A107" s="13"/>
      <c r="B107" s="16"/>
      <c r="C107" s="87">
        <v>4.0</v>
      </c>
      <c r="D107" s="104">
        <v>1.0</v>
      </c>
      <c r="E107" s="104">
        <v>1.0</v>
      </c>
      <c r="F107" s="104">
        <v>1.0</v>
      </c>
      <c r="G107" s="104">
        <v>0.526</v>
      </c>
      <c r="H107" s="104">
        <v>0.9483</v>
      </c>
      <c r="I107" s="104">
        <v>0.2488</v>
      </c>
      <c r="J107" s="104">
        <v>0.8574</v>
      </c>
      <c r="K107" s="92">
        <v>1.0</v>
      </c>
      <c r="L107" s="104">
        <v>0.324140000000001</v>
      </c>
      <c r="M107" s="104">
        <v>0.6389</v>
      </c>
      <c r="N107" s="48">
        <f t="shared" si="2"/>
        <v>0.9274685677</v>
      </c>
      <c r="O107" s="48">
        <f t="shared" si="1"/>
        <v>79.90108474</v>
      </c>
      <c r="P107" s="104">
        <v>92.793704</v>
      </c>
      <c r="Q107" s="104">
        <v>0.895748</v>
      </c>
      <c r="R107" s="104">
        <v>0.9412</v>
      </c>
      <c r="S107" s="104">
        <v>0.8932</v>
      </c>
      <c r="T107" s="104">
        <v>0.9698</v>
      </c>
      <c r="U107" s="104">
        <v>0.9465</v>
      </c>
      <c r="V107" s="104">
        <v>0.8932</v>
      </c>
      <c r="W107" s="104">
        <v>0.9412</v>
      </c>
      <c r="X107" s="104">
        <v>0.9233</v>
      </c>
      <c r="Y107" s="104">
        <v>0.9387</v>
      </c>
      <c r="Z107" s="104">
        <v>0.9166</v>
      </c>
      <c r="AA107" s="104">
        <v>0.8974</v>
      </c>
      <c r="AB107" s="104">
        <v>0.8915</v>
      </c>
      <c r="AC107" s="104">
        <v>1.0</v>
      </c>
      <c r="AD107" s="104">
        <v>0.7262</v>
      </c>
      <c r="AE107" s="104">
        <v>0.8414</v>
      </c>
      <c r="AF107" s="104">
        <v>0.8522</v>
      </c>
      <c r="AG107" s="104">
        <v>0.9094</v>
      </c>
      <c r="AH107" s="104">
        <v>1.0</v>
      </c>
      <c r="AI107" s="104">
        <v>0.9526</v>
      </c>
      <c r="AJ107" s="104">
        <v>0.9254</v>
      </c>
      <c r="AK107" s="104">
        <v>1.0</v>
      </c>
      <c r="AL107" s="104">
        <v>0.9533</v>
      </c>
      <c r="AM107" s="104">
        <v>0.9761</v>
      </c>
      <c r="AN107" s="104">
        <v>0.9764</v>
      </c>
      <c r="AO107" s="49"/>
      <c r="AP107" s="49"/>
      <c r="AQ107" s="49"/>
    </row>
    <row r="108">
      <c r="A108" s="13"/>
      <c r="B108" s="91" t="s">
        <v>24</v>
      </c>
      <c r="C108" s="87">
        <v>1.0</v>
      </c>
      <c r="D108" s="106">
        <v>1.0</v>
      </c>
      <c r="E108" s="106">
        <v>1.0</v>
      </c>
      <c r="F108" s="106">
        <v>1.0</v>
      </c>
      <c r="G108" s="106">
        <v>0.5832</v>
      </c>
      <c r="H108" s="106">
        <v>0.8585</v>
      </c>
      <c r="I108" s="106">
        <v>0.9093</v>
      </c>
      <c r="J108" s="106">
        <v>0.8435</v>
      </c>
      <c r="K108" s="92">
        <v>1.0</v>
      </c>
      <c r="L108" s="104">
        <v>0.324140000000001</v>
      </c>
      <c r="M108" s="106">
        <v>0.8258</v>
      </c>
      <c r="N108" s="48">
        <f t="shared" si="2"/>
        <v>0.6568315763</v>
      </c>
      <c r="O108" s="48">
        <f t="shared" si="1"/>
        <v>71.98174406</v>
      </c>
      <c r="P108" s="106">
        <v>8936.170485</v>
      </c>
      <c r="Q108" s="106">
        <v>4.708901</v>
      </c>
      <c r="R108" s="106">
        <v>0.6989</v>
      </c>
      <c r="S108" s="106">
        <v>0.6021</v>
      </c>
      <c r="T108" s="106">
        <v>0.6386</v>
      </c>
      <c r="U108" s="106">
        <v>0.6938</v>
      </c>
      <c r="V108" s="106">
        <v>0.6021</v>
      </c>
      <c r="W108" s="106">
        <v>0.6989</v>
      </c>
      <c r="X108" s="106">
        <v>0.5813</v>
      </c>
      <c r="Y108" s="106">
        <v>0.6745</v>
      </c>
      <c r="Z108" s="106">
        <v>0.6329</v>
      </c>
      <c r="AA108" s="106">
        <v>0.4638</v>
      </c>
      <c r="AB108" s="106">
        <v>0.4532</v>
      </c>
      <c r="AC108" s="106">
        <v>0.5627</v>
      </c>
      <c r="AD108" s="106">
        <v>0.1846</v>
      </c>
      <c r="AE108" s="106">
        <v>0.278</v>
      </c>
      <c r="AF108" s="106">
        <v>0.4231</v>
      </c>
      <c r="AG108" s="106">
        <v>0.7797</v>
      </c>
      <c r="AH108" s="106">
        <v>0.8042</v>
      </c>
      <c r="AI108" s="106">
        <v>0.7918</v>
      </c>
      <c r="AJ108" s="106">
        <v>0.7338</v>
      </c>
      <c r="AK108" s="106">
        <v>0.5733</v>
      </c>
      <c r="AL108" s="106">
        <v>0.8175</v>
      </c>
      <c r="AM108" s="106">
        <v>0.674</v>
      </c>
      <c r="AN108" s="106">
        <v>0.8167</v>
      </c>
      <c r="AO108" s="49"/>
      <c r="AP108" s="49"/>
      <c r="AQ108" s="49"/>
    </row>
    <row r="109">
      <c r="A109" s="13"/>
      <c r="B109" s="13"/>
      <c r="C109" s="87">
        <v>2.0</v>
      </c>
      <c r="D109" s="106">
        <v>1.0</v>
      </c>
      <c r="E109" s="106">
        <v>1.0</v>
      </c>
      <c r="F109" s="106">
        <v>1.0</v>
      </c>
      <c r="G109" s="106">
        <v>0.6333</v>
      </c>
      <c r="H109" s="106">
        <v>0.8933</v>
      </c>
      <c r="I109" s="106">
        <v>0.7507</v>
      </c>
      <c r="J109" s="106">
        <v>0.8855</v>
      </c>
      <c r="K109" s="92">
        <v>1.0</v>
      </c>
      <c r="L109" s="104">
        <v>0.324140000000001</v>
      </c>
      <c r="M109" s="106">
        <v>0.8224</v>
      </c>
      <c r="N109" s="48">
        <f t="shared" si="2"/>
        <v>0.7502792758</v>
      </c>
      <c r="O109" s="48">
        <f t="shared" si="1"/>
        <v>77.8335808</v>
      </c>
      <c r="P109" s="106">
        <v>8936.170485</v>
      </c>
      <c r="Q109" s="106">
        <v>5.141915</v>
      </c>
      <c r="R109" s="106">
        <v>0.7737</v>
      </c>
      <c r="S109" s="106">
        <v>0.71</v>
      </c>
      <c r="T109" s="106">
        <v>0.7293</v>
      </c>
      <c r="U109" s="106">
        <v>0.7743</v>
      </c>
      <c r="V109" s="106">
        <v>0.71</v>
      </c>
      <c r="W109" s="106">
        <v>0.7737</v>
      </c>
      <c r="X109" s="106">
        <v>0.6938</v>
      </c>
      <c r="Y109" s="106">
        <v>0.7589</v>
      </c>
      <c r="Z109" s="106">
        <v>0.7477</v>
      </c>
      <c r="AA109" s="106">
        <v>0.6088</v>
      </c>
      <c r="AB109" s="106">
        <v>0.5994</v>
      </c>
      <c r="AC109" s="106">
        <v>0.6632</v>
      </c>
      <c r="AD109" s="106">
        <v>0.3382</v>
      </c>
      <c r="AE109" s="106">
        <v>0.448</v>
      </c>
      <c r="AF109" s="106">
        <v>0.5709</v>
      </c>
      <c r="AG109" s="106">
        <v>0.8445</v>
      </c>
      <c r="AH109" s="106">
        <v>0.8263</v>
      </c>
      <c r="AI109" s="106">
        <v>0.8353</v>
      </c>
      <c r="AJ109" s="106">
        <v>0.8031</v>
      </c>
      <c r="AK109" s="106">
        <v>0.6803</v>
      </c>
      <c r="AL109" s="106">
        <v>0.9655</v>
      </c>
      <c r="AM109" s="106">
        <v>0.7982</v>
      </c>
      <c r="AN109" s="106">
        <v>0.9117</v>
      </c>
      <c r="AO109" s="49"/>
      <c r="AP109" s="49"/>
      <c r="AQ109" s="49"/>
    </row>
    <row r="110">
      <c r="A110" s="13"/>
      <c r="B110" s="13"/>
      <c r="C110" s="87">
        <v>3.0</v>
      </c>
      <c r="D110" s="106">
        <v>1.0</v>
      </c>
      <c r="E110" s="106">
        <v>1.0</v>
      </c>
      <c r="F110" s="106">
        <v>1.0</v>
      </c>
      <c r="G110" s="106">
        <v>0.6027</v>
      </c>
      <c r="H110" s="106">
        <v>0.9246</v>
      </c>
      <c r="I110" s="106">
        <v>0.7507</v>
      </c>
      <c r="J110" s="106">
        <v>0.8908</v>
      </c>
      <c r="K110" s="92">
        <v>1.0</v>
      </c>
      <c r="L110" s="104">
        <v>0.324140000000001</v>
      </c>
      <c r="M110" s="106">
        <v>0.8209</v>
      </c>
      <c r="N110" s="48">
        <f t="shared" si="2"/>
        <v>0.7906938072</v>
      </c>
      <c r="O110" s="48">
        <f t="shared" si="1"/>
        <v>80.26405645</v>
      </c>
      <c r="P110" s="106">
        <v>8936.170485</v>
      </c>
      <c r="Q110" s="106">
        <v>5.299996</v>
      </c>
      <c r="R110" s="106">
        <v>0.8073</v>
      </c>
      <c r="S110" s="106">
        <v>0.7566</v>
      </c>
      <c r="T110" s="106">
        <v>0.7732</v>
      </c>
      <c r="U110" s="106">
        <v>0.8018</v>
      </c>
      <c r="V110" s="106">
        <v>0.7566</v>
      </c>
      <c r="W110" s="106">
        <v>0.8073</v>
      </c>
      <c r="X110" s="106">
        <v>0.751</v>
      </c>
      <c r="Y110" s="106">
        <v>0.7964</v>
      </c>
      <c r="Z110" s="106">
        <v>0.7927</v>
      </c>
      <c r="AA110" s="106">
        <v>0.6613</v>
      </c>
      <c r="AB110" s="106">
        <v>0.6563</v>
      </c>
      <c r="AC110" s="106">
        <v>0.7022</v>
      </c>
      <c r="AD110" s="106">
        <v>0.4391</v>
      </c>
      <c r="AE110" s="106">
        <v>0.5403</v>
      </c>
      <c r="AF110" s="106">
        <v>0.6488</v>
      </c>
      <c r="AG110" s="106">
        <v>0.8432</v>
      </c>
      <c r="AH110" s="106">
        <v>0.8554</v>
      </c>
      <c r="AI110" s="106">
        <v>0.8492</v>
      </c>
      <c r="AJ110" s="106">
        <v>0.8123</v>
      </c>
      <c r="AK110" s="106">
        <v>0.7743</v>
      </c>
      <c r="AL110" s="106">
        <v>0.9755</v>
      </c>
      <c r="AM110" s="106">
        <v>0.8633</v>
      </c>
      <c r="AN110" s="106">
        <v>0.9451</v>
      </c>
      <c r="AO110" s="49"/>
      <c r="AP110" s="49"/>
      <c r="AQ110" s="49"/>
    </row>
    <row r="111">
      <c r="A111" s="13"/>
      <c r="B111" s="16"/>
      <c r="C111" s="87">
        <v>4.0</v>
      </c>
      <c r="D111" s="106">
        <v>1.0</v>
      </c>
      <c r="E111" s="106">
        <v>1.0</v>
      </c>
      <c r="F111" s="106">
        <v>1.0</v>
      </c>
      <c r="G111" s="106">
        <v>0.5791</v>
      </c>
      <c r="H111" s="106">
        <v>0.9477</v>
      </c>
      <c r="I111" s="106">
        <v>0.7548</v>
      </c>
      <c r="J111" s="106">
        <v>0.8836</v>
      </c>
      <c r="K111" s="92">
        <v>1.0</v>
      </c>
      <c r="L111" s="104">
        <v>0.324140000000001</v>
      </c>
      <c r="M111" s="106">
        <v>0.8179</v>
      </c>
      <c r="N111" s="48">
        <f t="shared" si="2"/>
        <v>0.8110824707</v>
      </c>
      <c r="O111" s="48">
        <f t="shared" si="1"/>
        <v>81.38026365</v>
      </c>
      <c r="P111" s="106">
        <v>8936.170485</v>
      </c>
      <c r="Q111" s="104">
        <v>5.225261</v>
      </c>
      <c r="R111" s="106">
        <v>0.8254</v>
      </c>
      <c r="S111" s="106">
        <v>0.7787</v>
      </c>
      <c r="T111" s="106">
        <v>0.7961</v>
      </c>
      <c r="U111" s="106">
        <v>0.8163</v>
      </c>
      <c r="V111" s="106">
        <v>0.7787</v>
      </c>
      <c r="W111" s="106">
        <v>0.8254</v>
      </c>
      <c r="X111" s="106">
        <v>0.7808</v>
      </c>
      <c r="Y111" s="106">
        <v>0.8169</v>
      </c>
      <c r="Z111" s="106">
        <v>0.8115</v>
      </c>
      <c r="AA111" s="106">
        <v>0.6887</v>
      </c>
      <c r="AB111" s="106">
        <v>0.686</v>
      </c>
      <c r="AC111" s="106">
        <v>0.682</v>
      </c>
      <c r="AD111" s="106">
        <v>0.4871</v>
      </c>
      <c r="AE111" s="106">
        <v>0.5683</v>
      </c>
      <c r="AF111" s="106">
        <v>0.6798</v>
      </c>
      <c r="AG111" s="106">
        <v>0.8384</v>
      </c>
      <c r="AH111" s="106">
        <v>0.8728</v>
      </c>
      <c r="AI111" s="106">
        <v>0.8553</v>
      </c>
      <c r="AJ111" s="106">
        <v>0.8135</v>
      </c>
      <c r="AK111" s="106">
        <v>0.8678</v>
      </c>
      <c r="AL111" s="106">
        <v>0.9761</v>
      </c>
      <c r="AM111" s="106">
        <v>0.9188</v>
      </c>
      <c r="AN111" s="106">
        <v>0.9662</v>
      </c>
      <c r="AO111" s="49"/>
      <c r="AP111" s="49"/>
      <c r="AQ111" s="49"/>
    </row>
    <row r="112">
      <c r="A112" s="13"/>
      <c r="B112" s="91" t="s">
        <v>25</v>
      </c>
      <c r="C112" s="87">
        <v>1.0</v>
      </c>
      <c r="D112" s="104">
        <v>1.0</v>
      </c>
      <c r="E112" s="104">
        <v>1.0</v>
      </c>
      <c r="F112" s="104">
        <v>1.0</v>
      </c>
      <c r="G112" s="104">
        <v>0.8233</v>
      </c>
      <c r="H112" s="104">
        <v>0.8228</v>
      </c>
      <c r="I112" s="104">
        <v>0.5132</v>
      </c>
      <c r="J112" s="104">
        <v>0.7948</v>
      </c>
      <c r="K112" s="92">
        <v>1.0</v>
      </c>
      <c r="L112" s="104">
        <v>0.324140000000001</v>
      </c>
      <c r="M112" s="104">
        <v>0.7732</v>
      </c>
      <c r="N112" s="48">
        <f t="shared" si="2"/>
        <v>0.6696317437</v>
      </c>
      <c r="O112" s="48">
        <f t="shared" si="1"/>
        <v>70.92810518</v>
      </c>
      <c r="P112" s="104">
        <v>9987.702362</v>
      </c>
      <c r="Q112" s="104">
        <v>5.043261</v>
      </c>
      <c r="R112" s="104">
        <v>0.6329</v>
      </c>
      <c r="S112" s="104">
        <v>0.6477</v>
      </c>
      <c r="T112" s="104">
        <v>0.6551</v>
      </c>
      <c r="U112" s="104">
        <v>0.7352</v>
      </c>
      <c r="V112" s="104">
        <v>0.6477</v>
      </c>
      <c r="W112" s="104">
        <v>0.6329</v>
      </c>
      <c r="X112" s="104">
        <v>0.6081</v>
      </c>
      <c r="Y112" s="104">
        <v>0.6541</v>
      </c>
      <c r="Z112" s="104">
        <v>0.7187</v>
      </c>
      <c r="AA112" s="104">
        <v>0.4427</v>
      </c>
      <c r="AB112" s="104">
        <v>0.4154</v>
      </c>
      <c r="AC112" s="104">
        <v>0.3533</v>
      </c>
      <c r="AD112" s="104">
        <v>0.8029</v>
      </c>
      <c r="AE112" s="104">
        <v>0.4907</v>
      </c>
      <c r="AF112" s="104">
        <v>0.7433</v>
      </c>
      <c r="AG112" s="104">
        <v>0.8293</v>
      </c>
      <c r="AH112" s="104">
        <v>0.6314</v>
      </c>
      <c r="AI112" s="104">
        <v>0.7169</v>
      </c>
      <c r="AJ112" s="104">
        <v>0.7156</v>
      </c>
      <c r="AK112" s="104">
        <v>0.7828</v>
      </c>
      <c r="AL112" s="104">
        <v>0.5089</v>
      </c>
      <c r="AM112" s="104">
        <v>0.6168</v>
      </c>
      <c r="AN112" s="104">
        <v>0.6979</v>
      </c>
      <c r="AO112" s="49"/>
      <c r="AP112" s="49"/>
      <c r="AQ112" s="49"/>
    </row>
    <row r="113">
      <c r="A113" s="13"/>
      <c r="B113" s="13"/>
      <c r="C113" s="87">
        <v>2.0</v>
      </c>
      <c r="D113" s="104">
        <v>1.0</v>
      </c>
      <c r="E113" s="104">
        <v>1.0</v>
      </c>
      <c r="F113" s="104">
        <v>1.0</v>
      </c>
      <c r="G113" s="104">
        <v>0.6354</v>
      </c>
      <c r="H113" s="104">
        <v>0.9181</v>
      </c>
      <c r="I113" s="104">
        <v>0.6507</v>
      </c>
      <c r="J113" s="104">
        <v>0.8414</v>
      </c>
      <c r="K113" s="92">
        <v>1.0</v>
      </c>
      <c r="L113" s="104">
        <v>0.324140000000001</v>
      </c>
      <c r="M113" s="104">
        <v>0.7959</v>
      </c>
      <c r="N113" s="48">
        <f t="shared" si="2"/>
        <v>0.7443247782</v>
      </c>
      <c r="O113" s="48">
        <f t="shared" si="1"/>
        <v>76.45411894</v>
      </c>
      <c r="P113" s="104">
        <v>9987.702362</v>
      </c>
      <c r="Q113" s="104">
        <v>5.44883</v>
      </c>
      <c r="R113" s="104">
        <v>0.7411</v>
      </c>
      <c r="S113" s="104">
        <v>0.7183</v>
      </c>
      <c r="T113" s="104">
        <v>0.7279</v>
      </c>
      <c r="U113" s="104">
        <v>0.7691</v>
      </c>
      <c r="V113" s="104">
        <v>0.7183</v>
      </c>
      <c r="W113" s="104">
        <v>0.7411</v>
      </c>
      <c r="X113" s="104">
        <v>0.7087</v>
      </c>
      <c r="Y113" s="104">
        <v>0.7463</v>
      </c>
      <c r="Z113" s="104">
        <v>0.7762</v>
      </c>
      <c r="AA113" s="104">
        <v>0.5557</v>
      </c>
      <c r="AB113" s="104">
        <v>0.5503</v>
      </c>
      <c r="AC113" s="104">
        <v>0.5114</v>
      </c>
      <c r="AD113" s="104">
        <v>0.7493</v>
      </c>
      <c r="AE113" s="104">
        <v>0.6079</v>
      </c>
      <c r="AF113" s="104">
        <v>0.7973</v>
      </c>
      <c r="AG113" s="104">
        <v>0.8071</v>
      </c>
      <c r="AH113" s="104">
        <v>0.7878</v>
      </c>
      <c r="AI113" s="104">
        <v>0.7973</v>
      </c>
      <c r="AJ113" s="104">
        <v>0.7576</v>
      </c>
      <c r="AK113" s="104">
        <v>0.8652</v>
      </c>
      <c r="AL113" s="104">
        <v>0.6177</v>
      </c>
      <c r="AM113" s="104">
        <v>0.7208</v>
      </c>
      <c r="AN113" s="104">
        <v>0.7743</v>
      </c>
      <c r="AO113" s="49"/>
      <c r="AP113" s="49"/>
      <c r="AQ113" s="49"/>
    </row>
    <row r="114">
      <c r="A114" s="13"/>
      <c r="B114" s="13"/>
      <c r="C114" s="87">
        <v>3.0</v>
      </c>
      <c r="D114" s="104">
        <v>1.0</v>
      </c>
      <c r="E114" s="104">
        <v>1.0</v>
      </c>
      <c r="F114" s="104">
        <v>1.0</v>
      </c>
      <c r="G114" s="104">
        <v>0.5823</v>
      </c>
      <c r="H114" s="104">
        <v>0.9309</v>
      </c>
      <c r="I114" s="104">
        <v>0.7032</v>
      </c>
      <c r="J114" s="104">
        <v>0.8325</v>
      </c>
      <c r="K114" s="92">
        <v>1.0</v>
      </c>
      <c r="L114" s="104">
        <v>0.324140000000001</v>
      </c>
      <c r="M114" s="104">
        <v>0.7949</v>
      </c>
      <c r="N114" s="48">
        <f t="shared" si="2"/>
        <v>0.7714168055</v>
      </c>
      <c r="O114" s="48">
        <f t="shared" si="1"/>
        <v>78.0725665</v>
      </c>
      <c r="P114" s="104">
        <v>9987.702362</v>
      </c>
      <c r="Q114" s="104">
        <v>5.608961</v>
      </c>
      <c r="R114" s="104">
        <v>0.7753</v>
      </c>
      <c r="S114" s="104">
        <v>0.7407</v>
      </c>
      <c r="T114" s="104">
        <v>0.7736</v>
      </c>
      <c r="U114" s="104">
        <v>0.7945</v>
      </c>
      <c r="V114" s="104">
        <v>0.7407</v>
      </c>
      <c r="W114" s="104">
        <v>0.7753</v>
      </c>
      <c r="X114" s="104">
        <v>0.7453</v>
      </c>
      <c r="Y114" s="104">
        <v>0.7771</v>
      </c>
      <c r="Z114" s="104">
        <v>0.7924</v>
      </c>
      <c r="AA114" s="104">
        <v>0.604</v>
      </c>
      <c r="AB114" s="104">
        <v>0.5997</v>
      </c>
      <c r="AC114" s="104">
        <v>0.5873</v>
      </c>
      <c r="AD114" s="104">
        <v>0.7444</v>
      </c>
      <c r="AE114" s="104">
        <v>0.6566</v>
      </c>
      <c r="AF114" s="104">
        <v>0.8112</v>
      </c>
      <c r="AG114" s="104">
        <v>0.8069</v>
      </c>
      <c r="AH114" s="104">
        <v>0.8371</v>
      </c>
      <c r="AI114" s="104">
        <v>0.8217</v>
      </c>
      <c r="AJ114" s="104">
        <v>0.772</v>
      </c>
      <c r="AK114" s="104">
        <v>0.9268</v>
      </c>
      <c r="AL114" s="104">
        <v>0.6407</v>
      </c>
      <c r="AM114" s="104">
        <v>0.7576</v>
      </c>
      <c r="AN114" s="104">
        <v>0.7944</v>
      </c>
      <c r="AO114" s="49"/>
      <c r="AP114" s="49"/>
      <c r="AQ114" s="49"/>
    </row>
    <row r="115">
      <c r="A115" s="13"/>
      <c r="B115" s="16"/>
      <c r="C115" s="87">
        <v>4.0</v>
      </c>
      <c r="D115" s="104">
        <v>1.0</v>
      </c>
      <c r="E115" s="104">
        <v>1.0</v>
      </c>
      <c r="F115" s="104">
        <v>1.0</v>
      </c>
      <c r="G115" s="104">
        <v>0.5575</v>
      </c>
      <c r="H115" s="104">
        <v>0.9308</v>
      </c>
      <c r="I115" s="104">
        <v>0.7257</v>
      </c>
      <c r="J115" s="104">
        <v>0.8257</v>
      </c>
      <c r="K115" s="92">
        <v>1.0</v>
      </c>
      <c r="L115" s="104">
        <v>0.324140000000001</v>
      </c>
      <c r="M115" s="104">
        <v>0.7917</v>
      </c>
      <c r="N115" s="48">
        <f t="shared" si="2"/>
        <v>0.7852957342</v>
      </c>
      <c r="O115" s="48">
        <f t="shared" si="1"/>
        <v>78.78512003</v>
      </c>
      <c r="P115" s="104">
        <v>9987.702362</v>
      </c>
      <c r="Q115" s="104">
        <v>5.690991</v>
      </c>
      <c r="R115" s="104">
        <v>0.7918</v>
      </c>
      <c r="S115" s="104">
        <v>0.7521</v>
      </c>
      <c r="T115" s="104">
        <v>0.8008</v>
      </c>
      <c r="U115" s="104">
        <v>0.8109</v>
      </c>
      <c r="V115" s="104">
        <v>0.7521</v>
      </c>
      <c r="W115" s="104">
        <v>0.7918</v>
      </c>
      <c r="X115" s="104">
        <v>0.7639</v>
      </c>
      <c r="Y115" s="104">
        <v>0.7928</v>
      </c>
      <c r="Z115" s="104">
        <v>0.8005</v>
      </c>
      <c r="AA115" s="104">
        <v>0.6297</v>
      </c>
      <c r="AB115" s="104">
        <v>0.6247</v>
      </c>
      <c r="AC115" s="104">
        <v>0.6211</v>
      </c>
      <c r="AD115" s="104">
        <v>0.7422</v>
      </c>
      <c r="AE115" s="104">
        <v>0.6763</v>
      </c>
      <c r="AF115" s="104">
        <v>0.8164</v>
      </c>
      <c r="AG115" s="104">
        <v>0.8074</v>
      </c>
      <c r="AH115" s="104">
        <v>0.8603</v>
      </c>
      <c r="AI115" s="104">
        <v>0.833</v>
      </c>
      <c r="AJ115" s="104">
        <v>0.7788</v>
      </c>
      <c r="AK115" s="104">
        <v>0.9738</v>
      </c>
      <c r="AL115" s="104">
        <v>0.6539</v>
      </c>
      <c r="AM115" s="104">
        <v>0.7824</v>
      </c>
      <c r="AN115" s="104">
        <v>0.8066</v>
      </c>
      <c r="AO115" s="49"/>
      <c r="AP115" s="49"/>
      <c r="AQ115" s="49"/>
    </row>
    <row r="116">
      <c r="A116" s="13"/>
      <c r="B116" s="91" t="s">
        <v>26</v>
      </c>
      <c r="C116" s="87">
        <v>1.0</v>
      </c>
      <c r="D116" s="104">
        <v>1.0</v>
      </c>
      <c r="E116" s="104">
        <v>1.0</v>
      </c>
      <c r="F116" s="104">
        <v>1.0</v>
      </c>
      <c r="G116" s="104">
        <v>0.881</v>
      </c>
      <c r="H116" s="104">
        <v>0.8229</v>
      </c>
      <c r="I116" s="104">
        <v>0.4698</v>
      </c>
      <c r="J116" s="104">
        <v>0.8163</v>
      </c>
      <c r="K116" s="92">
        <v>1.0</v>
      </c>
      <c r="L116" s="104">
        <v>0.324140000000001</v>
      </c>
      <c r="M116" s="104">
        <v>0.7741</v>
      </c>
      <c r="N116" s="48">
        <f t="shared" si="2"/>
        <v>0.7219652879</v>
      </c>
      <c r="O116" s="48">
        <f t="shared" si="1"/>
        <v>74.23840239</v>
      </c>
      <c r="P116" s="104">
        <v>6988.619101</v>
      </c>
      <c r="Q116" s="104">
        <v>6.194472</v>
      </c>
      <c r="R116" s="104">
        <v>0.6753</v>
      </c>
      <c r="S116" s="104">
        <v>0.7102</v>
      </c>
      <c r="T116" s="104">
        <v>0.7077</v>
      </c>
      <c r="U116" s="104">
        <v>0.7972</v>
      </c>
      <c r="V116" s="104">
        <v>0.7102</v>
      </c>
      <c r="W116" s="104">
        <v>0.6753</v>
      </c>
      <c r="X116" s="104">
        <v>0.6696</v>
      </c>
      <c r="Y116" s="104">
        <v>0.7049</v>
      </c>
      <c r="Z116" s="104">
        <v>0.7715</v>
      </c>
      <c r="AA116" s="104">
        <v>0.5295</v>
      </c>
      <c r="AB116" s="104">
        <v>0.4941</v>
      </c>
      <c r="AC116" s="104">
        <v>0.347</v>
      </c>
      <c r="AD116" s="104">
        <v>0.7881</v>
      </c>
      <c r="AE116" s="104">
        <v>0.4818</v>
      </c>
      <c r="AF116" s="104">
        <v>0.7349</v>
      </c>
      <c r="AG116" s="104">
        <v>0.8987</v>
      </c>
      <c r="AH116" s="104">
        <v>0.6258</v>
      </c>
      <c r="AI116" s="104">
        <v>0.7378</v>
      </c>
      <c r="AJ116" s="104">
        <v>0.7494</v>
      </c>
      <c r="AK116" s="104">
        <v>0.8774</v>
      </c>
      <c r="AL116" s="104">
        <v>0.7168</v>
      </c>
      <c r="AM116" s="104">
        <v>0.789</v>
      </c>
      <c r="AN116" s="104">
        <v>0.8337</v>
      </c>
      <c r="AO116" s="64"/>
      <c r="AP116" s="64"/>
      <c r="AQ116" s="64"/>
    </row>
    <row r="117">
      <c r="A117" s="13"/>
      <c r="B117" s="13"/>
      <c r="C117" s="87">
        <v>2.0</v>
      </c>
      <c r="D117" s="104">
        <v>1.0</v>
      </c>
      <c r="E117" s="104">
        <v>1.0</v>
      </c>
      <c r="F117" s="104">
        <v>1.0</v>
      </c>
      <c r="G117" s="104">
        <v>0.7615</v>
      </c>
      <c r="H117" s="104">
        <v>0.9248</v>
      </c>
      <c r="I117" s="104">
        <v>0.5761</v>
      </c>
      <c r="J117" s="104">
        <v>0.9177</v>
      </c>
      <c r="K117" s="92">
        <v>1.0</v>
      </c>
      <c r="L117" s="104">
        <v>0.324140000000001</v>
      </c>
      <c r="M117" s="104">
        <v>0.8207</v>
      </c>
      <c r="N117" s="48">
        <f t="shared" si="2"/>
        <v>0.8076008575</v>
      </c>
      <c r="O117" s="48">
        <f t="shared" si="1"/>
        <v>81.28152369</v>
      </c>
      <c r="P117" s="104">
        <v>6988.619101</v>
      </c>
      <c r="Q117" s="104">
        <v>5.936947</v>
      </c>
      <c r="R117" s="104">
        <v>0.7904</v>
      </c>
      <c r="S117" s="104">
        <v>0.8042</v>
      </c>
      <c r="T117" s="104">
        <v>0.753</v>
      </c>
      <c r="U117" s="104">
        <v>0.8199</v>
      </c>
      <c r="V117" s="104">
        <v>0.8042</v>
      </c>
      <c r="W117" s="104">
        <v>0.7904</v>
      </c>
      <c r="X117" s="104">
        <v>0.7696</v>
      </c>
      <c r="Y117" s="104">
        <v>0.7974</v>
      </c>
      <c r="Z117" s="104">
        <v>0.8438</v>
      </c>
      <c r="AA117" s="104">
        <v>0.6628</v>
      </c>
      <c r="AB117" s="104">
        <v>0.6534</v>
      </c>
      <c r="AC117" s="104">
        <v>0.5038</v>
      </c>
      <c r="AD117" s="104">
        <v>0.7108</v>
      </c>
      <c r="AE117" s="104">
        <v>0.5897</v>
      </c>
      <c r="AF117" s="104">
        <v>0.7781</v>
      </c>
      <c r="AG117" s="104">
        <v>0.899</v>
      </c>
      <c r="AH117" s="104">
        <v>0.7496</v>
      </c>
      <c r="AI117" s="104">
        <v>0.8175</v>
      </c>
      <c r="AJ117" s="104">
        <v>0.8115</v>
      </c>
      <c r="AK117" s="104">
        <v>0.8561</v>
      </c>
      <c r="AL117" s="104">
        <v>0.9523</v>
      </c>
      <c r="AM117" s="104">
        <v>0.9016</v>
      </c>
      <c r="AN117" s="104">
        <v>0.9516</v>
      </c>
      <c r="AO117" s="64"/>
      <c r="AP117" s="64"/>
      <c r="AQ117" s="64"/>
    </row>
    <row r="118">
      <c r="A118" s="13"/>
      <c r="B118" s="13"/>
      <c r="C118" s="87">
        <v>3.0</v>
      </c>
      <c r="D118" s="104">
        <v>1.0</v>
      </c>
      <c r="E118" s="104">
        <v>1.0</v>
      </c>
      <c r="F118" s="104">
        <v>1.0</v>
      </c>
      <c r="G118" s="104">
        <v>0.7001</v>
      </c>
      <c r="H118" s="104">
        <v>0.9597</v>
      </c>
      <c r="I118" s="104">
        <v>0.6197</v>
      </c>
      <c r="J118" s="104">
        <v>0.9216</v>
      </c>
      <c r="K118" s="92">
        <v>1.0</v>
      </c>
      <c r="L118" s="104">
        <v>0.324140000000001</v>
      </c>
      <c r="M118" s="104">
        <v>0.8257</v>
      </c>
      <c r="N118" s="48">
        <f t="shared" si="2"/>
        <v>0.8264071368</v>
      </c>
      <c r="O118" s="48">
        <f t="shared" si="1"/>
        <v>82.61242094</v>
      </c>
      <c r="P118" s="104">
        <v>6988.619101</v>
      </c>
      <c r="Q118" s="104">
        <v>5.993452</v>
      </c>
      <c r="R118" s="104">
        <v>0.8192</v>
      </c>
      <c r="S118" s="104">
        <v>0.8172</v>
      </c>
      <c r="T118" s="104">
        <v>0.7789</v>
      </c>
      <c r="U118" s="104">
        <v>0.8273</v>
      </c>
      <c r="V118" s="104">
        <v>0.8172</v>
      </c>
      <c r="W118" s="104">
        <v>0.8192</v>
      </c>
      <c r="X118" s="104">
        <v>0.7952</v>
      </c>
      <c r="Y118" s="104">
        <v>0.8206</v>
      </c>
      <c r="Z118" s="104">
        <v>0.8525</v>
      </c>
      <c r="AA118" s="104">
        <v>0.696</v>
      </c>
      <c r="AB118" s="104">
        <v>0.6928</v>
      </c>
      <c r="AC118" s="104">
        <v>0.5906</v>
      </c>
      <c r="AD118" s="104">
        <v>0.6674</v>
      </c>
      <c r="AE118" s="104">
        <v>0.6267</v>
      </c>
      <c r="AF118" s="104">
        <v>0.7739</v>
      </c>
      <c r="AG118" s="104">
        <v>0.8882</v>
      </c>
      <c r="AH118" s="104">
        <v>0.8032</v>
      </c>
      <c r="AI118" s="104">
        <v>0.8436</v>
      </c>
      <c r="AJ118" s="104">
        <v>0.8286</v>
      </c>
      <c r="AK118" s="104">
        <v>0.8578</v>
      </c>
      <c r="AL118" s="104">
        <v>0.981</v>
      </c>
      <c r="AM118" s="104">
        <v>0.9153</v>
      </c>
      <c r="AN118" s="104">
        <v>0.9663</v>
      </c>
      <c r="AO118" s="64"/>
      <c r="AP118" s="64"/>
      <c r="AQ118" s="64"/>
    </row>
    <row r="119">
      <c r="A119" s="13"/>
      <c r="B119" s="16"/>
      <c r="C119" s="87">
        <v>4.0</v>
      </c>
      <c r="D119" s="104">
        <v>1.0</v>
      </c>
      <c r="E119" s="104">
        <v>1.0</v>
      </c>
      <c r="F119" s="104">
        <v>1.0</v>
      </c>
      <c r="G119" s="104">
        <v>0.668</v>
      </c>
      <c r="H119" s="104">
        <v>0.9676</v>
      </c>
      <c r="I119" s="104">
        <v>0.6493</v>
      </c>
      <c r="J119" s="104">
        <v>0.9188</v>
      </c>
      <c r="K119" s="92">
        <v>1.0</v>
      </c>
      <c r="L119" s="104">
        <v>0.324140000000001</v>
      </c>
      <c r="M119" s="104">
        <v>0.8265</v>
      </c>
      <c r="N119" s="48">
        <f t="shared" si="2"/>
        <v>0.8348461008</v>
      </c>
      <c r="O119" s="48">
        <f t="shared" si="1"/>
        <v>83.14975943</v>
      </c>
      <c r="P119" s="104">
        <v>6988.619101</v>
      </c>
      <c r="Q119" s="104">
        <v>5.865146</v>
      </c>
      <c r="R119" s="104">
        <v>0.8325</v>
      </c>
      <c r="S119" s="104">
        <v>0.8221</v>
      </c>
      <c r="T119" s="104">
        <v>0.7954</v>
      </c>
      <c r="U119" s="104">
        <v>0.8327</v>
      </c>
      <c r="V119" s="104">
        <v>0.8221</v>
      </c>
      <c r="W119" s="104">
        <v>0.8325</v>
      </c>
      <c r="X119" s="104">
        <v>0.8065</v>
      </c>
      <c r="Y119" s="104">
        <v>0.8308</v>
      </c>
      <c r="Z119" s="104">
        <v>0.8545</v>
      </c>
      <c r="AA119" s="104">
        <v>0.7128</v>
      </c>
      <c r="AB119" s="104">
        <v>0.711</v>
      </c>
      <c r="AC119" s="104">
        <v>0.6526</v>
      </c>
      <c r="AD119" s="104">
        <v>0.639</v>
      </c>
      <c r="AE119" s="104">
        <v>0.6457</v>
      </c>
      <c r="AF119" s="104">
        <v>0.7682</v>
      </c>
      <c r="AG119" s="104">
        <v>0.8814</v>
      </c>
      <c r="AH119" s="104">
        <v>0.829</v>
      </c>
      <c r="AI119" s="104">
        <v>0.8544</v>
      </c>
      <c r="AJ119" s="104">
        <v>0.8343</v>
      </c>
      <c r="AK119" s="104">
        <v>0.8522</v>
      </c>
      <c r="AL119" s="104">
        <v>0.9984</v>
      </c>
      <c r="AM119" s="104">
        <v>0.9195</v>
      </c>
      <c r="AN119" s="104">
        <v>0.9735</v>
      </c>
      <c r="AO119" s="64"/>
      <c r="AP119" s="64"/>
      <c r="AQ119" s="64"/>
    </row>
    <row r="120">
      <c r="A120" s="13"/>
      <c r="B120" s="91" t="s">
        <v>27</v>
      </c>
      <c r="C120" s="87">
        <v>1.0</v>
      </c>
      <c r="D120" s="104">
        <v>1.0</v>
      </c>
      <c r="E120" s="104">
        <v>1.0</v>
      </c>
      <c r="F120" s="104">
        <v>1.0</v>
      </c>
      <c r="G120" s="104">
        <v>0.5125</v>
      </c>
      <c r="H120" s="104">
        <v>0.9322</v>
      </c>
      <c r="I120" s="104">
        <v>0.6415</v>
      </c>
      <c r="J120" s="104">
        <v>0.8242</v>
      </c>
      <c r="K120" s="92">
        <v>1.0</v>
      </c>
      <c r="L120" s="104">
        <v>0.324140000000001</v>
      </c>
      <c r="M120" s="104">
        <v>0.7594</v>
      </c>
      <c r="N120" s="48">
        <f t="shared" si="2"/>
        <v>0.6762837287</v>
      </c>
      <c r="O120" s="48">
        <f t="shared" si="1"/>
        <v>70.83788731</v>
      </c>
      <c r="P120" s="104">
        <v>12206.299234</v>
      </c>
      <c r="Q120" s="104">
        <v>5.815935</v>
      </c>
      <c r="R120" s="104">
        <v>0.7058</v>
      </c>
      <c r="S120" s="104">
        <v>0.6164</v>
      </c>
      <c r="T120" s="104">
        <v>0.68</v>
      </c>
      <c r="U120" s="104">
        <v>0.7215</v>
      </c>
      <c r="V120" s="104">
        <v>0.6164</v>
      </c>
      <c r="W120" s="104">
        <v>0.7058</v>
      </c>
      <c r="X120" s="104">
        <v>0.6379</v>
      </c>
      <c r="Y120" s="104">
        <v>0.7057</v>
      </c>
      <c r="Z120" s="104">
        <v>0.6851</v>
      </c>
      <c r="AA120" s="104">
        <v>0.4612</v>
      </c>
      <c r="AB120" s="104">
        <v>0.4563</v>
      </c>
      <c r="AC120" s="104">
        <v>0.3832</v>
      </c>
      <c r="AD120" s="104">
        <v>0.4043</v>
      </c>
      <c r="AE120" s="104">
        <v>0.3935</v>
      </c>
      <c r="AF120" s="104">
        <v>0.5903</v>
      </c>
      <c r="AG120" s="104">
        <v>0.7479</v>
      </c>
      <c r="AH120" s="104">
        <v>0.8308</v>
      </c>
      <c r="AI120" s="104">
        <v>0.7871</v>
      </c>
      <c r="AJ120" s="104">
        <v>0.7016</v>
      </c>
      <c r="AK120" s="104">
        <v>0.909</v>
      </c>
      <c r="AL120" s="104">
        <v>0.6142</v>
      </c>
      <c r="AM120" s="104">
        <v>0.7331</v>
      </c>
      <c r="AN120" s="104">
        <v>0.7764</v>
      </c>
      <c r="AO120" s="49"/>
      <c r="AP120" s="49"/>
      <c r="AQ120" s="49"/>
    </row>
    <row r="121">
      <c r="A121" s="13"/>
      <c r="B121" s="13"/>
      <c r="C121" s="87">
        <v>2.0</v>
      </c>
      <c r="D121" s="104">
        <v>1.0</v>
      </c>
      <c r="E121" s="104">
        <v>1.0</v>
      </c>
      <c r="F121" s="104">
        <v>1.0</v>
      </c>
      <c r="G121" s="104">
        <v>0.5117</v>
      </c>
      <c r="H121" s="104">
        <v>0.9484</v>
      </c>
      <c r="I121" s="104">
        <v>0.7573</v>
      </c>
      <c r="J121" s="104">
        <v>0.8483</v>
      </c>
      <c r="K121" s="92">
        <v>1.0</v>
      </c>
      <c r="L121" s="104">
        <v>0.324140000000001</v>
      </c>
      <c r="M121" s="104">
        <v>0.7921</v>
      </c>
      <c r="N121" s="48">
        <f t="shared" si="2"/>
        <v>0.763599458</v>
      </c>
      <c r="O121" s="48">
        <f t="shared" si="1"/>
        <v>77.48745054</v>
      </c>
      <c r="P121" s="104">
        <v>12206.299234</v>
      </c>
      <c r="Q121" s="104">
        <v>6.186131</v>
      </c>
      <c r="R121" s="104">
        <v>0.79</v>
      </c>
      <c r="S121" s="104">
        <v>0.7128</v>
      </c>
      <c r="T121" s="104">
        <v>0.7637</v>
      </c>
      <c r="U121" s="104">
        <v>0.7852</v>
      </c>
      <c r="V121" s="104">
        <v>0.7128</v>
      </c>
      <c r="W121" s="104">
        <v>0.79</v>
      </c>
      <c r="X121" s="104">
        <v>0.7334</v>
      </c>
      <c r="Y121" s="104">
        <v>0.7838</v>
      </c>
      <c r="Z121" s="104">
        <v>0.7623</v>
      </c>
      <c r="AA121" s="104">
        <v>0.6154</v>
      </c>
      <c r="AB121" s="104">
        <v>0.6104</v>
      </c>
      <c r="AC121" s="104">
        <v>0.5897</v>
      </c>
      <c r="AD121" s="104">
        <v>0.4574</v>
      </c>
      <c r="AE121" s="104">
        <v>0.5152</v>
      </c>
      <c r="AF121" s="104">
        <v>0.6531</v>
      </c>
      <c r="AG121" s="104">
        <v>0.7948</v>
      </c>
      <c r="AH121" s="104">
        <v>0.8868</v>
      </c>
      <c r="AI121" s="104">
        <v>0.8383</v>
      </c>
      <c r="AJ121" s="104">
        <v>0.7707</v>
      </c>
      <c r="AK121" s="104">
        <v>0.9066</v>
      </c>
      <c r="AL121" s="104">
        <v>0.7941</v>
      </c>
      <c r="AM121" s="104">
        <v>0.8466</v>
      </c>
      <c r="AN121" s="104">
        <v>0.8799</v>
      </c>
      <c r="AO121" s="49"/>
      <c r="AP121" s="49"/>
      <c r="AQ121" s="49"/>
    </row>
    <row r="122">
      <c r="A122" s="13"/>
      <c r="B122" s="13"/>
      <c r="C122" s="87">
        <v>3.0</v>
      </c>
      <c r="D122" s="104">
        <v>1.0</v>
      </c>
      <c r="E122" s="104">
        <v>1.0</v>
      </c>
      <c r="F122" s="104">
        <v>1.0</v>
      </c>
      <c r="G122" s="104">
        <v>0.4913</v>
      </c>
      <c r="H122" s="104">
        <v>0.9325</v>
      </c>
      <c r="I122" s="104">
        <v>0.7871</v>
      </c>
      <c r="J122" s="104">
        <v>0.8399</v>
      </c>
      <c r="K122" s="92">
        <v>1.0</v>
      </c>
      <c r="L122" s="104">
        <v>0.324140000000001</v>
      </c>
      <c r="M122" s="104">
        <v>0.7875</v>
      </c>
      <c r="N122" s="48">
        <f t="shared" si="2"/>
        <v>0.7973502188</v>
      </c>
      <c r="O122" s="48">
        <f t="shared" si="1"/>
        <v>79.33954319</v>
      </c>
      <c r="P122" s="104">
        <v>12206.299234</v>
      </c>
      <c r="Q122" s="104">
        <v>6.3742</v>
      </c>
      <c r="R122" s="104">
        <v>0.822</v>
      </c>
      <c r="S122" s="104">
        <v>0.7473</v>
      </c>
      <c r="T122" s="104">
        <v>0.8219</v>
      </c>
      <c r="U122" s="104">
        <v>0.8207</v>
      </c>
      <c r="V122" s="104">
        <v>0.7473</v>
      </c>
      <c r="W122" s="104">
        <v>0.822</v>
      </c>
      <c r="X122" s="104">
        <v>0.7747</v>
      </c>
      <c r="Y122" s="104">
        <v>0.8143</v>
      </c>
      <c r="Z122" s="104">
        <v>0.7907</v>
      </c>
      <c r="AA122" s="104">
        <v>0.6755</v>
      </c>
      <c r="AB122" s="104">
        <v>0.6668</v>
      </c>
      <c r="AC122" s="104">
        <v>0.745</v>
      </c>
      <c r="AD122" s="104">
        <v>0.5033</v>
      </c>
      <c r="AE122" s="104">
        <v>0.6007</v>
      </c>
      <c r="AF122" s="104">
        <v>0.6957</v>
      </c>
      <c r="AG122" s="104">
        <v>0.8086</v>
      </c>
      <c r="AH122" s="104">
        <v>0.9221</v>
      </c>
      <c r="AI122" s="104">
        <v>0.8616</v>
      </c>
      <c r="AJ122" s="104">
        <v>0.7955</v>
      </c>
      <c r="AK122" s="104">
        <v>0.912</v>
      </c>
      <c r="AL122" s="104">
        <v>0.8167</v>
      </c>
      <c r="AM122" s="104">
        <v>0.8617</v>
      </c>
      <c r="AN122" s="104">
        <v>0.8931</v>
      </c>
      <c r="AO122" s="49"/>
      <c r="AP122" s="49"/>
      <c r="AQ122" s="49"/>
    </row>
    <row r="123">
      <c r="A123" s="16"/>
      <c r="B123" s="16"/>
      <c r="C123" s="87">
        <v>4.0</v>
      </c>
      <c r="D123" s="104">
        <v>1.0</v>
      </c>
      <c r="E123" s="104">
        <v>1.0</v>
      </c>
      <c r="F123" s="104">
        <v>1.0</v>
      </c>
      <c r="G123" s="104">
        <v>0.4741</v>
      </c>
      <c r="H123" s="104">
        <v>0.9193</v>
      </c>
      <c r="I123" s="104">
        <v>0.7972</v>
      </c>
      <c r="J123" s="104">
        <v>0.8322</v>
      </c>
      <c r="K123" s="92">
        <v>1.0</v>
      </c>
      <c r="L123" s="104">
        <v>0.324140000000001</v>
      </c>
      <c r="M123" s="104">
        <v>0.7802</v>
      </c>
      <c r="N123" s="48">
        <f t="shared" si="2"/>
        <v>0.8090248398</v>
      </c>
      <c r="O123" s="48">
        <f t="shared" si="1"/>
        <v>79.7369266</v>
      </c>
      <c r="P123" s="104">
        <v>12206.299234</v>
      </c>
      <c r="Q123" s="104">
        <v>6.510779</v>
      </c>
      <c r="R123" s="104">
        <v>0.8344</v>
      </c>
      <c r="S123" s="104">
        <v>0.7572</v>
      </c>
      <c r="T123" s="104">
        <v>0.8525</v>
      </c>
      <c r="U123" s="104">
        <v>0.8382</v>
      </c>
      <c r="V123" s="104">
        <v>0.7572</v>
      </c>
      <c r="W123" s="104">
        <v>0.8344</v>
      </c>
      <c r="X123" s="104">
        <v>0.7891</v>
      </c>
      <c r="Y123" s="104">
        <v>0.8256</v>
      </c>
      <c r="Z123" s="104">
        <v>0.7968</v>
      </c>
      <c r="AA123" s="104">
        <v>0.6996</v>
      </c>
      <c r="AB123" s="104">
        <v>0.6874</v>
      </c>
      <c r="AC123" s="104">
        <v>0.8304</v>
      </c>
      <c r="AD123" s="104">
        <v>0.5028</v>
      </c>
      <c r="AE123" s="104">
        <v>0.6264</v>
      </c>
      <c r="AF123" s="104">
        <v>0.7009</v>
      </c>
      <c r="AG123" s="104">
        <v>0.8104</v>
      </c>
      <c r="AH123" s="104">
        <v>0.9398</v>
      </c>
      <c r="AI123" s="104">
        <v>0.8703</v>
      </c>
      <c r="AJ123" s="104">
        <v>0.8017</v>
      </c>
      <c r="AK123" s="104">
        <v>0.9168</v>
      </c>
      <c r="AL123" s="104">
        <v>0.8289</v>
      </c>
      <c r="AM123" s="104">
        <v>0.8706</v>
      </c>
      <c r="AN123" s="104">
        <v>0.9004</v>
      </c>
      <c r="AO123" s="49"/>
      <c r="AP123" s="49"/>
      <c r="AQ123" s="49"/>
    </row>
    <row r="124">
      <c r="A124" s="96" t="s">
        <v>102</v>
      </c>
      <c r="B124" s="97" t="s">
        <v>111</v>
      </c>
      <c r="C124" s="98">
        <v>1.0</v>
      </c>
      <c r="D124" s="99">
        <v>1.0</v>
      </c>
      <c r="E124" s="99">
        <v>1.0</v>
      </c>
      <c r="F124" s="99">
        <v>1.0</v>
      </c>
      <c r="G124" s="99">
        <v>0.863</v>
      </c>
      <c r="H124" s="99">
        <v>0.8164</v>
      </c>
      <c r="I124" s="99">
        <v>0.0</v>
      </c>
      <c r="J124" s="99">
        <v>0.8243</v>
      </c>
      <c r="K124" s="100">
        <v>1.0</v>
      </c>
      <c r="L124" s="99">
        <v>0.324140000000001</v>
      </c>
      <c r="M124" s="99">
        <v>0.0269</v>
      </c>
      <c r="N124" s="57">
        <f t="shared" si="2"/>
        <v>0.8057911963</v>
      </c>
      <c r="O124" s="57">
        <f t="shared" si="1"/>
        <v>20.68399494</v>
      </c>
      <c r="P124" s="99">
        <v>29.780213</v>
      </c>
      <c r="Q124" s="99">
        <v>1.170928</v>
      </c>
      <c r="R124" s="99">
        <v>0.7664</v>
      </c>
      <c r="S124" s="99">
        <v>0.8113</v>
      </c>
      <c r="T124" s="99">
        <v>0.8094</v>
      </c>
      <c r="U124" s="99">
        <v>0.8999</v>
      </c>
      <c r="V124" s="99">
        <v>0.8113</v>
      </c>
      <c r="W124" s="99">
        <v>0.7664</v>
      </c>
      <c r="X124" s="99">
        <v>0.7567</v>
      </c>
      <c r="Y124" s="99">
        <v>0.7939</v>
      </c>
      <c r="Z124" s="99">
        <v>0.8467</v>
      </c>
      <c r="AA124" s="99">
        <v>0.6812</v>
      </c>
      <c r="AB124" s="99">
        <v>0.6339</v>
      </c>
      <c r="AC124" s="99">
        <v>0.4283</v>
      </c>
      <c r="AD124" s="99">
        <v>1.0</v>
      </c>
      <c r="AE124" s="99">
        <v>0.5997</v>
      </c>
      <c r="AF124" s="99">
        <v>0.8466</v>
      </c>
      <c r="AG124" s="99">
        <v>1.0</v>
      </c>
      <c r="AH124" s="99">
        <v>0.7166</v>
      </c>
      <c r="AI124" s="99">
        <v>0.8349</v>
      </c>
      <c r="AJ124" s="99">
        <v>0.8465</v>
      </c>
      <c r="AK124" s="99">
        <v>1.0</v>
      </c>
      <c r="AL124" s="99">
        <v>0.7173</v>
      </c>
      <c r="AM124" s="99">
        <v>0.8354</v>
      </c>
      <c r="AN124" s="99">
        <v>0.847</v>
      </c>
      <c r="AO124" s="58"/>
      <c r="AP124" s="58"/>
      <c r="AQ124" s="58"/>
    </row>
    <row r="125">
      <c r="A125" s="13"/>
      <c r="B125" s="13"/>
      <c r="C125" s="98">
        <v>2.0</v>
      </c>
      <c r="D125" s="99">
        <v>1.0</v>
      </c>
      <c r="E125" s="99">
        <v>1.0</v>
      </c>
      <c r="F125" s="99">
        <v>1.0</v>
      </c>
      <c r="G125" s="99">
        <v>0.7051</v>
      </c>
      <c r="H125" s="99">
        <v>0.9372</v>
      </c>
      <c r="I125" s="99">
        <v>0.0</v>
      </c>
      <c r="J125" s="99">
        <v>0.9445</v>
      </c>
      <c r="K125" s="100">
        <v>1.0</v>
      </c>
      <c r="L125" s="99">
        <v>0.324140000000001</v>
      </c>
      <c r="M125" s="99">
        <v>0.0252</v>
      </c>
      <c r="N125" s="57">
        <f t="shared" si="2"/>
        <v>0.9374562164</v>
      </c>
      <c r="O125" s="57">
        <f t="shared" si="1"/>
        <v>22.06636575</v>
      </c>
      <c r="P125" s="99">
        <v>29.780213</v>
      </c>
      <c r="Q125" s="99">
        <v>1.301203</v>
      </c>
      <c r="R125" s="99">
        <v>0.9284</v>
      </c>
      <c r="S125" s="99">
        <v>0.9502</v>
      </c>
      <c r="T125" s="99">
        <v>0.9031</v>
      </c>
      <c r="U125" s="99">
        <v>0.9492</v>
      </c>
      <c r="V125" s="99">
        <v>0.9502</v>
      </c>
      <c r="W125" s="99">
        <v>0.9284</v>
      </c>
      <c r="X125" s="99">
        <v>0.9173</v>
      </c>
      <c r="Y125" s="99">
        <v>0.9327</v>
      </c>
      <c r="Z125" s="99">
        <v>0.9597</v>
      </c>
      <c r="AA125" s="99">
        <v>0.8863</v>
      </c>
      <c r="AB125" s="99">
        <v>0.879</v>
      </c>
      <c r="AC125" s="99">
        <v>0.7094</v>
      </c>
      <c r="AD125" s="99">
        <v>1.0</v>
      </c>
      <c r="AE125" s="99">
        <v>0.83</v>
      </c>
      <c r="AF125" s="99">
        <v>0.9557</v>
      </c>
      <c r="AG125" s="99">
        <v>1.0</v>
      </c>
      <c r="AH125" s="99">
        <v>0.8974</v>
      </c>
      <c r="AI125" s="99">
        <v>0.9459</v>
      </c>
      <c r="AJ125" s="99">
        <v>0.9473</v>
      </c>
      <c r="AK125" s="99">
        <v>1.0</v>
      </c>
      <c r="AL125" s="99">
        <v>0.9533</v>
      </c>
      <c r="AM125" s="99">
        <v>0.9761</v>
      </c>
      <c r="AN125" s="99">
        <v>0.9764</v>
      </c>
      <c r="AO125" s="58"/>
      <c r="AP125" s="58"/>
      <c r="AQ125" s="58"/>
    </row>
    <row r="126">
      <c r="A126" s="13"/>
      <c r="B126" s="13"/>
      <c r="C126" s="98">
        <v>3.0</v>
      </c>
      <c r="D126" s="99">
        <v>1.0</v>
      </c>
      <c r="E126" s="99">
        <v>1.0</v>
      </c>
      <c r="F126" s="99">
        <v>1.0</v>
      </c>
      <c r="G126" s="99">
        <v>0.6469</v>
      </c>
      <c r="H126" s="99">
        <v>0.9775</v>
      </c>
      <c r="I126" s="99">
        <v>0.0</v>
      </c>
      <c r="J126" s="99">
        <v>0.9795</v>
      </c>
      <c r="K126" s="100">
        <v>1.0</v>
      </c>
      <c r="L126" s="99">
        <v>0.324140000000001</v>
      </c>
      <c r="M126" s="99">
        <v>0.0246</v>
      </c>
      <c r="N126" s="57">
        <f t="shared" si="2"/>
        <v>0.9772135785</v>
      </c>
      <c r="O126" s="57">
        <f t="shared" si="1"/>
        <v>22.40617577</v>
      </c>
      <c r="P126" s="99">
        <v>29.780213</v>
      </c>
      <c r="Q126" s="99">
        <v>1.364733</v>
      </c>
      <c r="R126" s="99">
        <v>0.975</v>
      </c>
      <c r="S126" s="99">
        <v>0.9823</v>
      </c>
      <c r="T126" s="99">
        <v>0.9596</v>
      </c>
      <c r="U126" s="99">
        <v>0.978</v>
      </c>
      <c r="V126" s="99">
        <v>0.9823</v>
      </c>
      <c r="W126" s="99">
        <v>0.975</v>
      </c>
      <c r="X126" s="99">
        <v>0.9695</v>
      </c>
      <c r="Y126" s="99">
        <v>0.9756</v>
      </c>
      <c r="Z126" s="99">
        <v>0.9859</v>
      </c>
      <c r="AA126" s="99">
        <v>0.9576</v>
      </c>
      <c r="AB126" s="99">
        <v>0.9566</v>
      </c>
      <c r="AC126" s="99">
        <v>0.879</v>
      </c>
      <c r="AD126" s="99">
        <v>1.0</v>
      </c>
      <c r="AE126" s="99">
        <v>0.9356</v>
      </c>
      <c r="AF126" s="99">
        <v>0.9846</v>
      </c>
      <c r="AG126" s="99">
        <v>1.0</v>
      </c>
      <c r="AH126" s="99">
        <v>0.9645</v>
      </c>
      <c r="AI126" s="99">
        <v>0.9819</v>
      </c>
      <c r="AJ126" s="99">
        <v>0.9821</v>
      </c>
      <c r="AK126" s="99">
        <v>1.0</v>
      </c>
      <c r="AL126" s="99">
        <v>0.9823</v>
      </c>
      <c r="AM126" s="99">
        <v>0.9911</v>
      </c>
      <c r="AN126" s="99">
        <v>0.9911</v>
      </c>
      <c r="AO126" s="58"/>
      <c r="AP126" s="58"/>
      <c r="AQ126" s="58"/>
    </row>
    <row r="127">
      <c r="A127" s="13"/>
      <c r="B127" s="16"/>
      <c r="C127" s="98">
        <v>4.0</v>
      </c>
      <c r="D127" s="99">
        <v>1.0</v>
      </c>
      <c r="E127" s="99">
        <v>1.0</v>
      </c>
      <c r="F127" s="99">
        <v>1.0</v>
      </c>
      <c r="G127" s="99">
        <v>0.7051</v>
      </c>
      <c r="H127" s="99">
        <v>0.9372</v>
      </c>
      <c r="I127" s="99">
        <v>0.0</v>
      </c>
      <c r="J127" s="99">
        <v>0.9445</v>
      </c>
      <c r="K127" s="100">
        <v>1.0</v>
      </c>
      <c r="L127" s="99">
        <v>0.324140000000001</v>
      </c>
      <c r="M127" s="99">
        <v>0.0252</v>
      </c>
      <c r="N127" s="57">
        <f t="shared" si="2"/>
        <v>0.9374562164</v>
      </c>
      <c r="O127" s="57">
        <f t="shared" si="1"/>
        <v>22.06636575</v>
      </c>
      <c r="P127" s="99">
        <v>29.780213</v>
      </c>
      <c r="Q127" s="99">
        <v>1.301203</v>
      </c>
      <c r="R127" s="99">
        <v>0.9284</v>
      </c>
      <c r="S127" s="99">
        <v>0.9502</v>
      </c>
      <c r="T127" s="99">
        <v>0.9031</v>
      </c>
      <c r="U127" s="99">
        <v>0.9492</v>
      </c>
      <c r="V127" s="99">
        <v>0.9502</v>
      </c>
      <c r="W127" s="99">
        <v>0.9284</v>
      </c>
      <c r="X127" s="99">
        <v>0.9173</v>
      </c>
      <c r="Y127" s="99">
        <v>0.9327</v>
      </c>
      <c r="Z127" s="99">
        <v>0.9597</v>
      </c>
      <c r="AA127" s="99">
        <v>0.8863</v>
      </c>
      <c r="AB127" s="99">
        <v>0.879</v>
      </c>
      <c r="AC127" s="99">
        <v>0.7094</v>
      </c>
      <c r="AD127" s="99">
        <v>1.0</v>
      </c>
      <c r="AE127" s="99">
        <v>0.83</v>
      </c>
      <c r="AF127" s="99">
        <v>0.9557</v>
      </c>
      <c r="AG127" s="99">
        <v>1.0</v>
      </c>
      <c r="AH127" s="99">
        <v>0.8974</v>
      </c>
      <c r="AI127" s="99">
        <v>0.9459</v>
      </c>
      <c r="AJ127" s="99">
        <v>0.9473</v>
      </c>
      <c r="AK127" s="99">
        <v>1.0</v>
      </c>
      <c r="AL127" s="99">
        <v>0.9533</v>
      </c>
      <c r="AM127" s="99">
        <v>0.9761</v>
      </c>
      <c r="AN127" s="99">
        <v>0.9764</v>
      </c>
      <c r="AO127" s="58"/>
      <c r="AP127" s="58"/>
      <c r="AQ127" s="58"/>
    </row>
    <row r="128">
      <c r="A128" s="13"/>
      <c r="B128" s="97" t="s">
        <v>23</v>
      </c>
      <c r="C128" s="98">
        <v>1.0</v>
      </c>
      <c r="D128" s="99">
        <v>1.0</v>
      </c>
      <c r="E128" s="99">
        <v>1.0</v>
      </c>
      <c r="F128" s="99">
        <v>1.0</v>
      </c>
      <c r="G128" s="99">
        <v>0.6815</v>
      </c>
      <c r="H128" s="99">
        <v>0.8994</v>
      </c>
      <c r="I128" s="99">
        <v>0.0058</v>
      </c>
      <c r="J128" s="99">
        <v>0.908</v>
      </c>
      <c r="K128" s="100">
        <v>1.0</v>
      </c>
      <c r="L128" s="99">
        <v>0.324140000000001</v>
      </c>
      <c r="M128" s="99">
        <v>0.317</v>
      </c>
      <c r="N128" s="57">
        <f t="shared" si="2"/>
        <v>0.7958442092</v>
      </c>
      <c r="O128" s="57">
        <f t="shared" si="1"/>
        <v>55.07069295</v>
      </c>
      <c r="P128" s="99">
        <v>45.817774</v>
      </c>
      <c r="Q128" s="99">
        <v>0.565589</v>
      </c>
      <c r="R128" s="99">
        <v>0.7912</v>
      </c>
      <c r="S128" s="99">
        <v>0.7742</v>
      </c>
      <c r="T128" s="99">
        <v>0.7898</v>
      </c>
      <c r="U128" s="99">
        <v>0.8452</v>
      </c>
      <c r="V128" s="99">
        <v>0.7742</v>
      </c>
      <c r="W128" s="99">
        <v>0.7912</v>
      </c>
      <c r="X128" s="99">
        <v>0.7613</v>
      </c>
      <c r="Y128" s="99">
        <v>0.8054</v>
      </c>
      <c r="Z128" s="99">
        <v>0.8286</v>
      </c>
      <c r="AA128" s="99">
        <v>0.6554</v>
      </c>
      <c r="AB128" s="99">
        <v>0.6446</v>
      </c>
      <c r="AC128" s="99">
        <v>0.4761</v>
      </c>
      <c r="AD128" s="99">
        <v>0.7825</v>
      </c>
      <c r="AE128" s="99">
        <v>0.592</v>
      </c>
      <c r="AF128" s="99">
        <v>0.7997</v>
      </c>
      <c r="AG128" s="99">
        <v>0.8934</v>
      </c>
      <c r="AH128" s="99">
        <v>0.8227</v>
      </c>
      <c r="AI128" s="99">
        <v>0.8566</v>
      </c>
      <c r="AJ128" s="99">
        <v>0.8398</v>
      </c>
      <c r="AK128" s="99">
        <v>1.0</v>
      </c>
      <c r="AL128" s="99">
        <v>0.7173</v>
      </c>
      <c r="AM128" s="99">
        <v>0.8354</v>
      </c>
      <c r="AN128" s="99">
        <v>0.847</v>
      </c>
      <c r="AO128" s="58"/>
      <c r="AP128" s="58"/>
      <c r="AQ128" s="58"/>
    </row>
    <row r="129">
      <c r="A129" s="13"/>
      <c r="B129" s="13"/>
      <c r="C129" s="98">
        <v>2.0</v>
      </c>
      <c r="D129" s="99">
        <v>1.0</v>
      </c>
      <c r="E129" s="99">
        <v>1.0</v>
      </c>
      <c r="F129" s="99">
        <v>1.0</v>
      </c>
      <c r="G129" s="99">
        <v>0.6303</v>
      </c>
      <c r="H129" s="99">
        <v>0.9798</v>
      </c>
      <c r="I129" s="99">
        <v>0.0</v>
      </c>
      <c r="J129" s="99">
        <v>0.9886</v>
      </c>
      <c r="K129" s="100">
        <v>1.0</v>
      </c>
      <c r="L129" s="99">
        <v>0.324140000000001</v>
      </c>
      <c r="M129" s="99">
        <v>0.0091</v>
      </c>
      <c r="N129" s="57">
        <f t="shared" si="2"/>
        <v>0.9322706763</v>
      </c>
      <c r="O129" s="57">
        <f t="shared" si="1"/>
        <v>14.63328299</v>
      </c>
      <c r="P129" s="99">
        <v>45.817774</v>
      </c>
      <c r="Q129" s="99">
        <v>0.671961</v>
      </c>
      <c r="R129" s="99">
        <v>0.9338</v>
      </c>
      <c r="S129" s="99">
        <v>0.9259</v>
      </c>
      <c r="T129" s="99">
        <v>0.9148</v>
      </c>
      <c r="U129" s="99">
        <v>0.9379</v>
      </c>
      <c r="V129" s="99">
        <v>0.9259</v>
      </c>
      <c r="W129" s="99">
        <v>0.9338</v>
      </c>
      <c r="X129" s="99">
        <v>0.9192</v>
      </c>
      <c r="Y129" s="99">
        <v>0.9352</v>
      </c>
      <c r="Z129" s="99">
        <v>0.944</v>
      </c>
      <c r="AA129" s="99">
        <v>0.8845</v>
      </c>
      <c r="AB129" s="99">
        <v>0.8839</v>
      </c>
      <c r="AC129" s="99">
        <v>0.7861</v>
      </c>
      <c r="AD129" s="99">
        <v>0.8835</v>
      </c>
      <c r="AE129" s="99">
        <v>0.832</v>
      </c>
      <c r="AF129" s="99">
        <v>0.9157</v>
      </c>
      <c r="AG129" s="99">
        <v>0.9582</v>
      </c>
      <c r="AH129" s="99">
        <v>0.9409</v>
      </c>
      <c r="AI129" s="99">
        <v>0.9495</v>
      </c>
      <c r="AJ129" s="99">
        <v>0.9409</v>
      </c>
      <c r="AK129" s="99">
        <v>1.0</v>
      </c>
      <c r="AL129" s="99">
        <v>0.9533</v>
      </c>
      <c r="AM129" s="99">
        <v>0.9761</v>
      </c>
      <c r="AN129" s="99">
        <v>0.9764</v>
      </c>
      <c r="AO129" s="58"/>
      <c r="AP129" s="58"/>
      <c r="AQ129" s="58"/>
    </row>
    <row r="130">
      <c r="A130" s="13"/>
      <c r="B130" s="13"/>
      <c r="C130" s="98">
        <v>3.0</v>
      </c>
      <c r="D130" s="99">
        <v>1.0</v>
      </c>
      <c r="E130" s="99">
        <v>1.0</v>
      </c>
      <c r="F130" s="99">
        <v>1.0</v>
      </c>
      <c r="G130" s="99">
        <v>0.6281</v>
      </c>
      <c r="H130" s="99">
        <v>0.9887</v>
      </c>
      <c r="I130" s="99">
        <v>0.0</v>
      </c>
      <c r="J130" s="99">
        <v>0.9909</v>
      </c>
      <c r="K130" s="100">
        <v>1.0</v>
      </c>
      <c r="L130" s="99">
        <v>0.324140000000001</v>
      </c>
      <c r="M130" s="99">
        <v>0.0091</v>
      </c>
      <c r="N130" s="57">
        <f t="shared" si="2"/>
        <v>0.9748931893</v>
      </c>
      <c r="O130" s="57">
        <f t="shared" si="1"/>
        <v>15.03110051</v>
      </c>
      <c r="P130" s="99">
        <v>45.817774</v>
      </c>
      <c r="Q130" s="99">
        <v>0.698589</v>
      </c>
      <c r="R130" s="99">
        <v>0.9748</v>
      </c>
      <c r="S130" s="99">
        <v>0.9745</v>
      </c>
      <c r="T130" s="99">
        <v>0.9644</v>
      </c>
      <c r="U130" s="99">
        <v>0.9759</v>
      </c>
      <c r="V130" s="99">
        <v>0.9745</v>
      </c>
      <c r="W130" s="99">
        <v>0.9748</v>
      </c>
      <c r="X130" s="99">
        <v>0.9691</v>
      </c>
      <c r="Y130" s="99">
        <v>0.9751</v>
      </c>
      <c r="Z130" s="99">
        <v>0.9807</v>
      </c>
      <c r="AA130" s="99">
        <v>0.9561</v>
      </c>
      <c r="AB130" s="99">
        <v>0.9559</v>
      </c>
      <c r="AC130" s="99">
        <v>0.9046</v>
      </c>
      <c r="AD130" s="99">
        <v>0.9669</v>
      </c>
      <c r="AE130" s="99">
        <v>0.9347</v>
      </c>
      <c r="AF130" s="99">
        <v>0.9721</v>
      </c>
      <c r="AG130" s="99">
        <v>0.9885</v>
      </c>
      <c r="AH130" s="99">
        <v>0.9744</v>
      </c>
      <c r="AI130" s="99">
        <v>0.9814</v>
      </c>
      <c r="AJ130" s="99">
        <v>0.979</v>
      </c>
      <c r="AK130" s="99">
        <v>1.0</v>
      </c>
      <c r="AL130" s="99">
        <v>0.9823</v>
      </c>
      <c r="AM130" s="99">
        <v>0.9911</v>
      </c>
      <c r="AN130" s="99">
        <v>0.9911</v>
      </c>
      <c r="AO130" s="58"/>
      <c r="AP130" s="58"/>
      <c r="AQ130" s="58"/>
    </row>
    <row r="131">
      <c r="A131" s="13"/>
      <c r="B131" s="16"/>
      <c r="C131" s="98">
        <v>4.0</v>
      </c>
      <c r="D131" s="99">
        <v>1.0</v>
      </c>
      <c r="E131" s="99">
        <v>1.0</v>
      </c>
      <c r="F131" s="99">
        <v>1.0</v>
      </c>
      <c r="G131" s="99">
        <v>0.6303</v>
      </c>
      <c r="H131" s="99">
        <v>0.9798</v>
      </c>
      <c r="I131" s="99">
        <v>0.0</v>
      </c>
      <c r="J131" s="99">
        <v>0.9886</v>
      </c>
      <c r="K131" s="100">
        <v>1.0</v>
      </c>
      <c r="L131" s="99">
        <v>0.324140000000001</v>
      </c>
      <c r="M131" s="99">
        <v>0.0091</v>
      </c>
      <c r="N131" s="57">
        <f t="shared" si="2"/>
        <v>0.9322706763</v>
      </c>
      <c r="O131" s="57">
        <f t="shared" si="1"/>
        <v>14.63328299</v>
      </c>
      <c r="P131" s="99">
        <v>45.817774</v>
      </c>
      <c r="Q131" s="99">
        <v>0.671961</v>
      </c>
      <c r="R131" s="99">
        <v>0.9338</v>
      </c>
      <c r="S131" s="99">
        <v>0.9259</v>
      </c>
      <c r="T131" s="99">
        <v>0.9148</v>
      </c>
      <c r="U131" s="99">
        <v>0.9379</v>
      </c>
      <c r="V131" s="99">
        <v>0.9259</v>
      </c>
      <c r="W131" s="99">
        <v>0.9338</v>
      </c>
      <c r="X131" s="99">
        <v>0.9192</v>
      </c>
      <c r="Y131" s="99">
        <v>0.9352</v>
      </c>
      <c r="Z131" s="99">
        <v>0.944</v>
      </c>
      <c r="AA131" s="99">
        <v>0.8845</v>
      </c>
      <c r="AB131" s="99">
        <v>0.8839</v>
      </c>
      <c r="AC131" s="99">
        <v>0.7861</v>
      </c>
      <c r="AD131" s="99">
        <v>0.8835</v>
      </c>
      <c r="AE131" s="99">
        <v>0.832</v>
      </c>
      <c r="AF131" s="99">
        <v>0.9157</v>
      </c>
      <c r="AG131" s="99">
        <v>0.9582</v>
      </c>
      <c r="AH131" s="99">
        <v>0.9409</v>
      </c>
      <c r="AI131" s="99">
        <v>0.9495</v>
      </c>
      <c r="AJ131" s="99">
        <v>0.9409</v>
      </c>
      <c r="AK131" s="99">
        <v>1.0</v>
      </c>
      <c r="AL131" s="99">
        <v>0.9533</v>
      </c>
      <c r="AM131" s="99">
        <v>0.9761</v>
      </c>
      <c r="AN131" s="99">
        <v>0.9764</v>
      </c>
      <c r="AO131" s="58"/>
      <c r="AP131" s="58"/>
      <c r="AQ131" s="58"/>
    </row>
    <row r="132">
      <c r="A132" s="13"/>
      <c r="B132" s="97" t="s">
        <v>24</v>
      </c>
      <c r="C132" s="98">
        <v>1.0</v>
      </c>
      <c r="D132" s="105">
        <v>1.0</v>
      </c>
      <c r="E132" s="105">
        <v>1.0</v>
      </c>
      <c r="F132" s="105">
        <v>1.0</v>
      </c>
      <c r="G132" s="105">
        <v>0.3721</v>
      </c>
      <c r="H132" s="105">
        <v>0.7943</v>
      </c>
      <c r="I132" s="105">
        <v>0.8383</v>
      </c>
      <c r="J132" s="105">
        <v>0.7942</v>
      </c>
      <c r="K132" s="100">
        <v>1.0</v>
      </c>
      <c r="L132" s="99">
        <v>0.324140000000001</v>
      </c>
      <c r="M132" s="105">
        <v>0.6319</v>
      </c>
      <c r="N132" s="57">
        <f t="shared" si="2"/>
        <v>0.5270746534</v>
      </c>
      <c r="O132" s="57">
        <f t="shared" si="1"/>
        <v>56.67383758</v>
      </c>
      <c r="P132" s="99">
        <v>5751.784771</v>
      </c>
      <c r="Q132" s="99">
        <v>5.075396</v>
      </c>
      <c r="R132" s="105">
        <v>0.6138</v>
      </c>
      <c r="S132" s="105">
        <v>0.4572</v>
      </c>
      <c r="T132" s="105">
        <v>0.5688</v>
      </c>
      <c r="U132" s="105">
        <v>0.6015</v>
      </c>
      <c r="V132" s="105">
        <v>0.4572</v>
      </c>
      <c r="W132" s="105">
        <v>0.6138</v>
      </c>
      <c r="X132" s="105">
        <v>0.4404</v>
      </c>
      <c r="Y132" s="105">
        <v>0.5632</v>
      </c>
      <c r="Z132" s="105">
        <v>0.4478</v>
      </c>
      <c r="AA132" s="105">
        <v>0.247</v>
      </c>
      <c r="AB132" s="105">
        <v>0.2295</v>
      </c>
      <c r="AC132" s="105">
        <v>0.5841</v>
      </c>
      <c r="AD132" s="105">
        <v>0.0656</v>
      </c>
      <c r="AE132" s="105">
        <v>0.1179</v>
      </c>
      <c r="AF132" s="105">
        <v>0.2547</v>
      </c>
      <c r="AG132" s="105">
        <v>0.6606</v>
      </c>
      <c r="AH132" s="105">
        <v>0.8422</v>
      </c>
      <c r="AI132" s="105">
        <v>0.7404</v>
      </c>
      <c r="AJ132" s="105">
        <v>0.5642</v>
      </c>
      <c r="AK132" s="105">
        <v>0.4619</v>
      </c>
      <c r="AL132" s="105">
        <v>0.4638</v>
      </c>
      <c r="AM132" s="105">
        <v>0.4629</v>
      </c>
      <c r="AN132" s="105">
        <v>0.6248</v>
      </c>
      <c r="AO132" s="58"/>
      <c r="AP132" s="58"/>
      <c r="AQ132" s="58"/>
    </row>
    <row r="133">
      <c r="A133" s="13"/>
      <c r="B133" s="13"/>
      <c r="C133" s="98">
        <v>2.0</v>
      </c>
      <c r="D133" s="105">
        <v>1.0</v>
      </c>
      <c r="E133" s="105">
        <v>1.0</v>
      </c>
      <c r="F133" s="105">
        <v>1.0</v>
      </c>
      <c r="G133" s="105">
        <v>0.3721</v>
      </c>
      <c r="H133" s="105">
        <v>0.7943</v>
      </c>
      <c r="I133" s="105">
        <v>0.9127</v>
      </c>
      <c r="J133" s="105">
        <v>0.7942</v>
      </c>
      <c r="K133" s="100">
        <v>1.0</v>
      </c>
      <c r="L133" s="99">
        <v>0.324140000000001</v>
      </c>
      <c r="M133" s="105">
        <v>0.6409</v>
      </c>
      <c r="N133" s="57">
        <f t="shared" si="2"/>
        <v>0.5270746534</v>
      </c>
      <c r="O133" s="57">
        <f t="shared" si="1"/>
        <v>56.99534512</v>
      </c>
      <c r="P133" s="99">
        <v>5751.784771</v>
      </c>
      <c r="Q133" s="99">
        <v>5.112343</v>
      </c>
      <c r="R133" s="105">
        <v>0.6138</v>
      </c>
      <c r="S133" s="105">
        <v>0.4572</v>
      </c>
      <c r="T133" s="105">
        <v>0.5688</v>
      </c>
      <c r="U133" s="105">
        <v>0.6015</v>
      </c>
      <c r="V133" s="105">
        <v>0.4572</v>
      </c>
      <c r="W133" s="105">
        <v>0.6138</v>
      </c>
      <c r="X133" s="105">
        <v>0.4404</v>
      </c>
      <c r="Y133" s="105">
        <v>0.5632</v>
      </c>
      <c r="Z133" s="105">
        <v>0.4478</v>
      </c>
      <c r="AA133" s="105">
        <v>0.247</v>
      </c>
      <c r="AB133" s="105">
        <v>0.2295</v>
      </c>
      <c r="AC133" s="105">
        <v>0.5841</v>
      </c>
      <c r="AD133" s="105">
        <v>0.0656</v>
      </c>
      <c r="AE133" s="105">
        <v>0.1179</v>
      </c>
      <c r="AF133" s="105">
        <v>0.2547</v>
      </c>
      <c r="AG133" s="105">
        <v>0.6606</v>
      </c>
      <c r="AH133" s="105">
        <v>0.8422</v>
      </c>
      <c r="AI133" s="105">
        <v>0.7404</v>
      </c>
      <c r="AJ133" s="105">
        <v>0.5642</v>
      </c>
      <c r="AK133" s="105">
        <v>0.4619</v>
      </c>
      <c r="AL133" s="105">
        <v>0.4638</v>
      </c>
      <c r="AM133" s="105">
        <v>0.4629</v>
      </c>
      <c r="AN133" s="105">
        <v>0.6248</v>
      </c>
      <c r="AO133" s="58"/>
      <c r="AP133" s="58"/>
      <c r="AQ133" s="58"/>
    </row>
    <row r="134">
      <c r="A134" s="13"/>
      <c r="B134" s="13"/>
      <c r="C134" s="98">
        <v>3.0</v>
      </c>
      <c r="D134" s="105">
        <v>1.0</v>
      </c>
      <c r="E134" s="105">
        <v>1.0</v>
      </c>
      <c r="F134" s="105">
        <v>1.0</v>
      </c>
      <c r="G134" s="105">
        <v>0.4664</v>
      </c>
      <c r="H134" s="105">
        <v>0.8992</v>
      </c>
      <c r="I134" s="105">
        <v>0.9281</v>
      </c>
      <c r="J134" s="105">
        <v>0.7942</v>
      </c>
      <c r="K134" s="100">
        <v>1.0</v>
      </c>
      <c r="L134" s="99">
        <v>0.324140000000001</v>
      </c>
      <c r="M134" s="105">
        <v>0.6606</v>
      </c>
      <c r="N134" s="57">
        <f t="shared" si="2"/>
        <v>0.6718368611</v>
      </c>
      <c r="O134" s="57">
        <f t="shared" si="1"/>
        <v>66.73193601</v>
      </c>
      <c r="P134" s="99">
        <v>5751.784771</v>
      </c>
      <c r="Q134" s="99">
        <v>5.05642</v>
      </c>
      <c r="R134" s="105">
        <v>0.7095</v>
      </c>
      <c r="S134" s="105">
        <v>0.6115</v>
      </c>
      <c r="T134" s="105">
        <v>0.6927</v>
      </c>
      <c r="U134" s="105">
        <v>0.7052</v>
      </c>
      <c r="V134" s="105">
        <v>0.6115</v>
      </c>
      <c r="W134" s="105">
        <v>0.7095</v>
      </c>
      <c r="X134" s="105">
        <v>0.6305</v>
      </c>
      <c r="Y134" s="105">
        <v>0.6935</v>
      </c>
      <c r="Z134" s="105">
        <v>0.666</v>
      </c>
      <c r="AA134" s="105">
        <v>0.459</v>
      </c>
      <c r="AB134" s="105">
        <v>0.4487</v>
      </c>
      <c r="AC134" s="105">
        <v>0.6841</v>
      </c>
      <c r="AD134" s="105">
        <v>0.3346</v>
      </c>
      <c r="AE134" s="105">
        <v>0.4494</v>
      </c>
      <c r="AF134" s="105">
        <v>0.5683</v>
      </c>
      <c r="AG134" s="105">
        <v>0.7262</v>
      </c>
      <c r="AH134" s="105">
        <v>0.8485</v>
      </c>
      <c r="AI134" s="105">
        <v>0.7826</v>
      </c>
      <c r="AJ134" s="105">
        <v>0.677</v>
      </c>
      <c r="AK134" s="105">
        <v>0.6677</v>
      </c>
      <c r="AL134" s="105">
        <v>0.6515</v>
      </c>
      <c r="AM134" s="105">
        <v>0.6595</v>
      </c>
      <c r="AN134" s="105">
        <v>0.7678</v>
      </c>
      <c r="AO134" s="58"/>
      <c r="AP134" s="58"/>
      <c r="AQ134" s="58"/>
    </row>
    <row r="135">
      <c r="A135" s="13"/>
      <c r="B135" s="16"/>
      <c r="C135" s="98">
        <v>4.0</v>
      </c>
      <c r="D135" s="105">
        <v>1.0</v>
      </c>
      <c r="E135" s="105">
        <v>1.0</v>
      </c>
      <c r="F135" s="105">
        <v>1.0</v>
      </c>
      <c r="G135" s="105">
        <v>0.4475</v>
      </c>
      <c r="H135" s="105">
        <v>0.9084</v>
      </c>
      <c r="I135" s="105">
        <v>0.9798</v>
      </c>
      <c r="J135" s="105">
        <v>0.7942</v>
      </c>
      <c r="K135" s="100">
        <v>1.0</v>
      </c>
      <c r="L135" s="99">
        <v>0.324140000000001</v>
      </c>
      <c r="M135" s="105">
        <v>0.6637</v>
      </c>
      <c r="N135" s="57">
        <f t="shared" si="2"/>
        <v>0.6970060764</v>
      </c>
      <c r="O135" s="57">
        <f t="shared" si="1"/>
        <v>68.34876404</v>
      </c>
      <c r="P135" s="99">
        <v>5751.784771</v>
      </c>
      <c r="Q135" s="99">
        <v>5.10981</v>
      </c>
      <c r="R135" s="105">
        <v>0.7314</v>
      </c>
      <c r="S135" s="105">
        <v>0.6372</v>
      </c>
      <c r="T135" s="105">
        <v>0.7258</v>
      </c>
      <c r="U135" s="105">
        <v>0.729</v>
      </c>
      <c r="V135" s="105">
        <v>0.6372</v>
      </c>
      <c r="W135" s="105">
        <v>0.7314</v>
      </c>
      <c r="X135" s="105">
        <v>0.665</v>
      </c>
      <c r="Y135" s="105">
        <v>0.7185</v>
      </c>
      <c r="Z135" s="105">
        <v>0.6899</v>
      </c>
      <c r="AA135" s="105">
        <v>0.4987</v>
      </c>
      <c r="AB135" s="105">
        <v>0.4866</v>
      </c>
      <c r="AC135" s="105">
        <v>0.683</v>
      </c>
      <c r="AD135" s="105">
        <v>0.3946</v>
      </c>
      <c r="AE135" s="105">
        <v>0.5002</v>
      </c>
      <c r="AF135" s="105">
        <v>0.6151</v>
      </c>
      <c r="AG135" s="105">
        <v>0.7296</v>
      </c>
      <c r="AH135" s="105">
        <v>0.8681</v>
      </c>
      <c r="AI135" s="105">
        <v>0.7929</v>
      </c>
      <c r="AJ135" s="105">
        <v>0.6831</v>
      </c>
      <c r="AK135" s="105">
        <v>0.7648</v>
      </c>
      <c r="AL135" s="105">
        <v>0.6488</v>
      </c>
      <c r="AM135" s="105">
        <v>0.702</v>
      </c>
      <c r="AN135" s="105">
        <v>0.7816</v>
      </c>
      <c r="AO135" s="58"/>
      <c r="AP135" s="58"/>
      <c r="AQ135" s="58"/>
    </row>
    <row r="136">
      <c r="A136" s="13"/>
      <c r="B136" s="97" t="s">
        <v>25</v>
      </c>
      <c r="C136" s="98">
        <v>1.0</v>
      </c>
      <c r="D136" s="105">
        <v>1.0</v>
      </c>
      <c r="E136" s="105">
        <v>1.0</v>
      </c>
      <c r="F136" s="105">
        <v>1.0</v>
      </c>
      <c r="G136" s="105">
        <v>0.8216</v>
      </c>
      <c r="H136" s="105">
        <v>0.8999</v>
      </c>
      <c r="I136" s="105">
        <v>0.7985</v>
      </c>
      <c r="J136" s="105">
        <v>0.8999</v>
      </c>
      <c r="K136" s="100">
        <v>1.0</v>
      </c>
      <c r="L136" s="99">
        <v>0.324140000000001</v>
      </c>
      <c r="M136" s="105">
        <v>0.7456</v>
      </c>
      <c r="N136" s="57">
        <f t="shared" si="2"/>
        <v>0.6717984357</v>
      </c>
      <c r="O136" s="57">
        <f t="shared" si="1"/>
        <v>70.03993795</v>
      </c>
      <c r="P136" s="99">
        <v>6342.325646</v>
      </c>
      <c r="Q136" s="99">
        <v>5.421604</v>
      </c>
      <c r="R136" s="105">
        <v>0.6546</v>
      </c>
      <c r="S136" s="105">
        <v>0.64</v>
      </c>
      <c r="T136" s="105">
        <v>0.6007</v>
      </c>
      <c r="U136" s="105">
        <v>0.7043</v>
      </c>
      <c r="V136" s="105">
        <v>0.64</v>
      </c>
      <c r="W136" s="105">
        <v>0.6546</v>
      </c>
      <c r="X136" s="105">
        <v>0.6075</v>
      </c>
      <c r="Y136" s="105">
        <v>0.666</v>
      </c>
      <c r="Z136" s="105">
        <v>0.7221</v>
      </c>
      <c r="AA136" s="105">
        <v>0.4536</v>
      </c>
      <c r="AB136" s="105">
        <v>0.4416</v>
      </c>
      <c r="AC136" s="105">
        <v>0.4044</v>
      </c>
      <c r="AD136" s="105">
        <v>0.483</v>
      </c>
      <c r="AE136" s="105">
        <v>0.4402</v>
      </c>
      <c r="AF136" s="105">
        <v>0.6369</v>
      </c>
      <c r="AG136" s="105">
        <v>0.8627</v>
      </c>
      <c r="AH136" s="105">
        <v>0.6616</v>
      </c>
      <c r="AI136" s="105">
        <v>0.7489</v>
      </c>
      <c r="AJ136" s="105">
        <v>0.7493</v>
      </c>
      <c r="AK136" s="105">
        <v>0.5351</v>
      </c>
      <c r="AL136" s="105">
        <v>0.7755</v>
      </c>
      <c r="AM136" s="105">
        <v>0.6332</v>
      </c>
      <c r="AN136" s="105">
        <v>0.7889</v>
      </c>
      <c r="AO136" s="58"/>
      <c r="AP136" s="58"/>
      <c r="AQ136" s="58"/>
    </row>
    <row r="137">
      <c r="A137" s="13"/>
      <c r="B137" s="13"/>
      <c r="C137" s="98">
        <v>2.0</v>
      </c>
      <c r="D137" s="105">
        <v>1.0</v>
      </c>
      <c r="E137" s="105">
        <v>1.0</v>
      </c>
      <c r="F137" s="105">
        <v>1.0</v>
      </c>
      <c r="G137" s="105">
        <v>0.6559</v>
      </c>
      <c r="H137" s="105">
        <v>0.9246</v>
      </c>
      <c r="I137" s="105">
        <v>0.5316</v>
      </c>
      <c r="J137" s="99">
        <v>0.9244</v>
      </c>
      <c r="K137" s="100">
        <v>1.0</v>
      </c>
      <c r="L137" s="99">
        <v>0.324140000000001</v>
      </c>
      <c r="M137" s="105">
        <v>0.7535</v>
      </c>
      <c r="N137" s="57">
        <f t="shared" si="2"/>
        <v>0.796127515</v>
      </c>
      <c r="O137" s="57">
        <f t="shared" si="1"/>
        <v>77.87945129</v>
      </c>
      <c r="P137" s="99">
        <v>6342.325646</v>
      </c>
      <c r="Q137" s="99">
        <v>5.468174</v>
      </c>
      <c r="R137" s="105">
        <v>0.805</v>
      </c>
      <c r="S137" s="105">
        <v>0.7666</v>
      </c>
      <c r="T137" s="105">
        <v>0.7741</v>
      </c>
      <c r="U137" s="105">
        <v>0.8151</v>
      </c>
      <c r="V137" s="105">
        <v>0.7666</v>
      </c>
      <c r="W137" s="105">
        <v>0.805</v>
      </c>
      <c r="X137" s="105">
        <v>0.7574</v>
      </c>
      <c r="Y137" s="105">
        <v>0.8019</v>
      </c>
      <c r="Z137" s="105">
        <v>0.8152</v>
      </c>
      <c r="AA137" s="105">
        <v>0.6666</v>
      </c>
      <c r="AB137" s="105">
        <v>0.6606</v>
      </c>
      <c r="AC137" s="105">
        <v>0.76</v>
      </c>
      <c r="AD137" s="105">
        <v>0.5338</v>
      </c>
      <c r="AE137" s="105">
        <v>0.6271</v>
      </c>
      <c r="AF137" s="105">
        <v>0.7166</v>
      </c>
      <c r="AG137" s="105">
        <v>0.8853</v>
      </c>
      <c r="AH137" s="105">
        <v>0.8448</v>
      </c>
      <c r="AI137" s="105">
        <v>0.8646</v>
      </c>
      <c r="AJ137" s="105">
        <v>0.8438</v>
      </c>
      <c r="AK137" s="105">
        <v>0.677</v>
      </c>
      <c r="AL137" s="105">
        <v>0.9211</v>
      </c>
      <c r="AM137" s="105">
        <v>0.7804</v>
      </c>
      <c r="AN137" s="105">
        <v>0.8958</v>
      </c>
      <c r="AO137" s="58"/>
      <c r="AP137" s="58"/>
      <c r="AQ137" s="58"/>
    </row>
    <row r="138">
      <c r="A138" s="13"/>
      <c r="B138" s="13"/>
      <c r="C138" s="98">
        <v>3.0</v>
      </c>
      <c r="D138" s="105">
        <v>1.0</v>
      </c>
      <c r="E138" s="105">
        <v>1.0</v>
      </c>
      <c r="F138" s="105">
        <v>1.0</v>
      </c>
      <c r="G138" s="105">
        <v>0.5845</v>
      </c>
      <c r="H138" s="105">
        <v>0.9477</v>
      </c>
      <c r="I138" s="105">
        <v>0.4959</v>
      </c>
      <c r="J138" s="99">
        <v>0.9477</v>
      </c>
      <c r="K138" s="100">
        <v>1.0</v>
      </c>
      <c r="L138" s="99">
        <v>0.324140000000001</v>
      </c>
      <c r="M138" s="105">
        <v>0.7239</v>
      </c>
      <c r="N138" s="57">
        <f t="shared" si="2"/>
        <v>0.8637217301</v>
      </c>
      <c r="O138" s="57">
        <f t="shared" si="1"/>
        <v>80.48143999</v>
      </c>
      <c r="P138" s="99">
        <v>6342.325646</v>
      </c>
      <c r="Q138" s="99">
        <v>5.521726</v>
      </c>
      <c r="R138" s="105">
        <v>0.8743</v>
      </c>
      <c r="S138" s="105">
        <v>0.8349</v>
      </c>
      <c r="T138" s="105">
        <v>0.8722</v>
      </c>
      <c r="U138" s="105">
        <v>0.8774</v>
      </c>
      <c r="V138" s="105">
        <v>0.8349</v>
      </c>
      <c r="W138" s="105">
        <v>0.8743</v>
      </c>
      <c r="X138" s="105">
        <v>0.8453</v>
      </c>
      <c r="Y138" s="105">
        <v>0.871</v>
      </c>
      <c r="Z138" s="105">
        <v>0.8699</v>
      </c>
      <c r="AA138" s="105">
        <v>0.7776</v>
      </c>
      <c r="AB138" s="105">
        <v>0.7745</v>
      </c>
      <c r="AC138" s="105">
        <v>0.9066</v>
      </c>
      <c r="AD138" s="105">
        <v>0.6505</v>
      </c>
      <c r="AE138" s="105">
        <v>0.7575</v>
      </c>
      <c r="AF138" s="105">
        <v>0.8005</v>
      </c>
      <c r="AG138" s="105">
        <v>0.8905</v>
      </c>
      <c r="AH138" s="105">
        <v>0.9216</v>
      </c>
      <c r="AI138" s="105">
        <v>0.9058</v>
      </c>
      <c r="AJ138" s="105">
        <v>0.8783</v>
      </c>
      <c r="AK138" s="105">
        <v>0.8196</v>
      </c>
      <c r="AL138" s="105">
        <v>0.9327</v>
      </c>
      <c r="AM138" s="105">
        <v>0.8725</v>
      </c>
      <c r="AN138" s="105">
        <v>0.9363</v>
      </c>
      <c r="AO138" s="58"/>
      <c r="AP138" s="58"/>
      <c r="AQ138" s="58"/>
    </row>
    <row r="139">
      <c r="A139" s="13"/>
      <c r="B139" s="16"/>
      <c r="C139" s="98">
        <v>4.0</v>
      </c>
      <c r="D139" s="105">
        <v>1.0</v>
      </c>
      <c r="E139" s="105">
        <v>1.0</v>
      </c>
      <c r="F139" s="105">
        <v>1.0</v>
      </c>
      <c r="G139" s="105">
        <v>0.5449</v>
      </c>
      <c r="H139" s="105">
        <v>0.9522</v>
      </c>
      <c r="I139" s="105">
        <v>0.4816</v>
      </c>
      <c r="J139" s="99">
        <v>0.9521</v>
      </c>
      <c r="K139" s="100">
        <v>1.0</v>
      </c>
      <c r="L139" s="99">
        <v>0.324140000000001</v>
      </c>
      <c r="M139" s="105">
        <v>0.707</v>
      </c>
      <c r="N139" s="57">
        <f t="shared" si="2"/>
        <v>0.8971072667</v>
      </c>
      <c r="O139" s="57">
        <f t="shared" si="1"/>
        <v>81.55946912</v>
      </c>
      <c r="P139" s="99">
        <v>6342.325646</v>
      </c>
      <c r="Q139" s="99">
        <v>5.477147</v>
      </c>
      <c r="R139" s="105">
        <v>0.9081</v>
      </c>
      <c r="S139" s="105">
        <v>0.8664</v>
      </c>
      <c r="T139" s="105">
        <v>0.9245</v>
      </c>
      <c r="U139" s="105">
        <v>0.9111</v>
      </c>
      <c r="V139" s="105">
        <v>0.8664</v>
      </c>
      <c r="W139" s="105">
        <v>0.9081</v>
      </c>
      <c r="X139" s="105">
        <v>0.8887</v>
      </c>
      <c r="Y139" s="105">
        <v>0.9053</v>
      </c>
      <c r="Z139" s="105">
        <v>0.8938</v>
      </c>
      <c r="AA139" s="105">
        <v>0.8364</v>
      </c>
      <c r="AB139" s="105">
        <v>0.8323</v>
      </c>
      <c r="AC139" s="105">
        <v>0.9541</v>
      </c>
      <c r="AD139" s="105">
        <v>0.7033</v>
      </c>
      <c r="AE139" s="105">
        <v>0.8097</v>
      </c>
      <c r="AF139" s="105">
        <v>0.8354</v>
      </c>
      <c r="AG139" s="105">
        <v>0.891</v>
      </c>
      <c r="AH139" s="105">
        <v>0.962</v>
      </c>
      <c r="AI139" s="105">
        <v>0.9251</v>
      </c>
      <c r="AJ139" s="105">
        <v>0.894</v>
      </c>
      <c r="AK139" s="105">
        <v>0.9285</v>
      </c>
      <c r="AL139" s="105">
        <v>0.9339</v>
      </c>
      <c r="AM139" s="105">
        <v>0.9312</v>
      </c>
      <c r="AN139" s="105">
        <v>0.9561</v>
      </c>
      <c r="AO139" s="58"/>
      <c r="AP139" s="58"/>
      <c r="AQ139" s="58"/>
    </row>
    <row r="140">
      <c r="A140" s="13"/>
      <c r="B140" s="97" t="s">
        <v>26</v>
      </c>
      <c r="C140" s="98">
        <v>1.0</v>
      </c>
      <c r="D140" s="105">
        <v>1.0</v>
      </c>
      <c r="E140" s="105">
        <v>1.0</v>
      </c>
      <c r="F140" s="105">
        <v>1.0</v>
      </c>
      <c r="G140" s="105">
        <v>0.8135</v>
      </c>
      <c r="H140" s="105">
        <v>0.8887</v>
      </c>
      <c r="I140" s="105">
        <v>0.5047</v>
      </c>
      <c r="J140" s="99">
        <v>0.8888</v>
      </c>
      <c r="K140" s="100">
        <v>1.0</v>
      </c>
      <c r="L140" s="99">
        <v>0.324140000000001</v>
      </c>
      <c r="M140" s="105">
        <v>0.7772</v>
      </c>
      <c r="N140" s="57">
        <f t="shared" si="2"/>
        <v>0.6470752562</v>
      </c>
      <c r="O140" s="57">
        <f t="shared" si="1"/>
        <v>69.62833218</v>
      </c>
      <c r="P140" s="99">
        <v>6172.495611</v>
      </c>
      <c r="Q140" s="99">
        <v>5.277456</v>
      </c>
      <c r="R140" s="105">
        <v>0.6257</v>
      </c>
      <c r="S140" s="105">
        <v>0.6077</v>
      </c>
      <c r="T140" s="105">
        <v>0.592</v>
      </c>
      <c r="U140" s="105">
        <v>0.6924</v>
      </c>
      <c r="V140" s="105">
        <v>0.6077</v>
      </c>
      <c r="W140" s="105">
        <v>0.6257</v>
      </c>
      <c r="X140" s="105">
        <v>0.5865</v>
      </c>
      <c r="Y140" s="105">
        <v>0.6469</v>
      </c>
      <c r="Z140" s="105">
        <v>0.7016</v>
      </c>
      <c r="AA140" s="105">
        <v>0.4086</v>
      </c>
      <c r="AB140" s="105">
        <v>0.3968</v>
      </c>
      <c r="AC140" s="105">
        <v>0.3186</v>
      </c>
      <c r="AD140" s="105">
        <v>0.5383</v>
      </c>
      <c r="AE140" s="105">
        <v>0.4003</v>
      </c>
      <c r="AF140" s="105">
        <v>0.6315</v>
      </c>
      <c r="AG140" s="105">
        <v>0.8363</v>
      </c>
      <c r="AH140" s="105">
        <v>0.649</v>
      </c>
      <c r="AI140" s="105">
        <v>0.7309</v>
      </c>
      <c r="AJ140" s="105">
        <v>0.7284</v>
      </c>
      <c r="AK140" s="105">
        <v>0.6209</v>
      </c>
      <c r="AL140" s="105">
        <v>0.6359</v>
      </c>
      <c r="AM140" s="105">
        <v>0.6283</v>
      </c>
      <c r="AN140" s="105">
        <v>0.7507</v>
      </c>
      <c r="AO140" s="60"/>
      <c r="AP140" s="60"/>
      <c r="AQ140" s="60"/>
    </row>
    <row r="141">
      <c r="A141" s="13"/>
      <c r="B141" s="13"/>
      <c r="C141" s="98">
        <v>2.0</v>
      </c>
      <c r="D141" s="105">
        <v>1.0</v>
      </c>
      <c r="E141" s="105">
        <v>1.0</v>
      </c>
      <c r="F141" s="105">
        <v>1.0</v>
      </c>
      <c r="G141" s="105">
        <v>0.5609</v>
      </c>
      <c r="H141" s="105">
        <v>0.9583</v>
      </c>
      <c r="I141" s="105">
        <v>0.3404</v>
      </c>
      <c r="J141" s="99">
        <v>0.9582</v>
      </c>
      <c r="K141" s="100">
        <v>1.0</v>
      </c>
      <c r="L141" s="99">
        <v>0.324140000000001</v>
      </c>
      <c r="M141" s="105">
        <v>0.6541</v>
      </c>
      <c r="N141" s="57">
        <f t="shared" si="2"/>
        <v>0.7512019558</v>
      </c>
      <c r="O141" s="57">
        <f t="shared" si="1"/>
        <v>71.07415182</v>
      </c>
      <c r="P141" s="99">
        <v>6172.495611</v>
      </c>
      <c r="Q141" s="99">
        <v>5.085144</v>
      </c>
      <c r="R141" s="105">
        <v>0.7733</v>
      </c>
      <c r="S141" s="105">
        <v>0.7056</v>
      </c>
      <c r="T141" s="105">
        <v>0.7288</v>
      </c>
      <c r="U141" s="105">
        <v>0.7648</v>
      </c>
      <c r="V141" s="105">
        <v>0.7056</v>
      </c>
      <c r="W141" s="105">
        <v>0.7733</v>
      </c>
      <c r="X141" s="105">
        <v>0.7137</v>
      </c>
      <c r="Y141" s="105">
        <v>0.7668</v>
      </c>
      <c r="Z141" s="105">
        <v>0.7623</v>
      </c>
      <c r="AA141" s="105">
        <v>0.5914</v>
      </c>
      <c r="AB141" s="105">
        <v>0.5894</v>
      </c>
      <c r="AC141" s="105">
        <v>0.6083</v>
      </c>
      <c r="AD141" s="105">
        <v>0.4655</v>
      </c>
      <c r="AE141" s="105">
        <v>0.5274</v>
      </c>
      <c r="AF141" s="105">
        <v>0.6588</v>
      </c>
      <c r="AG141" s="105">
        <v>0.8136</v>
      </c>
      <c r="AH141" s="105">
        <v>0.8637</v>
      </c>
      <c r="AI141" s="105">
        <v>0.8379</v>
      </c>
      <c r="AJ141" s="105">
        <v>0.7861</v>
      </c>
      <c r="AK141" s="105">
        <v>0.7645</v>
      </c>
      <c r="AL141" s="105">
        <v>0.7875</v>
      </c>
      <c r="AM141" s="105">
        <v>0.7759</v>
      </c>
      <c r="AN141" s="105">
        <v>0.8553</v>
      </c>
      <c r="AO141" s="60"/>
      <c r="AP141" s="60"/>
      <c r="AQ141" s="60"/>
    </row>
    <row r="142">
      <c r="A142" s="13"/>
      <c r="B142" s="13"/>
      <c r="C142" s="98">
        <v>3.0</v>
      </c>
      <c r="D142" s="105">
        <v>1.0</v>
      </c>
      <c r="E142" s="105">
        <v>1.0</v>
      </c>
      <c r="F142" s="105">
        <v>1.0</v>
      </c>
      <c r="G142" s="105">
        <v>0.4658</v>
      </c>
      <c r="H142" s="105">
        <v>0.9126</v>
      </c>
      <c r="I142" s="105">
        <v>0.3412</v>
      </c>
      <c r="J142" s="99">
        <v>0.9125</v>
      </c>
      <c r="K142" s="100">
        <v>1.0</v>
      </c>
      <c r="L142" s="99">
        <v>0.324140000000001</v>
      </c>
      <c r="M142" s="105">
        <v>0.6171</v>
      </c>
      <c r="N142" s="57">
        <f t="shared" si="2"/>
        <v>0.7991720328</v>
      </c>
      <c r="O142" s="57">
        <f t="shared" si="1"/>
        <v>72.06533087</v>
      </c>
      <c r="P142" s="99">
        <v>6172.495611</v>
      </c>
      <c r="Q142" s="99">
        <v>5.10493</v>
      </c>
      <c r="R142" s="105">
        <v>0.8289</v>
      </c>
      <c r="S142" s="105">
        <v>0.7434</v>
      </c>
      <c r="T142" s="105">
        <v>0.8447</v>
      </c>
      <c r="U142" s="105">
        <v>0.8326</v>
      </c>
      <c r="V142" s="105">
        <v>0.7434</v>
      </c>
      <c r="W142" s="105">
        <v>0.8289</v>
      </c>
      <c r="X142" s="105">
        <v>0.7753</v>
      </c>
      <c r="Y142" s="105">
        <v>0.8181</v>
      </c>
      <c r="Z142" s="105">
        <v>0.786</v>
      </c>
      <c r="AA142" s="105">
        <v>0.6894</v>
      </c>
      <c r="AB142" s="105">
        <v>0.6757</v>
      </c>
      <c r="AC142" s="105">
        <v>0.8371</v>
      </c>
      <c r="AD142" s="105">
        <v>0.4783</v>
      </c>
      <c r="AE142" s="105">
        <v>0.6087</v>
      </c>
      <c r="AF142" s="105">
        <v>0.6843</v>
      </c>
      <c r="AG142" s="105">
        <v>0.8105</v>
      </c>
      <c r="AH142" s="105">
        <v>0.9476</v>
      </c>
      <c r="AI142" s="105">
        <v>0.8737</v>
      </c>
      <c r="AJ142" s="105">
        <v>0.8036</v>
      </c>
      <c r="AK142" s="105">
        <v>0.8865</v>
      </c>
      <c r="AL142" s="105">
        <v>0.8043</v>
      </c>
      <c r="AM142" s="105">
        <v>0.8434</v>
      </c>
      <c r="AN142" s="105">
        <v>0.8832</v>
      </c>
      <c r="AO142" s="60"/>
      <c r="AP142" s="60"/>
      <c r="AQ142" s="60"/>
    </row>
    <row r="143">
      <c r="A143" s="13"/>
      <c r="B143" s="16"/>
      <c r="C143" s="98">
        <v>4.0</v>
      </c>
      <c r="D143" s="105">
        <v>1.0</v>
      </c>
      <c r="E143" s="105">
        <v>1.0</v>
      </c>
      <c r="F143" s="105">
        <v>1.0</v>
      </c>
      <c r="G143" s="105">
        <v>0.426</v>
      </c>
      <c r="H143" s="105">
        <v>0.8966</v>
      </c>
      <c r="I143" s="105">
        <v>0.3461</v>
      </c>
      <c r="J143" s="99">
        <v>0.8965</v>
      </c>
      <c r="K143" s="100">
        <v>1.0</v>
      </c>
      <c r="L143" s="99">
        <v>0.324140000000001</v>
      </c>
      <c r="M143" s="105">
        <v>0.603</v>
      </c>
      <c r="N143" s="57">
        <f t="shared" si="2"/>
        <v>0.8285057471</v>
      </c>
      <c r="O143" s="57">
        <f t="shared" si="1"/>
        <v>72.96326168</v>
      </c>
      <c r="P143" s="99">
        <v>6172.495611</v>
      </c>
      <c r="Q143" s="99">
        <v>5.114913</v>
      </c>
      <c r="R143" s="105">
        <v>0.8583</v>
      </c>
      <c r="S143" s="105">
        <v>0.7673</v>
      </c>
      <c r="T143" s="105">
        <v>0.9155</v>
      </c>
      <c r="U143" s="105">
        <v>0.8768</v>
      </c>
      <c r="V143" s="105">
        <v>0.7673</v>
      </c>
      <c r="W143" s="105">
        <v>0.8583</v>
      </c>
      <c r="X143" s="105">
        <v>0.8132</v>
      </c>
      <c r="Y143" s="105">
        <v>0.8482</v>
      </c>
      <c r="Z143" s="105">
        <v>0.8035</v>
      </c>
      <c r="AA143" s="105">
        <v>0.7498</v>
      </c>
      <c r="AB143" s="105">
        <v>0.7262</v>
      </c>
      <c r="AC143" s="105">
        <v>0.9474</v>
      </c>
      <c r="AD143" s="105">
        <v>0.5046</v>
      </c>
      <c r="AE143" s="105">
        <v>0.6585</v>
      </c>
      <c r="AF143" s="105">
        <v>0.7081</v>
      </c>
      <c r="AG143" s="105">
        <v>0.8128</v>
      </c>
      <c r="AH143" s="105">
        <v>0.9869</v>
      </c>
      <c r="AI143" s="105">
        <v>0.8915</v>
      </c>
      <c r="AJ143" s="105">
        <v>0.8152</v>
      </c>
      <c r="AK143" s="105">
        <v>0.9862</v>
      </c>
      <c r="AL143" s="105">
        <v>0.8102</v>
      </c>
      <c r="AM143" s="105">
        <v>0.8896</v>
      </c>
      <c r="AN143" s="105">
        <v>0.8986</v>
      </c>
      <c r="AO143" s="60"/>
      <c r="AP143" s="60"/>
      <c r="AQ143" s="60"/>
    </row>
    <row r="144">
      <c r="A144" s="13"/>
      <c r="B144" s="97" t="s">
        <v>27</v>
      </c>
      <c r="C144" s="98">
        <v>1.0</v>
      </c>
      <c r="D144" s="105">
        <v>1.0</v>
      </c>
      <c r="E144" s="105">
        <v>1.0</v>
      </c>
      <c r="F144" s="105">
        <v>1.0</v>
      </c>
      <c r="G144" s="105">
        <v>0.426</v>
      </c>
      <c r="H144" s="105">
        <v>0.8966</v>
      </c>
      <c r="I144" s="105">
        <v>0.3461</v>
      </c>
      <c r="J144" s="99">
        <v>0.7998</v>
      </c>
      <c r="K144" s="100">
        <v>1.0</v>
      </c>
      <c r="L144" s="99">
        <v>0.324140000000001</v>
      </c>
      <c r="M144" s="105">
        <v>0.603</v>
      </c>
      <c r="N144" s="57">
        <f t="shared" si="2"/>
        <v>0.8285057471</v>
      </c>
      <c r="O144" s="57">
        <f t="shared" si="1"/>
        <v>72.96326168</v>
      </c>
      <c r="P144" s="99">
        <v>7717.375595</v>
      </c>
      <c r="Q144" s="99">
        <v>5.51017</v>
      </c>
      <c r="R144" s="105">
        <v>0.8583</v>
      </c>
      <c r="S144" s="105">
        <v>0.7673</v>
      </c>
      <c r="T144" s="105">
        <v>0.9155</v>
      </c>
      <c r="U144" s="105">
        <v>0.8768</v>
      </c>
      <c r="V144" s="105">
        <v>0.7673</v>
      </c>
      <c r="W144" s="105">
        <v>0.8583</v>
      </c>
      <c r="X144" s="105">
        <v>0.8132</v>
      </c>
      <c r="Y144" s="105">
        <v>0.8482</v>
      </c>
      <c r="Z144" s="105">
        <v>0.8035</v>
      </c>
      <c r="AA144" s="105">
        <v>0.7498</v>
      </c>
      <c r="AB144" s="105">
        <v>0.7262</v>
      </c>
      <c r="AC144" s="105">
        <v>0.9474</v>
      </c>
      <c r="AD144" s="105">
        <v>0.5046</v>
      </c>
      <c r="AE144" s="105">
        <v>0.6585</v>
      </c>
      <c r="AF144" s="105">
        <v>0.7081</v>
      </c>
      <c r="AG144" s="105">
        <v>0.8128</v>
      </c>
      <c r="AH144" s="105">
        <v>0.9869</v>
      </c>
      <c r="AI144" s="105">
        <v>0.8915</v>
      </c>
      <c r="AJ144" s="105">
        <v>0.8152</v>
      </c>
      <c r="AK144" s="105">
        <v>0.9862</v>
      </c>
      <c r="AL144" s="105">
        <v>0.8102</v>
      </c>
      <c r="AM144" s="105">
        <v>0.8896</v>
      </c>
      <c r="AN144" s="105">
        <v>0.8986</v>
      </c>
      <c r="AO144" s="58"/>
      <c r="AP144" s="58"/>
      <c r="AQ144" s="58"/>
    </row>
    <row r="145">
      <c r="A145" s="13"/>
      <c r="B145" s="13"/>
      <c r="C145" s="98">
        <v>2.0</v>
      </c>
      <c r="D145" s="105">
        <v>1.0</v>
      </c>
      <c r="E145" s="105">
        <v>1.0</v>
      </c>
      <c r="F145" s="105">
        <v>1.0</v>
      </c>
      <c r="G145" s="105">
        <v>0.4518</v>
      </c>
      <c r="H145" s="105">
        <v>0.8553</v>
      </c>
      <c r="I145" s="105">
        <v>0.6761</v>
      </c>
      <c r="J145" s="99">
        <v>0.8552</v>
      </c>
      <c r="K145" s="100">
        <v>1.0</v>
      </c>
      <c r="L145" s="99">
        <v>0.324140000000001</v>
      </c>
      <c r="M145" s="105">
        <v>0.715</v>
      </c>
      <c r="N145" s="57">
        <f t="shared" si="2"/>
        <v>0.5965596265</v>
      </c>
      <c r="O145" s="57">
        <f t="shared" si="1"/>
        <v>64.13789933</v>
      </c>
      <c r="P145" s="99">
        <v>7717.375595</v>
      </c>
      <c r="Q145" s="99">
        <v>5.663316</v>
      </c>
      <c r="R145" s="105">
        <v>0.6543</v>
      </c>
      <c r="S145" s="105">
        <v>0.5243</v>
      </c>
      <c r="T145" s="105">
        <v>0.6485</v>
      </c>
      <c r="U145" s="105">
        <v>0.6673</v>
      </c>
      <c r="V145" s="105">
        <v>0.5243</v>
      </c>
      <c r="W145" s="105">
        <v>0.6543</v>
      </c>
      <c r="X145" s="105">
        <v>0.5351</v>
      </c>
      <c r="Y145" s="105">
        <v>0.6303</v>
      </c>
      <c r="Z145" s="105">
        <v>0.5862</v>
      </c>
      <c r="AA145" s="105">
        <v>0.3498</v>
      </c>
      <c r="AB145" s="105">
        <v>0.3378</v>
      </c>
      <c r="AC145" s="105">
        <v>0.776</v>
      </c>
      <c r="AD145" s="105">
        <v>0.2312</v>
      </c>
      <c r="AE145" s="105">
        <v>0.3562</v>
      </c>
      <c r="AF145" s="105">
        <v>0.4772</v>
      </c>
      <c r="AG145" s="105">
        <v>0.7154</v>
      </c>
      <c r="AH145" s="105">
        <v>0.8477</v>
      </c>
      <c r="AI145" s="105">
        <v>0.776</v>
      </c>
      <c r="AJ145" s="105">
        <v>0.6609</v>
      </c>
      <c r="AK145" s="105">
        <v>0.4541</v>
      </c>
      <c r="AL145" s="105">
        <v>0.494</v>
      </c>
      <c r="AM145" s="105">
        <v>0.4732</v>
      </c>
      <c r="AN145" s="105">
        <v>0.6388</v>
      </c>
      <c r="AO145" s="58"/>
      <c r="AP145" s="58"/>
      <c r="AQ145" s="58"/>
    </row>
    <row r="146">
      <c r="A146" s="13"/>
      <c r="B146" s="13"/>
      <c r="C146" s="98">
        <v>3.0</v>
      </c>
      <c r="D146" s="105">
        <v>1.0</v>
      </c>
      <c r="E146" s="105">
        <v>1.0</v>
      </c>
      <c r="F146" s="105">
        <v>1.0</v>
      </c>
      <c r="G146" s="105">
        <v>0.347</v>
      </c>
      <c r="H146" s="105">
        <v>0.8538</v>
      </c>
      <c r="I146" s="105">
        <v>0.7091</v>
      </c>
      <c r="J146" s="99">
        <v>0.8537</v>
      </c>
      <c r="K146" s="100">
        <v>1.0</v>
      </c>
      <c r="L146" s="99">
        <v>0.324140000000001</v>
      </c>
      <c r="M146" s="105">
        <v>0.677</v>
      </c>
      <c r="N146" s="57">
        <f t="shared" si="2"/>
        <v>0.6665877558</v>
      </c>
      <c r="O146" s="57">
        <f t="shared" si="1"/>
        <v>67.07332975</v>
      </c>
      <c r="P146" s="99">
        <v>7717.375595</v>
      </c>
      <c r="Q146" s="99">
        <v>5.597943</v>
      </c>
      <c r="R146" s="105">
        <v>0.7242</v>
      </c>
      <c r="S146" s="105">
        <v>0.5892</v>
      </c>
      <c r="T146" s="105">
        <v>0.7646</v>
      </c>
      <c r="U146" s="105">
        <v>0.7416</v>
      </c>
      <c r="V146" s="105">
        <v>0.5892</v>
      </c>
      <c r="W146" s="105">
        <v>0.7242</v>
      </c>
      <c r="X146" s="105">
        <v>0.6273</v>
      </c>
      <c r="Y146" s="105">
        <v>0.699</v>
      </c>
      <c r="Z146" s="105">
        <v>0.6397</v>
      </c>
      <c r="AA146" s="105">
        <v>0.4782</v>
      </c>
      <c r="AB146" s="105">
        <v>0.4455</v>
      </c>
      <c r="AC146" s="105">
        <v>0.8853</v>
      </c>
      <c r="AD146" s="105">
        <v>0.3493</v>
      </c>
      <c r="AE146" s="105">
        <v>0.5009</v>
      </c>
      <c r="AF146" s="105">
        <v>0.588</v>
      </c>
      <c r="AG146" s="105">
        <v>0.7155</v>
      </c>
      <c r="AH146" s="105">
        <v>0.9326</v>
      </c>
      <c r="AI146" s="105">
        <v>0.8097</v>
      </c>
      <c r="AJ146" s="105">
        <v>0.6599</v>
      </c>
      <c r="AK146" s="105">
        <v>0.6929</v>
      </c>
      <c r="AL146" s="105">
        <v>0.4859</v>
      </c>
      <c r="AM146" s="105">
        <v>0.5712</v>
      </c>
      <c r="AN146" s="105">
        <v>0.6747</v>
      </c>
      <c r="AO146" s="58"/>
      <c r="AP146" s="58"/>
      <c r="AQ146" s="58"/>
    </row>
    <row r="147">
      <c r="A147" s="16"/>
      <c r="B147" s="16"/>
      <c r="C147" s="98">
        <v>4.0</v>
      </c>
      <c r="D147" s="105">
        <v>1.0</v>
      </c>
      <c r="E147" s="105">
        <v>1.0</v>
      </c>
      <c r="F147" s="105">
        <v>1.0</v>
      </c>
      <c r="G147" s="105">
        <v>0.2935</v>
      </c>
      <c r="H147" s="105">
        <v>0.833</v>
      </c>
      <c r="I147" s="105">
        <v>0.724</v>
      </c>
      <c r="J147" s="99">
        <v>0.833</v>
      </c>
      <c r="K147" s="100">
        <v>1.0</v>
      </c>
      <c r="L147" s="99">
        <v>0.324140000000001</v>
      </c>
      <c r="M147" s="105">
        <v>0.6487</v>
      </c>
      <c r="N147" s="57">
        <f t="shared" si="2"/>
        <v>0.7000376586</v>
      </c>
      <c r="O147" s="57">
        <f t="shared" si="1"/>
        <v>67.90322502</v>
      </c>
      <c r="P147" s="99">
        <v>7717.375595</v>
      </c>
      <c r="Q147" s="99">
        <v>6.04837</v>
      </c>
      <c r="R147" s="105">
        <v>0.756</v>
      </c>
      <c r="S147" s="105">
        <v>0.6165</v>
      </c>
      <c r="T147" s="105">
        <v>0.8537</v>
      </c>
      <c r="U147" s="105">
        <v>0.8007</v>
      </c>
      <c r="V147" s="105">
        <v>0.6165</v>
      </c>
      <c r="W147" s="105">
        <v>0.756</v>
      </c>
      <c r="X147" s="105">
        <v>0.6701</v>
      </c>
      <c r="Y147" s="105">
        <v>0.7312</v>
      </c>
      <c r="Z147" s="105">
        <v>0.6567</v>
      </c>
      <c r="AA147" s="105">
        <v>0.5537</v>
      </c>
      <c r="AB147" s="105">
        <v>0.4966</v>
      </c>
      <c r="AC147" s="105">
        <v>0.9158</v>
      </c>
      <c r="AD147" s="105">
        <v>0.4018</v>
      </c>
      <c r="AE147" s="105">
        <v>0.5585</v>
      </c>
      <c r="AF147" s="105">
        <v>0.6312</v>
      </c>
      <c r="AG147" s="105">
        <v>0.715</v>
      </c>
      <c r="AH147" s="105">
        <v>0.9751</v>
      </c>
      <c r="AI147" s="105">
        <v>0.825</v>
      </c>
      <c r="AJ147" s="105">
        <v>0.6559</v>
      </c>
      <c r="AK147" s="105">
        <v>0.9304</v>
      </c>
      <c r="AL147" s="105">
        <v>0.4726</v>
      </c>
      <c r="AM147" s="105">
        <v>0.6268</v>
      </c>
      <c r="AN147" s="105">
        <v>0.6839</v>
      </c>
      <c r="AO147" s="58"/>
      <c r="AP147" s="58"/>
      <c r="AQ147" s="58"/>
    </row>
    <row r="148">
      <c r="A148" s="85" t="s">
        <v>103</v>
      </c>
      <c r="B148" s="91" t="s">
        <v>111</v>
      </c>
      <c r="C148" s="87">
        <v>1.0</v>
      </c>
      <c r="D148" s="104">
        <v>1.0</v>
      </c>
      <c r="E148" s="104">
        <v>1.0</v>
      </c>
      <c r="F148" s="104">
        <v>1.0</v>
      </c>
      <c r="G148" s="104">
        <v>0.863</v>
      </c>
      <c r="H148" s="104">
        <v>0.8164</v>
      </c>
      <c r="I148" s="104">
        <v>0.0</v>
      </c>
      <c r="J148" s="104">
        <v>0.8243</v>
      </c>
      <c r="K148" s="92">
        <v>1.0</v>
      </c>
      <c r="L148" s="104">
        <v>0.324140000000001</v>
      </c>
      <c r="M148" s="104">
        <v>0.0275</v>
      </c>
      <c r="N148" s="48">
        <f t="shared" si="2"/>
        <v>0.8057911963</v>
      </c>
      <c r="O148" s="48">
        <f t="shared" si="1"/>
        <v>20.86731579</v>
      </c>
      <c r="P148" s="104">
        <v>28.999507</v>
      </c>
      <c r="Q148" s="104">
        <v>1.156785</v>
      </c>
      <c r="R148" s="104">
        <v>0.7664</v>
      </c>
      <c r="S148" s="104">
        <v>0.8113</v>
      </c>
      <c r="T148" s="104">
        <v>0.8094</v>
      </c>
      <c r="U148" s="104">
        <v>0.8999</v>
      </c>
      <c r="V148" s="104">
        <v>0.8113</v>
      </c>
      <c r="W148" s="104">
        <v>0.7664</v>
      </c>
      <c r="X148" s="104">
        <v>0.7567</v>
      </c>
      <c r="Y148" s="104">
        <v>0.7939</v>
      </c>
      <c r="Z148" s="104">
        <v>0.8467</v>
      </c>
      <c r="AA148" s="104">
        <v>0.6812</v>
      </c>
      <c r="AB148" s="104">
        <v>0.6339</v>
      </c>
      <c r="AC148" s="104">
        <v>0.4283</v>
      </c>
      <c r="AD148" s="104">
        <v>1.0</v>
      </c>
      <c r="AE148" s="104">
        <v>0.5997</v>
      </c>
      <c r="AF148" s="104">
        <v>0.8466</v>
      </c>
      <c r="AG148" s="104">
        <v>1.0</v>
      </c>
      <c r="AH148" s="104">
        <v>0.7166</v>
      </c>
      <c r="AI148" s="104">
        <v>0.8349</v>
      </c>
      <c r="AJ148" s="104">
        <v>0.8465</v>
      </c>
      <c r="AK148" s="104">
        <v>1.0</v>
      </c>
      <c r="AL148" s="104">
        <v>0.7173</v>
      </c>
      <c r="AM148" s="104">
        <v>0.8354</v>
      </c>
      <c r="AN148" s="104">
        <v>0.847</v>
      </c>
      <c r="AO148" s="49"/>
      <c r="AP148" s="49"/>
      <c r="AQ148" s="49"/>
    </row>
    <row r="149">
      <c r="A149" s="13"/>
      <c r="B149" s="13"/>
      <c r="C149" s="87">
        <v>2.0</v>
      </c>
      <c r="D149" s="104">
        <v>1.0</v>
      </c>
      <c r="E149" s="104">
        <v>1.0</v>
      </c>
      <c r="F149" s="104">
        <v>1.0</v>
      </c>
      <c r="G149" s="104">
        <v>0.7051</v>
      </c>
      <c r="H149" s="104">
        <v>0.9372</v>
      </c>
      <c r="I149" s="104">
        <v>0.0</v>
      </c>
      <c r="J149" s="104">
        <v>0.9445</v>
      </c>
      <c r="K149" s="92">
        <v>1.0</v>
      </c>
      <c r="L149" s="104">
        <v>0.324140000000001</v>
      </c>
      <c r="M149" s="104">
        <v>0.0253</v>
      </c>
      <c r="N149" s="48">
        <f t="shared" si="2"/>
        <v>0.9374562164</v>
      </c>
      <c r="O149" s="48">
        <f t="shared" si="1"/>
        <v>22.10135012</v>
      </c>
      <c r="P149" s="104">
        <v>28.999507</v>
      </c>
      <c r="Q149" s="104">
        <v>1.302181</v>
      </c>
      <c r="R149" s="104">
        <v>0.9284</v>
      </c>
      <c r="S149" s="104">
        <v>0.9502</v>
      </c>
      <c r="T149" s="104">
        <v>0.9031</v>
      </c>
      <c r="U149" s="104">
        <v>0.9492</v>
      </c>
      <c r="V149" s="104">
        <v>0.9502</v>
      </c>
      <c r="W149" s="104">
        <v>0.9284</v>
      </c>
      <c r="X149" s="104">
        <v>0.9173</v>
      </c>
      <c r="Y149" s="104">
        <v>0.9327</v>
      </c>
      <c r="Z149" s="104">
        <v>0.9597</v>
      </c>
      <c r="AA149" s="104">
        <v>0.8863</v>
      </c>
      <c r="AB149" s="104">
        <v>0.879</v>
      </c>
      <c r="AC149" s="104">
        <v>0.7094</v>
      </c>
      <c r="AD149" s="104">
        <v>1.0</v>
      </c>
      <c r="AE149" s="104">
        <v>0.83</v>
      </c>
      <c r="AF149" s="104">
        <v>0.9557</v>
      </c>
      <c r="AG149" s="104">
        <v>1.0</v>
      </c>
      <c r="AH149" s="104">
        <v>0.8974</v>
      </c>
      <c r="AI149" s="104">
        <v>0.9459</v>
      </c>
      <c r="AJ149" s="104">
        <v>0.9473</v>
      </c>
      <c r="AK149" s="104">
        <v>1.0</v>
      </c>
      <c r="AL149" s="104">
        <v>0.9533</v>
      </c>
      <c r="AM149" s="104">
        <v>0.9761</v>
      </c>
      <c r="AN149" s="104">
        <v>0.9764</v>
      </c>
      <c r="AO149" s="49"/>
      <c r="AP149" s="49"/>
      <c r="AQ149" s="49"/>
    </row>
    <row r="150">
      <c r="A150" s="13"/>
      <c r="B150" s="13"/>
      <c r="C150" s="87">
        <v>3.0</v>
      </c>
      <c r="D150" s="104">
        <v>1.0</v>
      </c>
      <c r="E150" s="104">
        <v>1.0</v>
      </c>
      <c r="F150" s="104">
        <v>1.0</v>
      </c>
      <c r="G150" s="104">
        <v>0.6468</v>
      </c>
      <c r="H150" s="104">
        <v>0.9775</v>
      </c>
      <c r="I150" s="104">
        <v>0.0</v>
      </c>
      <c r="J150" s="104">
        <v>0.9795</v>
      </c>
      <c r="K150" s="92">
        <v>1.0</v>
      </c>
      <c r="L150" s="104">
        <v>0.324140000000001</v>
      </c>
      <c r="M150" s="104">
        <v>0.0246</v>
      </c>
      <c r="N150" s="48">
        <f t="shared" si="2"/>
        <v>0.9772135785</v>
      </c>
      <c r="O150" s="48">
        <f t="shared" si="1"/>
        <v>22.40617577</v>
      </c>
      <c r="P150" s="104">
        <v>28.999507</v>
      </c>
      <c r="Q150" s="104">
        <v>1.362364</v>
      </c>
      <c r="R150" s="104">
        <v>0.975</v>
      </c>
      <c r="S150" s="104">
        <v>0.9823</v>
      </c>
      <c r="T150" s="104">
        <v>0.9597</v>
      </c>
      <c r="U150" s="104">
        <v>0.978</v>
      </c>
      <c r="V150" s="104">
        <v>0.9823</v>
      </c>
      <c r="W150" s="104">
        <v>0.975</v>
      </c>
      <c r="X150" s="104">
        <v>0.9695</v>
      </c>
      <c r="Y150" s="104">
        <v>0.9756</v>
      </c>
      <c r="Z150" s="104">
        <v>0.9859</v>
      </c>
      <c r="AA150" s="104">
        <v>0.9576</v>
      </c>
      <c r="AB150" s="104">
        <v>0.9566</v>
      </c>
      <c r="AC150" s="104">
        <v>0.879</v>
      </c>
      <c r="AD150" s="104">
        <v>1.0</v>
      </c>
      <c r="AE150" s="104">
        <v>0.9356</v>
      </c>
      <c r="AF150" s="104">
        <v>0.9846</v>
      </c>
      <c r="AG150" s="104">
        <v>1.0</v>
      </c>
      <c r="AH150" s="104">
        <v>0.9645</v>
      </c>
      <c r="AI150" s="104">
        <v>0.9819</v>
      </c>
      <c r="AJ150" s="104">
        <v>0.9821</v>
      </c>
      <c r="AK150" s="104">
        <v>1.0</v>
      </c>
      <c r="AL150" s="104">
        <v>0.9823</v>
      </c>
      <c r="AM150" s="104">
        <v>0.9911</v>
      </c>
      <c r="AN150" s="104">
        <v>0.9911</v>
      </c>
      <c r="AO150" s="49"/>
      <c r="AP150" s="49"/>
      <c r="AQ150" s="49"/>
    </row>
    <row r="151">
      <c r="A151" s="13"/>
      <c r="B151" s="16"/>
      <c r="C151" s="87">
        <v>4.0</v>
      </c>
      <c r="D151" s="104">
        <v>1.0</v>
      </c>
      <c r="E151" s="104">
        <v>1.0</v>
      </c>
      <c r="F151" s="104">
        <v>1.0</v>
      </c>
      <c r="G151" s="104">
        <v>0.7051</v>
      </c>
      <c r="H151" s="104">
        <v>0.9372</v>
      </c>
      <c r="I151" s="104">
        <v>0.0</v>
      </c>
      <c r="J151" s="104">
        <v>0.9445</v>
      </c>
      <c r="K151" s="92">
        <v>1.0</v>
      </c>
      <c r="L151" s="104">
        <v>0.324140000000001</v>
      </c>
      <c r="M151" s="104">
        <v>0.0253</v>
      </c>
      <c r="N151" s="48">
        <f t="shared" si="2"/>
        <v>0.9374562164</v>
      </c>
      <c r="O151" s="48">
        <f t="shared" si="1"/>
        <v>22.10135012</v>
      </c>
      <c r="P151" s="104">
        <v>28.999507</v>
      </c>
      <c r="Q151" s="104">
        <v>1.302181</v>
      </c>
      <c r="R151" s="104">
        <v>0.9284</v>
      </c>
      <c r="S151" s="104">
        <v>0.9502</v>
      </c>
      <c r="T151" s="104">
        <v>0.9031</v>
      </c>
      <c r="U151" s="104">
        <v>0.9492</v>
      </c>
      <c r="V151" s="104">
        <v>0.9502</v>
      </c>
      <c r="W151" s="104">
        <v>0.9284</v>
      </c>
      <c r="X151" s="104">
        <v>0.9173</v>
      </c>
      <c r="Y151" s="104">
        <v>0.9327</v>
      </c>
      <c r="Z151" s="104">
        <v>0.9597</v>
      </c>
      <c r="AA151" s="104">
        <v>0.8863</v>
      </c>
      <c r="AB151" s="104">
        <v>0.879</v>
      </c>
      <c r="AC151" s="104">
        <v>0.7094</v>
      </c>
      <c r="AD151" s="104">
        <v>1.0</v>
      </c>
      <c r="AE151" s="104">
        <v>0.83</v>
      </c>
      <c r="AF151" s="104">
        <v>0.9557</v>
      </c>
      <c r="AG151" s="104">
        <v>1.0</v>
      </c>
      <c r="AH151" s="104">
        <v>0.8974</v>
      </c>
      <c r="AI151" s="104">
        <v>0.9459</v>
      </c>
      <c r="AJ151" s="104">
        <v>0.9473</v>
      </c>
      <c r="AK151" s="104">
        <v>1.0</v>
      </c>
      <c r="AL151" s="104">
        <v>0.9533</v>
      </c>
      <c r="AM151" s="104">
        <v>0.9761</v>
      </c>
      <c r="AN151" s="104">
        <v>0.9764</v>
      </c>
      <c r="AO151" s="49"/>
      <c r="AP151" s="49"/>
      <c r="AQ151" s="49"/>
    </row>
    <row r="152">
      <c r="A152" s="13"/>
      <c r="B152" s="91" t="s">
        <v>23</v>
      </c>
      <c r="C152" s="87">
        <v>1.0</v>
      </c>
      <c r="D152" s="104">
        <v>1.0</v>
      </c>
      <c r="E152" s="104">
        <v>1.0</v>
      </c>
      <c r="F152" s="104">
        <v>1.0</v>
      </c>
      <c r="G152" s="104">
        <v>0.829</v>
      </c>
      <c r="H152" s="104">
        <v>0.8323</v>
      </c>
      <c r="I152" s="104">
        <v>0.2715</v>
      </c>
      <c r="J152" s="104">
        <v>0.8403</v>
      </c>
      <c r="K152" s="92">
        <v>1.0</v>
      </c>
      <c r="L152" s="104">
        <v>0.324140000000001</v>
      </c>
      <c r="M152" s="104">
        <v>0.6909</v>
      </c>
      <c r="N152" s="48">
        <f t="shared" si="2"/>
        <v>0.8087931735</v>
      </c>
      <c r="O152" s="48">
        <f t="shared" si="1"/>
        <v>75.93964512</v>
      </c>
      <c r="P152" s="104">
        <v>47.812305</v>
      </c>
      <c r="Q152" s="104">
        <v>0.544405</v>
      </c>
      <c r="R152" s="104">
        <v>0.7754</v>
      </c>
      <c r="S152" s="104">
        <v>0.8124</v>
      </c>
      <c r="T152" s="104">
        <v>0.8073</v>
      </c>
      <c r="U152" s="104">
        <v>0.8888</v>
      </c>
      <c r="V152" s="104">
        <v>0.8124</v>
      </c>
      <c r="W152" s="104">
        <v>0.7754</v>
      </c>
      <c r="X152" s="104">
        <v>0.7628</v>
      </c>
      <c r="Y152" s="104">
        <v>0.7991</v>
      </c>
      <c r="Z152" s="104">
        <v>0.8491</v>
      </c>
      <c r="AA152" s="104">
        <v>0.6814</v>
      </c>
      <c r="AB152" s="104">
        <v>0.6427</v>
      </c>
      <c r="AC152" s="104">
        <v>0.4457</v>
      </c>
      <c r="AD152" s="104">
        <v>0.983</v>
      </c>
      <c r="AE152" s="104">
        <v>0.6134</v>
      </c>
      <c r="AF152" s="104">
        <v>0.8533</v>
      </c>
      <c r="AG152" s="104">
        <v>0.9761</v>
      </c>
      <c r="AH152" s="104">
        <v>0.7368</v>
      </c>
      <c r="AI152" s="104">
        <v>0.8397</v>
      </c>
      <c r="AJ152" s="104">
        <v>0.847</v>
      </c>
      <c r="AK152" s="104">
        <v>1.0</v>
      </c>
      <c r="AL152" s="104">
        <v>0.7173</v>
      </c>
      <c r="AM152" s="104">
        <v>0.8354</v>
      </c>
      <c r="AN152" s="104">
        <v>0.847</v>
      </c>
      <c r="AO152" s="49"/>
      <c r="AP152" s="49"/>
      <c r="AQ152" s="49"/>
    </row>
    <row r="153">
      <c r="A153" s="13"/>
      <c r="B153" s="13"/>
      <c r="C153" s="87">
        <v>2.0</v>
      </c>
      <c r="D153" s="104">
        <v>1.0</v>
      </c>
      <c r="E153" s="104">
        <v>1.0</v>
      </c>
      <c r="F153" s="104">
        <v>1.0</v>
      </c>
      <c r="G153" s="104">
        <v>0.7051</v>
      </c>
      <c r="H153" s="104">
        <v>0.9372</v>
      </c>
      <c r="I153" s="104">
        <v>0.1844</v>
      </c>
      <c r="J153" s="104">
        <v>0.9445</v>
      </c>
      <c r="K153" s="92">
        <v>1.0</v>
      </c>
      <c r="L153" s="104">
        <v>0.324140000000001</v>
      </c>
      <c r="M153" s="104">
        <v>0.6489</v>
      </c>
      <c r="N153" s="48">
        <f t="shared" si="2"/>
        <v>0.9374562164</v>
      </c>
      <c r="O153" s="48">
        <f t="shared" si="1"/>
        <v>80.9173601</v>
      </c>
      <c r="P153" s="104">
        <v>47.812305</v>
      </c>
      <c r="Q153" s="104">
        <v>0.64269</v>
      </c>
      <c r="R153" s="104">
        <v>0.9284</v>
      </c>
      <c r="S153" s="104">
        <v>0.9502</v>
      </c>
      <c r="T153" s="104">
        <v>0.9031</v>
      </c>
      <c r="U153" s="104">
        <v>0.9492</v>
      </c>
      <c r="V153" s="104">
        <v>0.9502</v>
      </c>
      <c r="W153" s="104">
        <v>0.9284</v>
      </c>
      <c r="X153" s="104">
        <v>0.9173</v>
      </c>
      <c r="Y153" s="104">
        <v>0.9327</v>
      </c>
      <c r="Z153" s="104">
        <v>0.9597</v>
      </c>
      <c r="AA153" s="104">
        <v>0.8863</v>
      </c>
      <c r="AB153" s="104">
        <v>0.879</v>
      </c>
      <c r="AC153" s="104">
        <v>0.7094</v>
      </c>
      <c r="AD153" s="104">
        <v>1.0</v>
      </c>
      <c r="AE153" s="104">
        <v>0.83</v>
      </c>
      <c r="AF153" s="104">
        <v>0.9557</v>
      </c>
      <c r="AG153" s="104">
        <v>1.0</v>
      </c>
      <c r="AH153" s="104">
        <v>0.8974</v>
      </c>
      <c r="AI153" s="104">
        <v>0.9459</v>
      </c>
      <c r="AJ153" s="104">
        <v>0.9473</v>
      </c>
      <c r="AK153" s="104">
        <v>1.0</v>
      </c>
      <c r="AL153" s="104">
        <v>0.9533</v>
      </c>
      <c r="AM153" s="104">
        <v>0.9761</v>
      </c>
      <c r="AN153" s="104">
        <v>0.9764</v>
      </c>
      <c r="AO153" s="49"/>
      <c r="AP153" s="49"/>
      <c r="AQ153" s="49"/>
    </row>
    <row r="154">
      <c r="A154" s="13"/>
      <c r="B154" s="13"/>
      <c r="C154" s="87">
        <v>3.0</v>
      </c>
      <c r="D154" s="104">
        <v>1.0</v>
      </c>
      <c r="E154" s="104">
        <v>1.0</v>
      </c>
      <c r="F154" s="104">
        <v>1.0</v>
      </c>
      <c r="G154" s="104">
        <v>0.6468</v>
      </c>
      <c r="H154" s="104">
        <v>0.9775</v>
      </c>
      <c r="I154" s="104">
        <v>0.167</v>
      </c>
      <c r="J154" s="104">
        <v>0.9795</v>
      </c>
      <c r="K154" s="92">
        <v>1.0</v>
      </c>
      <c r="L154" s="104">
        <v>0.324140000000001</v>
      </c>
      <c r="M154" s="104">
        <v>0.6352</v>
      </c>
      <c r="N154" s="48">
        <f t="shared" si="2"/>
        <v>0.9772135785</v>
      </c>
      <c r="O154" s="48">
        <f t="shared" si="1"/>
        <v>82.25416377</v>
      </c>
      <c r="P154" s="104">
        <v>47.812305</v>
      </c>
      <c r="Q154" s="104">
        <v>0.729056</v>
      </c>
      <c r="R154" s="104">
        <v>0.975</v>
      </c>
      <c r="S154" s="104">
        <v>0.9823</v>
      </c>
      <c r="T154" s="104">
        <v>0.9597</v>
      </c>
      <c r="U154" s="104">
        <v>0.978</v>
      </c>
      <c r="V154" s="104">
        <v>0.9823</v>
      </c>
      <c r="W154" s="104">
        <v>0.975</v>
      </c>
      <c r="X154" s="104">
        <v>0.9695</v>
      </c>
      <c r="Y154" s="104">
        <v>0.9756</v>
      </c>
      <c r="Z154" s="104">
        <v>0.9859</v>
      </c>
      <c r="AA154" s="104">
        <v>0.9576</v>
      </c>
      <c r="AB154" s="104">
        <v>0.9566</v>
      </c>
      <c r="AC154" s="104">
        <v>0.879</v>
      </c>
      <c r="AD154" s="104">
        <v>1.0</v>
      </c>
      <c r="AE154" s="104">
        <v>0.9356</v>
      </c>
      <c r="AF154" s="104">
        <v>0.9846</v>
      </c>
      <c r="AG154" s="104">
        <v>1.0</v>
      </c>
      <c r="AH154" s="104">
        <v>0.9645</v>
      </c>
      <c r="AI154" s="104">
        <v>0.9819</v>
      </c>
      <c r="AJ154" s="104">
        <v>0.9821</v>
      </c>
      <c r="AK154" s="104">
        <v>1.0</v>
      </c>
      <c r="AL154" s="104">
        <v>0.9823</v>
      </c>
      <c r="AM154" s="104">
        <v>0.9911</v>
      </c>
      <c r="AN154" s="104">
        <v>0.9911</v>
      </c>
      <c r="AO154" s="49"/>
      <c r="AP154" s="49"/>
      <c r="AQ154" s="49"/>
    </row>
    <row r="155">
      <c r="A155" s="13"/>
      <c r="B155" s="16"/>
      <c r="C155" s="87">
        <v>4.0</v>
      </c>
      <c r="D155" s="104">
        <v>1.0</v>
      </c>
      <c r="E155" s="104">
        <v>1.0</v>
      </c>
      <c r="F155" s="104">
        <v>1.0</v>
      </c>
      <c r="G155" s="104">
        <v>0.7051</v>
      </c>
      <c r="H155" s="104">
        <v>0.9372</v>
      </c>
      <c r="I155" s="104">
        <v>0.1844</v>
      </c>
      <c r="J155" s="104">
        <v>0.9445</v>
      </c>
      <c r="K155" s="92">
        <v>1.0</v>
      </c>
      <c r="L155" s="104">
        <v>0.324140000000001</v>
      </c>
      <c r="M155" s="104">
        <v>0.6489</v>
      </c>
      <c r="N155" s="48">
        <f t="shared" si="2"/>
        <v>0.9374562164</v>
      </c>
      <c r="O155" s="48">
        <f t="shared" si="1"/>
        <v>80.9173601</v>
      </c>
      <c r="P155" s="104">
        <v>47.812305</v>
      </c>
      <c r="Q155" s="104">
        <v>0.64269</v>
      </c>
      <c r="R155" s="104">
        <v>0.9284</v>
      </c>
      <c r="S155" s="104">
        <v>0.9502</v>
      </c>
      <c r="T155" s="104">
        <v>0.9031</v>
      </c>
      <c r="U155" s="104">
        <v>0.9492</v>
      </c>
      <c r="V155" s="104">
        <v>0.9502</v>
      </c>
      <c r="W155" s="104">
        <v>0.9284</v>
      </c>
      <c r="X155" s="104">
        <v>0.9173</v>
      </c>
      <c r="Y155" s="104">
        <v>0.9327</v>
      </c>
      <c r="Z155" s="104">
        <v>0.9597</v>
      </c>
      <c r="AA155" s="104">
        <v>0.8863</v>
      </c>
      <c r="AB155" s="104">
        <v>0.879</v>
      </c>
      <c r="AC155" s="104">
        <v>0.7094</v>
      </c>
      <c r="AD155" s="104">
        <v>1.0</v>
      </c>
      <c r="AE155" s="104">
        <v>0.83</v>
      </c>
      <c r="AF155" s="104">
        <v>0.9557</v>
      </c>
      <c r="AG155" s="104">
        <v>1.0</v>
      </c>
      <c r="AH155" s="104">
        <v>0.8974</v>
      </c>
      <c r="AI155" s="104">
        <v>0.9459</v>
      </c>
      <c r="AJ155" s="104">
        <v>0.9473</v>
      </c>
      <c r="AK155" s="104">
        <v>1.0</v>
      </c>
      <c r="AL155" s="104">
        <v>0.9533</v>
      </c>
      <c r="AM155" s="104">
        <v>0.9761</v>
      </c>
      <c r="AN155" s="104">
        <v>0.9764</v>
      </c>
      <c r="AO155" s="49"/>
      <c r="AP155" s="49"/>
      <c r="AQ155" s="49"/>
    </row>
    <row r="156">
      <c r="A156" s="13"/>
      <c r="B156" s="91" t="s">
        <v>24</v>
      </c>
      <c r="C156" s="87">
        <v>1.0</v>
      </c>
      <c r="D156" s="104">
        <v>1.0</v>
      </c>
      <c r="E156" s="104">
        <v>1.0</v>
      </c>
      <c r="F156" s="104">
        <v>1.0</v>
      </c>
      <c r="G156" s="104">
        <v>0.5274</v>
      </c>
      <c r="H156" s="104">
        <v>0.9197</v>
      </c>
      <c r="I156" s="104">
        <v>0.8138</v>
      </c>
      <c r="J156" s="104">
        <v>0.9116</v>
      </c>
      <c r="K156" s="92">
        <v>1.0</v>
      </c>
      <c r="L156" s="104">
        <v>0.324140000000001</v>
      </c>
      <c r="M156" s="104">
        <v>0.8151</v>
      </c>
      <c r="N156" s="48">
        <f t="shared" si="2"/>
        <v>0.647170499</v>
      </c>
      <c r="O156" s="48">
        <f t="shared" si="1"/>
        <v>70.9733957</v>
      </c>
      <c r="P156" s="104">
        <v>6105.564963</v>
      </c>
      <c r="Q156" s="104">
        <v>4.739603</v>
      </c>
      <c r="R156" s="104">
        <v>0.6895</v>
      </c>
      <c r="S156" s="104">
        <v>0.5881</v>
      </c>
      <c r="T156" s="104">
        <v>0.6025</v>
      </c>
      <c r="U156" s="104">
        <v>0.6643</v>
      </c>
      <c r="V156" s="104">
        <v>0.5881</v>
      </c>
      <c r="W156" s="104">
        <v>0.6895</v>
      </c>
      <c r="X156" s="104">
        <v>0.586</v>
      </c>
      <c r="Y156" s="104">
        <v>0.6713</v>
      </c>
      <c r="Z156" s="104">
        <v>0.6322</v>
      </c>
      <c r="AA156" s="104">
        <v>0.4291</v>
      </c>
      <c r="AB156" s="104">
        <v>0.4247</v>
      </c>
      <c r="AC156" s="104">
        <v>0.3961</v>
      </c>
      <c r="AD156" s="104">
        <v>0.2208</v>
      </c>
      <c r="AE156" s="104">
        <v>0.2835</v>
      </c>
      <c r="AF156" s="104">
        <v>0.4528</v>
      </c>
      <c r="AG156" s="104">
        <v>0.7413</v>
      </c>
      <c r="AH156" s="104">
        <v>0.8111</v>
      </c>
      <c r="AI156" s="104">
        <v>0.7747</v>
      </c>
      <c r="AJ156" s="104">
        <v>0.6908</v>
      </c>
      <c r="AK156" s="104">
        <v>0.6701</v>
      </c>
      <c r="AL156" s="104">
        <v>0.7324</v>
      </c>
      <c r="AM156" s="104">
        <v>0.6999</v>
      </c>
      <c r="AN156" s="104">
        <v>0.8078</v>
      </c>
      <c r="AO156" s="49"/>
      <c r="AP156" s="49"/>
      <c r="AQ156" s="49"/>
    </row>
    <row r="157">
      <c r="A157" s="13"/>
      <c r="B157" s="13"/>
      <c r="C157" s="87">
        <v>2.0</v>
      </c>
      <c r="D157" s="104">
        <v>1.0</v>
      </c>
      <c r="E157" s="104">
        <v>1.0</v>
      </c>
      <c r="F157" s="104">
        <v>1.0</v>
      </c>
      <c r="G157" s="104">
        <v>0.5704</v>
      </c>
      <c r="H157" s="104">
        <v>0.8745</v>
      </c>
      <c r="I157" s="104">
        <v>0.9439</v>
      </c>
      <c r="J157" s="104">
        <v>0.8652</v>
      </c>
      <c r="K157" s="92">
        <v>1.0</v>
      </c>
      <c r="L157" s="104">
        <v>0.324140000000001</v>
      </c>
      <c r="M157" s="104">
        <v>0.8356</v>
      </c>
      <c r="N157" s="48">
        <f t="shared" si="2"/>
        <v>0.7126134728</v>
      </c>
      <c r="O157" s="48">
        <f t="shared" si="1"/>
        <v>75.947204</v>
      </c>
      <c r="P157" s="104">
        <v>6105.564963</v>
      </c>
      <c r="Q157" s="104">
        <v>5.096081</v>
      </c>
      <c r="R157" s="104">
        <v>0.7484</v>
      </c>
      <c r="S157" s="104">
        <v>0.6654</v>
      </c>
      <c r="T157" s="104">
        <v>0.6995</v>
      </c>
      <c r="U157" s="104">
        <v>0.7359</v>
      </c>
      <c r="V157" s="104">
        <v>0.6654</v>
      </c>
      <c r="W157" s="104">
        <v>0.7484</v>
      </c>
      <c r="X157" s="104">
        <v>0.6481</v>
      </c>
      <c r="Y157" s="104">
        <v>0.7229</v>
      </c>
      <c r="Z157" s="104">
        <v>0.6847</v>
      </c>
      <c r="AA157" s="104">
        <v>0.5517</v>
      </c>
      <c r="AB157" s="104">
        <v>0.5415</v>
      </c>
      <c r="AC157" s="104">
        <v>0.6097</v>
      </c>
      <c r="AD157" s="104">
        <v>0.2307</v>
      </c>
      <c r="AE157" s="104">
        <v>0.3348</v>
      </c>
      <c r="AF157" s="104">
        <v>0.4728</v>
      </c>
      <c r="AG157" s="104">
        <v>0.7866</v>
      </c>
      <c r="AH157" s="104">
        <v>0.8255</v>
      </c>
      <c r="AI157" s="104">
        <v>0.8056</v>
      </c>
      <c r="AJ157" s="104">
        <v>0.7476</v>
      </c>
      <c r="AK157" s="104">
        <v>0.7023</v>
      </c>
      <c r="AL157" s="104">
        <v>0.9398</v>
      </c>
      <c r="AM157" s="104">
        <v>0.8039</v>
      </c>
      <c r="AN157" s="104">
        <v>0.9083</v>
      </c>
      <c r="AO157" s="49"/>
      <c r="AP157" s="49"/>
      <c r="AQ157" s="49"/>
    </row>
    <row r="158">
      <c r="A158" s="13"/>
      <c r="B158" s="13"/>
      <c r="C158" s="87">
        <v>3.0</v>
      </c>
      <c r="D158" s="104">
        <v>1.0</v>
      </c>
      <c r="E158" s="104">
        <v>1.0</v>
      </c>
      <c r="F158" s="104">
        <v>1.0</v>
      </c>
      <c r="G158" s="104">
        <v>0.5465</v>
      </c>
      <c r="H158" s="104">
        <v>0.8717</v>
      </c>
      <c r="I158" s="104">
        <v>0.9642</v>
      </c>
      <c r="J158" s="104">
        <v>0.8693</v>
      </c>
      <c r="K158" s="92">
        <v>1.0</v>
      </c>
      <c r="L158" s="104">
        <v>0.324140000000001</v>
      </c>
      <c r="M158" s="104">
        <v>0.8323</v>
      </c>
      <c r="N158" s="48">
        <f t="shared" si="2"/>
        <v>0.7415359727</v>
      </c>
      <c r="O158" s="48">
        <f t="shared" si="1"/>
        <v>77.65891029</v>
      </c>
      <c r="P158" s="104">
        <v>6105.564963</v>
      </c>
      <c r="Q158" s="104">
        <v>5.317183</v>
      </c>
      <c r="R158" s="104">
        <v>0.7724</v>
      </c>
      <c r="S158" s="104">
        <v>0.6971</v>
      </c>
      <c r="T158" s="104">
        <v>0.7632</v>
      </c>
      <c r="U158" s="104">
        <v>0.7727</v>
      </c>
      <c r="V158" s="104">
        <v>0.6971</v>
      </c>
      <c r="W158" s="104">
        <v>0.7724</v>
      </c>
      <c r="X158" s="104">
        <v>0.6878</v>
      </c>
      <c r="Y158" s="104">
        <v>0.7483</v>
      </c>
      <c r="Z158" s="104">
        <v>0.717</v>
      </c>
      <c r="AA158" s="104">
        <v>0.5942</v>
      </c>
      <c r="AB158" s="104">
        <v>0.5823</v>
      </c>
      <c r="AC158" s="104">
        <v>0.7616</v>
      </c>
      <c r="AD158" s="104">
        <v>0.2801</v>
      </c>
      <c r="AE158" s="104">
        <v>0.4095</v>
      </c>
      <c r="AF158" s="104">
        <v>0.524</v>
      </c>
      <c r="AG158" s="104">
        <v>0.7894</v>
      </c>
      <c r="AH158" s="104">
        <v>0.8509</v>
      </c>
      <c r="AI158" s="104">
        <v>0.819</v>
      </c>
      <c r="AJ158" s="104">
        <v>0.7571</v>
      </c>
      <c r="AK158" s="104">
        <v>0.7384</v>
      </c>
      <c r="AL158" s="104">
        <v>0.9602</v>
      </c>
      <c r="AM158" s="104">
        <v>0.8349</v>
      </c>
      <c r="AN158" s="104">
        <v>0.9291</v>
      </c>
      <c r="AO158" s="49"/>
      <c r="AP158" s="49"/>
      <c r="AQ158" s="49"/>
    </row>
    <row r="159">
      <c r="A159" s="13"/>
      <c r="B159" s="16"/>
      <c r="C159" s="87">
        <v>4.0</v>
      </c>
      <c r="D159" s="104">
        <v>1.0</v>
      </c>
      <c r="E159" s="104">
        <v>1.0</v>
      </c>
      <c r="F159" s="104">
        <v>1.0</v>
      </c>
      <c r="G159" s="104">
        <v>0.3533</v>
      </c>
      <c r="H159" s="104">
        <v>0.8671</v>
      </c>
      <c r="I159" s="104">
        <v>0.6053</v>
      </c>
      <c r="J159" s="104">
        <v>0.867</v>
      </c>
      <c r="K159" s="92">
        <v>1.0</v>
      </c>
      <c r="L159" s="104">
        <v>0.324140000000001</v>
      </c>
      <c r="M159" s="104">
        <v>0.6938</v>
      </c>
      <c r="N159" s="48">
        <f t="shared" si="2"/>
        <v>0.6472274191</v>
      </c>
      <c r="O159" s="48">
        <f t="shared" si="1"/>
        <v>66.54690512</v>
      </c>
      <c r="P159" s="104">
        <v>6105.564963</v>
      </c>
      <c r="Q159" s="104">
        <v>5.415625</v>
      </c>
      <c r="R159" s="104">
        <v>0.7</v>
      </c>
      <c r="S159" s="104">
        <v>0.5749</v>
      </c>
      <c r="T159" s="104">
        <v>0.7126</v>
      </c>
      <c r="U159" s="104">
        <v>0.705</v>
      </c>
      <c r="V159" s="104">
        <v>0.5749</v>
      </c>
      <c r="W159" s="104">
        <v>0.7</v>
      </c>
      <c r="X159" s="104">
        <v>0.6111</v>
      </c>
      <c r="Y159" s="104">
        <v>0.6775</v>
      </c>
      <c r="Z159" s="104">
        <v>0.6262</v>
      </c>
      <c r="AA159" s="104">
        <v>0.427</v>
      </c>
      <c r="AB159" s="104">
        <v>0.4001</v>
      </c>
      <c r="AC159" s="104">
        <v>0.7284</v>
      </c>
      <c r="AD159" s="104">
        <v>0.4011</v>
      </c>
      <c r="AE159" s="104">
        <v>0.5173</v>
      </c>
      <c r="AF159" s="104">
        <v>0.6226</v>
      </c>
      <c r="AG159" s="104">
        <v>0.6934</v>
      </c>
      <c r="AH159" s="104">
        <v>0.8989</v>
      </c>
      <c r="AI159" s="104">
        <v>0.7829</v>
      </c>
      <c r="AJ159" s="104">
        <v>0.6208</v>
      </c>
      <c r="AK159" s="104">
        <v>0.716</v>
      </c>
      <c r="AL159" s="104">
        <v>0.4247</v>
      </c>
      <c r="AM159" s="104">
        <v>0.5331</v>
      </c>
      <c r="AN159" s="104">
        <v>0.6354</v>
      </c>
      <c r="AO159" s="49"/>
      <c r="AP159" s="49"/>
      <c r="AQ159" s="49"/>
    </row>
    <row r="160">
      <c r="A160" s="13"/>
      <c r="B160" s="91" t="s">
        <v>25</v>
      </c>
      <c r="C160" s="87">
        <v>1.0</v>
      </c>
      <c r="D160" s="104">
        <v>1.0</v>
      </c>
      <c r="E160" s="104">
        <v>1.0</v>
      </c>
      <c r="F160" s="104">
        <v>1.0</v>
      </c>
      <c r="G160" s="104">
        <v>0.4069</v>
      </c>
      <c r="H160" s="104">
        <v>0.8974</v>
      </c>
      <c r="I160" s="104">
        <v>0.8363</v>
      </c>
      <c r="J160" s="104">
        <v>0.8959</v>
      </c>
      <c r="K160" s="92">
        <v>1.0</v>
      </c>
      <c r="L160" s="104">
        <v>0.324140000000001</v>
      </c>
      <c r="M160" s="104">
        <v>0.7717</v>
      </c>
      <c r="N160" s="48">
        <f t="shared" si="2"/>
        <v>0.6488057392</v>
      </c>
      <c r="O160" s="48">
        <f t="shared" si="1"/>
        <v>69.54216544</v>
      </c>
      <c r="P160" s="104">
        <v>6760.273671</v>
      </c>
      <c r="Q160" s="104">
        <v>4.624783</v>
      </c>
      <c r="R160" s="104">
        <v>0.6972</v>
      </c>
      <c r="S160" s="104">
        <v>0.5795</v>
      </c>
      <c r="T160" s="104">
        <v>0.677</v>
      </c>
      <c r="U160" s="104">
        <v>0.6996</v>
      </c>
      <c r="V160" s="104">
        <v>0.5795</v>
      </c>
      <c r="W160" s="104">
        <v>0.6972</v>
      </c>
      <c r="X160" s="104">
        <v>0.6096</v>
      </c>
      <c r="Y160" s="104">
        <v>0.683</v>
      </c>
      <c r="Z160" s="104">
        <v>0.6324</v>
      </c>
      <c r="AA160" s="104">
        <v>0.4242</v>
      </c>
      <c r="AB160" s="104">
        <v>0.4088</v>
      </c>
      <c r="AC160" s="104">
        <v>0.444</v>
      </c>
      <c r="AD160" s="104">
        <v>0.3157</v>
      </c>
      <c r="AE160" s="104">
        <v>0.369</v>
      </c>
      <c r="AF160" s="104">
        <v>0.5378</v>
      </c>
      <c r="AG160" s="104">
        <v>0.7027</v>
      </c>
      <c r="AH160" s="104">
        <v>0.8641</v>
      </c>
      <c r="AI160" s="104">
        <v>0.7751</v>
      </c>
      <c r="AJ160" s="104">
        <v>0.636</v>
      </c>
      <c r="AK160" s="104">
        <v>0.8844</v>
      </c>
      <c r="AL160" s="104">
        <v>0.5588</v>
      </c>
      <c r="AM160" s="104">
        <v>0.6849</v>
      </c>
      <c r="AN160" s="104">
        <v>0.7392</v>
      </c>
      <c r="AO160" s="49"/>
      <c r="AP160" s="49"/>
      <c r="AQ160" s="49"/>
    </row>
    <row r="161">
      <c r="A161" s="13"/>
      <c r="B161" s="13"/>
      <c r="C161" s="87">
        <v>2.0</v>
      </c>
      <c r="D161" s="104">
        <v>1.0</v>
      </c>
      <c r="E161" s="104">
        <v>1.0</v>
      </c>
      <c r="F161" s="104">
        <v>1.0</v>
      </c>
      <c r="G161" s="104">
        <v>0.542</v>
      </c>
      <c r="H161" s="104">
        <v>0.9567</v>
      </c>
      <c r="I161" s="104">
        <v>0.7691</v>
      </c>
      <c r="J161" s="104">
        <v>0.9609</v>
      </c>
      <c r="K161" s="92">
        <v>1.0</v>
      </c>
      <c r="L161" s="104">
        <v>0.324140000000001</v>
      </c>
      <c r="M161" s="104">
        <v>0.8254</v>
      </c>
      <c r="N161" s="48">
        <f t="shared" si="2"/>
        <v>0.7426957046</v>
      </c>
      <c r="O161" s="48">
        <f t="shared" si="1"/>
        <v>77.47334956</v>
      </c>
      <c r="P161" s="104">
        <v>6760.273671</v>
      </c>
      <c r="Q161" s="104">
        <v>4.980588</v>
      </c>
      <c r="R161" s="104">
        <v>0.7588</v>
      </c>
      <c r="S161" s="104">
        <v>0.6982</v>
      </c>
      <c r="T161" s="104">
        <v>0.7395</v>
      </c>
      <c r="U161" s="104">
        <v>0.7653</v>
      </c>
      <c r="V161" s="104">
        <v>0.6982</v>
      </c>
      <c r="W161" s="104">
        <v>0.7588</v>
      </c>
      <c r="X161" s="104">
        <v>0.7148</v>
      </c>
      <c r="Y161" s="104">
        <v>0.7588</v>
      </c>
      <c r="Z161" s="104">
        <v>0.7553</v>
      </c>
      <c r="AA161" s="104">
        <v>0.563</v>
      </c>
      <c r="AB161" s="104">
        <v>0.5602</v>
      </c>
      <c r="AC161" s="104">
        <v>0.5316</v>
      </c>
      <c r="AD161" s="104">
        <v>0.5327</v>
      </c>
      <c r="AE161" s="104">
        <v>0.5321</v>
      </c>
      <c r="AF161" s="104">
        <v>0.6927</v>
      </c>
      <c r="AG161" s="104">
        <v>0.7771</v>
      </c>
      <c r="AH161" s="104">
        <v>0.8405</v>
      </c>
      <c r="AI161" s="104">
        <v>0.8075</v>
      </c>
      <c r="AJ161" s="104">
        <v>0.7404</v>
      </c>
      <c r="AK161" s="104">
        <v>0.9097</v>
      </c>
      <c r="AL161" s="104">
        <v>0.7215</v>
      </c>
      <c r="AM161" s="104">
        <v>0.8048</v>
      </c>
      <c r="AN161" s="104">
        <v>0.84</v>
      </c>
      <c r="AO161" s="49"/>
      <c r="AP161" s="49"/>
      <c r="AQ161" s="49"/>
    </row>
    <row r="162">
      <c r="A162" s="13"/>
      <c r="B162" s="13"/>
      <c r="C162" s="87">
        <v>3.0</v>
      </c>
      <c r="D162" s="104">
        <v>1.0</v>
      </c>
      <c r="E162" s="104">
        <v>1.0</v>
      </c>
      <c r="F162" s="104">
        <v>1.0</v>
      </c>
      <c r="G162" s="104">
        <v>0.6091</v>
      </c>
      <c r="H162" s="104">
        <v>0.953</v>
      </c>
      <c r="I162" s="104">
        <v>0.7382</v>
      </c>
      <c r="J162" s="104">
        <v>0.9557</v>
      </c>
      <c r="K162" s="92">
        <v>1.0</v>
      </c>
      <c r="L162" s="104">
        <v>0.324140000000001</v>
      </c>
      <c r="M162" s="104">
        <v>0.8365</v>
      </c>
      <c r="N162" s="48">
        <f t="shared" si="2"/>
        <v>0.784715888</v>
      </c>
      <c r="O162" s="48">
        <f t="shared" si="1"/>
        <v>80.50333007</v>
      </c>
      <c r="P162" s="104">
        <v>6760.273671</v>
      </c>
      <c r="Q162" s="104">
        <v>5.249533</v>
      </c>
      <c r="R162" s="104">
        <v>0.7844</v>
      </c>
      <c r="S162" s="104">
        <v>0.7586</v>
      </c>
      <c r="T162" s="104">
        <v>0.7742</v>
      </c>
      <c r="U162" s="104">
        <v>0.799</v>
      </c>
      <c r="V162" s="104">
        <v>0.7586</v>
      </c>
      <c r="W162" s="104">
        <v>0.7844</v>
      </c>
      <c r="X162" s="104">
        <v>0.761</v>
      </c>
      <c r="Y162" s="104">
        <v>0.7883</v>
      </c>
      <c r="Z162" s="104">
        <v>0.8077</v>
      </c>
      <c r="AA162" s="104">
        <v>0.6219</v>
      </c>
      <c r="AB162" s="104">
        <v>0.6199</v>
      </c>
      <c r="AC162" s="104">
        <v>0.5764</v>
      </c>
      <c r="AD162" s="104">
        <v>0.7041</v>
      </c>
      <c r="AE162" s="104">
        <v>0.6339</v>
      </c>
      <c r="AF162" s="104">
        <v>0.7895</v>
      </c>
      <c r="AG162" s="104">
        <v>0.8171</v>
      </c>
      <c r="AH162" s="104">
        <v>0.823</v>
      </c>
      <c r="AI162" s="104">
        <v>0.82</v>
      </c>
      <c r="AJ162" s="104">
        <v>0.7779</v>
      </c>
      <c r="AK162" s="104">
        <v>0.929</v>
      </c>
      <c r="AL162" s="104">
        <v>0.7486</v>
      </c>
      <c r="AM162" s="104">
        <v>0.8291</v>
      </c>
      <c r="AN162" s="104">
        <v>0.8578</v>
      </c>
      <c r="AO162" s="49"/>
      <c r="AP162" s="49"/>
      <c r="AQ162" s="49"/>
    </row>
    <row r="163">
      <c r="A163" s="13"/>
      <c r="B163" s="16"/>
      <c r="C163" s="87">
        <v>4.0</v>
      </c>
      <c r="D163" s="104">
        <v>1.0</v>
      </c>
      <c r="E163" s="104">
        <v>1.0</v>
      </c>
      <c r="F163" s="104">
        <v>1.0</v>
      </c>
      <c r="G163" s="104">
        <v>0.6386</v>
      </c>
      <c r="H163" s="104">
        <v>0.9412</v>
      </c>
      <c r="I163" s="104">
        <v>0.7296</v>
      </c>
      <c r="J163" s="104">
        <v>0.9414</v>
      </c>
      <c r="K163" s="92">
        <v>1.0</v>
      </c>
      <c r="L163" s="104">
        <v>0.324140000000001</v>
      </c>
      <c r="M163" s="104">
        <v>0.8378</v>
      </c>
      <c r="N163" s="48">
        <f t="shared" si="2"/>
        <v>0.8016538242</v>
      </c>
      <c r="O163" s="48">
        <f t="shared" si="1"/>
        <v>81.59212866</v>
      </c>
      <c r="P163" s="104">
        <v>6760.273671</v>
      </c>
      <c r="Q163" s="104">
        <v>5.324968</v>
      </c>
      <c r="R163" s="104">
        <v>0.795</v>
      </c>
      <c r="S163" s="104">
        <v>0.7835</v>
      </c>
      <c r="T163" s="104">
        <v>0.7901</v>
      </c>
      <c r="U163" s="104">
        <v>0.8157</v>
      </c>
      <c r="V163" s="104">
        <v>0.7835</v>
      </c>
      <c r="W163" s="104">
        <v>0.795</v>
      </c>
      <c r="X163" s="104">
        <v>0.7788</v>
      </c>
      <c r="Y163" s="104">
        <v>0.8004</v>
      </c>
      <c r="Z163" s="104">
        <v>0.8271</v>
      </c>
      <c r="AA163" s="104">
        <v>0.6471</v>
      </c>
      <c r="AB163" s="104">
        <v>0.6437</v>
      </c>
      <c r="AC163" s="104">
        <v>0.5818</v>
      </c>
      <c r="AD163" s="104">
        <v>0.7736</v>
      </c>
      <c r="AE163" s="104">
        <v>0.6641</v>
      </c>
      <c r="AF163" s="104">
        <v>0.8227</v>
      </c>
      <c r="AG163" s="104">
        <v>0.8359</v>
      </c>
      <c r="AH163" s="104">
        <v>0.814</v>
      </c>
      <c r="AI163" s="104">
        <v>0.8248</v>
      </c>
      <c r="AJ163" s="104">
        <v>0.7919</v>
      </c>
      <c r="AK163" s="104">
        <v>0.9527</v>
      </c>
      <c r="AL163" s="104">
        <v>0.763</v>
      </c>
      <c r="AM163" s="104">
        <v>0.8474</v>
      </c>
      <c r="AN163" s="104">
        <v>0.8687</v>
      </c>
      <c r="AO163" s="49"/>
      <c r="AP163" s="49"/>
      <c r="AQ163" s="49"/>
    </row>
    <row r="164">
      <c r="A164" s="13"/>
      <c r="B164" s="91" t="s">
        <v>26</v>
      </c>
      <c r="C164" s="87">
        <v>1.0</v>
      </c>
      <c r="D164" s="104">
        <v>1.0</v>
      </c>
      <c r="E164" s="104">
        <v>1.0</v>
      </c>
      <c r="F164" s="104">
        <v>1.0</v>
      </c>
      <c r="G164" s="104">
        <v>0.4778</v>
      </c>
      <c r="H164" s="104">
        <v>0.9321</v>
      </c>
      <c r="I164" s="104">
        <v>0.991</v>
      </c>
      <c r="J164" s="104">
        <v>0.9276</v>
      </c>
      <c r="K164" s="92">
        <v>1.0</v>
      </c>
      <c r="L164" s="104">
        <v>0.324140000000001</v>
      </c>
      <c r="M164" s="104">
        <v>0.8364</v>
      </c>
      <c r="N164" s="48">
        <f t="shared" si="2"/>
        <v>0.6759740234</v>
      </c>
      <c r="O164" s="48">
        <f t="shared" si="1"/>
        <v>73.60776207</v>
      </c>
      <c r="P164" s="104">
        <v>6652.427974</v>
      </c>
      <c r="Q164" s="104">
        <v>4.614595</v>
      </c>
      <c r="R164" s="104">
        <v>0.7154</v>
      </c>
      <c r="S164" s="104">
        <v>0.6146</v>
      </c>
      <c r="T164" s="104">
        <v>0.6644</v>
      </c>
      <c r="U164" s="104">
        <v>0.7031</v>
      </c>
      <c r="V164" s="104">
        <v>0.6146</v>
      </c>
      <c r="W164" s="104">
        <v>0.7154</v>
      </c>
      <c r="X164" s="104">
        <v>0.6326</v>
      </c>
      <c r="Y164" s="104">
        <v>0.7037</v>
      </c>
      <c r="Z164" s="104">
        <v>0.6653</v>
      </c>
      <c r="AA164" s="104">
        <v>0.469</v>
      </c>
      <c r="AB164" s="104">
        <v>0.4623</v>
      </c>
      <c r="AC164" s="104">
        <v>0.4306</v>
      </c>
      <c r="AD164" s="104">
        <v>0.3032</v>
      </c>
      <c r="AE164" s="104">
        <v>0.3559</v>
      </c>
      <c r="AF164" s="104">
        <v>0.5267</v>
      </c>
      <c r="AG164" s="104">
        <v>0.7348</v>
      </c>
      <c r="AH164" s="104">
        <v>0.845</v>
      </c>
      <c r="AI164" s="104">
        <v>0.7861</v>
      </c>
      <c r="AJ164" s="104">
        <v>0.6857</v>
      </c>
      <c r="AK164" s="104">
        <v>0.8276</v>
      </c>
      <c r="AL164" s="104">
        <v>0.6954</v>
      </c>
      <c r="AM164" s="104">
        <v>0.7558</v>
      </c>
      <c r="AN164" s="104">
        <v>0.8154</v>
      </c>
      <c r="AO164" s="64"/>
      <c r="AP164" s="64"/>
      <c r="AQ164" s="64"/>
    </row>
    <row r="165">
      <c r="A165" s="13"/>
      <c r="B165" s="13"/>
      <c r="C165" s="87">
        <v>2.0</v>
      </c>
      <c r="D165" s="104">
        <v>1.0</v>
      </c>
      <c r="E165" s="104">
        <v>1.0</v>
      </c>
      <c r="F165" s="104">
        <v>1.0</v>
      </c>
      <c r="G165" s="104">
        <v>0.5853</v>
      </c>
      <c r="H165" s="104">
        <v>0.9481</v>
      </c>
      <c r="I165" s="104">
        <v>0.8522</v>
      </c>
      <c r="J165" s="104">
        <v>0.9387</v>
      </c>
      <c r="K165" s="92">
        <v>1.0</v>
      </c>
      <c r="L165" s="104">
        <v>0.324140000000001</v>
      </c>
      <c r="M165" s="104">
        <v>0.8501</v>
      </c>
      <c r="N165" s="48">
        <f t="shared" si="2"/>
        <v>0.7615989668</v>
      </c>
      <c r="O165" s="48">
        <f t="shared" si="1"/>
        <v>79.58364277</v>
      </c>
      <c r="P165" s="104">
        <v>6652.427974</v>
      </c>
      <c r="Q165" s="104">
        <v>5.00613</v>
      </c>
      <c r="R165" s="104">
        <v>0.7817</v>
      </c>
      <c r="S165" s="104">
        <v>0.722</v>
      </c>
      <c r="T165" s="104">
        <v>0.7306</v>
      </c>
      <c r="U165" s="104">
        <v>0.7687</v>
      </c>
      <c r="V165" s="104">
        <v>0.722</v>
      </c>
      <c r="W165" s="104">
        <v>0.7817</v>
      </c>
      <c r="X165" s="104">
        <v>0.7206</v>
      </c>
      <c r="Y165" s="104">
        <v>0.7719</v>
      </c>
      <c r="Z165" s="104">
        <v>0.7612</v>
      </c>
      <c r="AA165" s="104">
        <v>0.6094</v>
      </c>
      <c r="AB165" s="104">
        <v>0.6072</v>
      </c>
      <c r="AC165" s="104">
        <v>0.5601</v>
      </c>
      <c r="AD165" s="104">
        <v>0.3988</v>
      </c>
      <c r="AE165" s="104">
        <v>0.4659</v>
      </c>
      <c r="AF165" s="104">
        <v>0.6102</v>
      </c>
      <c r="AG165" s="104">
        <v>0.8089</v>
      </c>
      <c r="AH165" s="104">
        <v>0.8353</v>
      </c>
      <c r="AI165" s="104">
        <v>0.8219</v>
      </c>
      <c r="AJ165" s="104">
        <v>0.773</v>
      </c>
      <c r="AK165" s="104">
        <v>0.8229</v>
      </c>
      <c r="AL165" s="104">
        <v>0.9319</v>
      </c>
      <c r="AM165" s="104">
        <v>0.874</v>
      </c>
      <c r="AN165" s="104">
        <v>0.9352</v>
      </c>
      <c r="AO165" s="64"/>
      <c r="AP165" s="64"/>
      <c r="AQ165" s="64"/>
    </row>
    <row r="166">
      <c r="A166" s="13"/>
      <c r="B166" s="13"/>
      <c r="C166" s="87">
        <v>3.0</v>
      </c>
      <c r="D166" s="104">
        <v>1.0</v>
      </c>
      <c r="E166" s="104">
        <v>1.0</v>
      </c>
      <c r="F166" s="104">
        <v>1.0</v>
      </c>
      <c r="G166" s="104">
        <v>0.5941</v>
      </c>
      <c r="H166" s="104">
        <v>0.9456</v>
      </c>
      <c r="I166" s="104">
        <v>0.8119</v>
      </c>
      <c r="J166" s="104">
        <v>0.943</v>
      </c>
      <c r="K166" s="92">
        <v>1.0</v>
      </c>
      <c r="L166" s="104">
        <v>0.324140000000001</v>
      </c>
      <c r="M166" s="104">
        <v>0.8447</v>
      </c>
      <c r="N166" s="48">
        <f t="shared" si="2"/>
        <v>0.7799138841</v>
      </c>
      <c r="O166" s="48">
        <f t="shared" si="1"/>
        <v>80.52096828</v>
      </c>
      <c r="P166" s="104">
        <v>6652.427974</v>
      </c>
      <c r="Q166" s="104">
        <v>5.198866</v>
      </c>
      <c r="R166" s="104">
        <v>0.7944</v>
      </c>
      <c r="S166" s="104">
        <v>0.7463</v>
      </c>
      <c r="T166" s="104">
        <v>0.7531</v>
      </c>
      <c r="U166" s="104">
        <v>0.7836</v>
      </c>
      <c r="V166" s="104">
        <v>0.7463</v>
      </c>
      <c r="W166" s="104">
        <v>0.7944</v>
      </c>
      <c r="X166" s="104">
        <v>0.743</v>
      </c>
      <c r="Y166" s="104">
        <v>0.785</v>
      </c>
      <c r="Z166" s="104">
        <v>0.7823</v>
      </c>
      <c r="AA166" s="104">
        <v>0.635</v>
      </c>
      <c r="AB166" s="104">
        <v>0.6324</v>
      </c>
      <c r="AC166" s="104">
        <v>0.6156</v>
      </c>
      <c r="AD166" s="104">
        <v>0.4388</v>
      </c>
      <c r="AE166" s="104">
        <v>0.5124</v>
      </c>
      <c r="AF166" s="104">
        <v>0.642</v>
      </c>
      <c r="AG166" s="104">
        <v>0.8194</v>
      </c>
      <c r="AH166" s="104">
        <v>0.8391</v>
      </c>
      <c r="AI166" s="104">
        <v>0.8292</v>
      </c>
      <c r="AJ166" s="104">
        <v>0.7849</v>
      </c>
      <c r="AK166" s="104">
        <v>0.8244</v>
      </c>
      <c r="AL166" s="104">
        <v>0.9609</v>
      </c>
      <c r="AM166" s="104">
        <v>0.8874</v>
      </c>
      <c r="AN166" s="104">
        <v>0.95</v>
      </c>
      <c r="AO166" s="64"/>
      <c r="AP166" s="64"/>
      <c r="AQ166" s="64"/>
    </row>
    <row r="167">
      <c r="A167" s="13"/>
      <c r="B167" s="16"/>
      <c r="C167" s="87">
        <v>4.0</v>
      </c>
      <c r="D167" s="104">
        <v>1.0</v>
      </c>
      <c r="E167" s="104">
        <v>1.0</v>
      </c>
      <c r="F167" s="104">
        <v>1.0</v>
      </c>
      <c r="G167" s="104">
        <v>0.5879</v>
      </c>
      <c r="H167" s="104">
        <v>0.9379</v>
      </c>
      <c r="I167" s="104">
        <v>0.8096</v>
      </c>
      <c r="J167" s="104">
        <v>0.9378</v>
      </c>
      <c r="K167" s="92">
        <v>1.0</v>
      </c>
      <c r="L167" s="104">
        <v>0.324140000000001</v>
      </c>
      <c r="M167" s="104">
        <v>0.8402</v>
      </c>
      <c r="N167" s="48">
        <f t="shared" si="2"/>
        <v>0.7885845663</v>
      </c>
      <c r="O167" s="48">
        <f t="shared" si="1"/>
        <v>80.8838909</v>
      </c>
      <c r="P167" s="104">
        <v>6652.427974</v>
      </c>
      <c r="Q167" s="104">
        <v>5.302431</v>
      </c>
      <c r="R167" s="104">
        <v>0.8031</v>
      </c>
      <c r="S167" s="104">
        <v>0.7559</v>
      </c>
      <c r="T167" s="104">
        <v>0.7678</v>
      </c>
      <c r="U167" s="104">
        <v>0.7927</v>
      </c>
      <c r="V167" s="104">
        <v>0.7559</v>
      </c>
      <c r="W167" s="104">
        <v>0.8031</v>
      </c>
      <c r="X167" s="104">
        <v>0.7528</v>
      </c>
      <c r="Y167" s="104">
        <v>0.7926</v>
      </c>
      <c r="Z167" s="104">
        <v>0.7885</v>
      </c>
      <c r="AA167" s="104">
        <v>0.6505</v>
      </c>
      <c r="AB167" s="104">
        <v>0.647</v>
      </c>
      <c r="AC167" s="104">
        <v>0.6531</v>
      </c>
      <c r="AD167" s="104">
        <v>0.4406</v>
      </c>
      <c r="AE167" s="104">
        <v>0.5262</v>
      </c>
      <c r="AF167" s="104">
        <v>0.6461</v>
      </c>
      <c r="AG167" s="104">
        <v>0.823</v>
      </c>
      <c r="AH167" s="104">
        <v>0.8486</v>
      </c>
      <c r="AI167" s="104">
        <v>0.8356</v>
      </c>
      <c r="AJ167" s="104">
        <v>0.7912</v>
      </c>
      <c r="AK167" s="104">
        <v>0.8273</v>
      </c>
      <c r="AL167" s="104">
        <v>0.9785</v>
      </c>
      <c r="AM167" s="104">
        <v>0.8966</v>
      </c>
      <c r="AN167" s="104">
        <v>0.9591</v>
      </c>
      <c r="AO167" s="64"/>
      <c r="AP167" s="64"/>
      <c r="AQ167" s="64"/>
    </row>
    <row r="168">
      <c r="A168" s="13"/>
      <c r="B168" s="91" t="s">
        <v>27</v>
      </c>
      <c r="C168" s="87">
        <v>1.0</v>
      </c>
      <c r="D168" s="104">
        <v>1.0</v>
      </c>
      <c r="E168" s="104">
        <v>1.0</v>
      </c>
      <c r="F168" s="104">
        <v>1.0</v>
      </c>
      <c r="G168" s="104">
        <v>0.3081</v>
      </c>
      <c r="H168" s="104">
        <v>0.8016</v>
      </c>
      <c r="I168" s="104">
        <v>0.5432</v>
      </c>
      <c r="J168" s="104">
        <v>0.7958</v>
      </c>
      <c r="K168" s="92">
        <v>1.0</v>
      </c>
      <c r="L168" s="104">
        <v>0.324140000000001</v>
      </c>
      <c r="M168" s="104">
        <v>0.6393</v>
      </c>
      <c r="N168" s="48">
        <f t="shared" si="2"/>
        <v>0.5333332044</v>
      </c>
      <c r="O168" s="48">
        <f t="shared" si="1"/>
        <v>57.34308522</v>
      </c>
      <c r="P168" s="104">
        <v>8195.032985</v>
      </c>
      <c r="Q168" s="104">
        <v>5.164164</v>
      </c>
      <c r="R168" s="104">
        <v>0.6281</v>
      </c>
      <c r="S168" s="104">
        <v>0.4575</v>
      </c>
      <c r="T168" s="104">
        <v>0.6183</v>
      </c>
      <c r="U168" s="104">
        <v>0.6264</v>
      </c>
      <c r="V168" s="104">
        <v>0.4575</v>
      </c>
      <c r="W168" s="104">
        <v>0.6281</v>
      </c>
      <c r="X168" s="104">
        <v>0.4583</v>
      </c>
      <c r="Y168" s="104">
        <v>0.5783</v>
      </c>
      <c r="Z168" s="104">
        <v>0.4671</v>
      </c>
      <c r="AA168" s="104">
        <v>0.255</v>
      </c>
      <c r="AB168" s="104">
        <v>0.2299</v>
      </c>
      <c r="AC168" s="104">
        <v>0.6943</v>
      </c>
      <c r="AD168" s="104">
        <v>0.1076</v>
      </c>
      <c r="AE168" s="104">
        <v>0.1863</v>
      </c>
      <c r="AF168" s="104">
        <v>0.3264</v>
      </c>
      <c r="AG168" s="104">
        <v>0.6528</v>
      </c>
      <c r="AH168" s="104">
        <v>0.8754</v>
      </c>
      <c r="AI168" s="104">
        <v>0.7479</v>
      </c>
      <c r="AJ168" s="104">
        <v>0.5316</v>
      </c>
      <c r="AK168" s="104">
        <v>0.5077</v>
      </c>
      <c r="AL168" s="104">
        <v>0.3895</v>
      </c>
      <c r="AM168" s="104">
        <v>0.4408</v>
      </c>
      <c r="AN168" s="104">
        <v>0.5873</v>
      </c>
      <c r="AO168" s="49"/>
      <c r="AP168" s="49"/>
      <c r="AQ168" s="49"/>
    </row>
    <row r="169">
      <c r="A169" s="13"/>
      <c r="B169" s="13"/>
      <c r="C169" s="87">
        <v>2.0</v>
      </c>
      <c r="D169" s="104">
        <v>1.0</v>
      </c>
      <c r="E169" s="104">
        <v>1.0</v>
      </c>
      <c r="F169" s="104">
        <v>1.0</v>
      </c>
      <c r="G169" s="104">
        <v>0.3307</v>
      </c>
      <c r="H169" s="104">
        <v>0.8388</v>
      </c>
      <c r="I169" s="104">
        <v>0.581</v>
      </c>
      <c r="J169" s="104">
        <v>0.8346</v>
      </c>
      <c r="K169" s="92">
        <v>1.0</v>
      </c>
      <c r="L169" s="104">
        <v>0.324140000000001</v>
      </c>
      <c r="M169" s="104">
        <v>0.6695</v>
      </c>
      <c r="N169" s="48">
        <f t="shared" si="2"/>
        <v>0.5958355216</v>
      </c>
      <c r="O169" s="48">
        <f t="shared" si="1"/>
        <v>62.42751777</v>
      </c>
      <c r="P169" s="104">
        <v>8195.032985</v>
      </c>
      <c r="Q169" s="104">
        <v>5.585344</v>
      </c>
      <c r="R169" s="104">
        <v>0.6686</v>
      </c>
      <c r="S169" s="104">
        <v>0.5184</v>
      </c>
      <c r="T169" s="104">
        <v>0.6732</v>
      </c>
      <c r="U169" s="104">
        <v>0.6708</v>
      </c>
      <c r="V169" s="104">
        <v>0.5184</v>
      </c>
      <c r="W169" s="104">
        <v>0.6686</v>
      </c>
      <c r="X169" s="104">
        <v>0.5422</v>
      </c>
      <c r="Y169" s="104">
        <v>0.6345</v>
      </c>
      <c r="Z169" s="104">
        <v>0.559</v>
      </c>
      <c r="AA169" s="104">
        <v>0.3533</v>
      </c>
      <c r="AB169" s="104">
        <v>0.3254</v>
      </c>
      <c r="AC169" s="104">
        <v>0.7278</v>
      </c>
      <c r="AD169" s="104">
        <v>0.2287</v>
      </c>
      <c r="AE169" s="104">
        <v>0.3481</v>
      </c>
      <c r="AF169" s="104">
        <v>0.4739</v>
      </c>
      <c r="AG169" s="104">
        <v>0.6756</v>
      </c>
      <c r="AH169" s="104">
        <v>0.8918</v>
      </c>
      <c r="AI169" s="104">
        <v>0.7688</v>
      </c>
      <c r="AJ169" s="104">
        <v>0.584</v>
      </c>
      <c r="AK169" s="104">
        <v>0.6161</v>
      </c>
      <c r="AL169" s="104">
        <v>0.4346</v>
      </c>
      <c r="AM169" s="104" t="s">
        <v>112</v>
      </c>
      <c r="AN169" s="107"/>
      <c r="AO169" s="49"/>
      <c r="AP169" s="49"/>
      <c r="AQ169" s="49"/>
    </row>
    <row r="170">
      <c r="A170" s="13"/>
      <c r="B170" s="13"/>
      <c r="C170" s="87">
        <v>3.0</v>
      </c>
      <c r="D170" s="104">
        <v>1.0</v>
      </c>
      <c r="E170" s="104">
        <v>1.0</v>
      </c>
      <c r="F170" s="104">
        <v>1.0</v>
      </c>
      <c r="G170" s="104">
        <v>0.3434</v>
      </c>
      <c r="H170" s="104">
        <v>0.8589</v>
      </c>
      <c r="I170" s="104">
        <v>0.5926</v>
      </c>
      <c r="J170" s="104">
        <v>0.8584</v>
      </c>
      <c r="K170" s="92">
        <v>1.0</v>
      </c>
      <c r="L170" s="104">
        <v>0.324140000000001</v>
      </c>
      <c r="M170" s="104">
        <v>0.6843</v>
      </c>
      <c r="N170" s="48">
        <f t="shared" si="2"/>
        <v>0.6331786486</v>
      </c>
      <c r="O170" s="48">
        <f t="shared" si="1"/>
        <v>65.31521683</v>
      </c>
      <c r="P170" s="104">
        <v>8195.032985</v>
      </c>
      <c r="Q170" s="104">
        <v>5.718354</v>
      </c>
      <c r="R170" s="104">
        <v>0.6915</v>
      </c>
      <c r="S170" s="104">
        <v>0.5585</v>
      </c>
      <c r="T170" s="104">
        <v>0.7042</v>
      </c>
      <c r="U170" s="104">
        <v>0.6964</v>
      </c>
      <c r="V170" s="104">
        <v>0.5585</v>
      </c>
      <c r="W170" s="104">
        <v>0.6915</v>
      </c>
      <c r="X170" s="104">
        <v>0.5931</v>
      </c>
      <c r="Y170" s="104">
        <v>0.666</v>
      </c>
      <c r="Z170" s="104">
        <v>0.6083</v>
      </c>
      <c r="AA170" s="104">
        <v>0.4073</v>
      </c>
      <c r="AB170" s="104">
        <v>0.3792</v>
      </c>
      <c r="AC170" s="104">
        <v>0.7442</v>
      </c>
      <c r="AD170" s="104">
        <v>0.3475</v>
      </c>
      <c r="AE170" s="104">
        <v>0.4738</v>
      </c>
      <c r="AF170" s="104">
        <v>0.5816</v>
      </c>
      <c r="AG170" s="104">
        <v>0.6877</v>
      </c>
      <c r="AH170" s="104">
        <v>0.8993</v>
      </c>
      <c r="AI170" s="104">
        <v>0.7794</v>
      </c>
      <c r="AJ170" s="104">
        <v>0.6095</v>
      </c>
      <c r="AK170" s="104">
        <v>0.6807</v>
      </c>
      <c r="AL170" s="104">
        <v>0.4288</v>
      </c>
      <c r="AM170" s="104">
        <v>0.5262</v>
      </c>
      <c r="AN170" s="104">
        <v>0.635</v>
      </c>
      <c r="AO170" s="49"/>
      <c r="AP170" s="49"/>
      <c r="AQ170" s="49"/>
    </row>
    <row r="171">
      <c r="A171" s="16"/>
      <c r="B171" s="16"/>
      <c r="C171" s="87">
        <v>4.0</v>
      </c>
      <c r="D171" s="104">
        <v>1.0</v>
      </c>
      <c r="E171" s="104">
        <v>1.0</v>
      </c>
      <c r="F171" s="104">
        <v>1.0</v>
      </c>
      <c r="G171" s="104">
        <v>0.3533</v>
      </c>
      <c r="H171" s="104">
        <v>0.8671</v>
      </c>
      <c r="I171" s="104">
        <v>0.6053</v>
      </c>
      <c r="J171" s="104">
        <v>0.867</v>
      </c>
      <c r="K171" s="92">
        <v>1.0</v>
      </c>
      <c r="L171" s="104">
        <v>0.324140000000001</v>
      </c>
      <c r="M171" s="104">
        <v>0.6938</v>
      </c>
      <c r="N171" s="48">
        <f t="shared" si="2"/>
        <v>0.6472274191</v>
      </c>
      <c r="O171" s="48">
        <f t="shared" si="1"/>
        <v>66.54690512</v>
      </c>
      <c r="P171" s="104">
        <v>8195.032985</v>
      </c>
      <c r="Q171" s="104">
        <v>5.825501</v>
      </c>
      <c r="R171" s="104">
        <v>0.7</v>
      </c>
      <c r="S171" s="104">
        <v>0.5749</v>
      </c>
      <c r="T171" s="104">
        <v>0.7126</v>
      </c>
      <c r="U171" s="104">
        <v>0.705</v>
      </c>
      <c r="V171" s="104">
        <v>0.5749</v>
      </c>
      <c r="W171" s="104">
        <v>0.7</v>
      </c>
      <c r="X171" s="104">
        <v>0.6111</v>
      </c>
      <c r="Y171" s="104">
        <v>0.6775</v>
      </c>
      <c r="Z171" s="104">
        <v>0.6262</v>
      </c>
      <c r="AA171" s="104">
        <v>0.427</v>
      </c>
      <c r="AB171" s="104">
        <v>0.4001</v>
      </c>
      <c r="AC171" s="104">
        <v>0.7284</v>
      </c>
      <c r="AD171" s="104">
        <v>0.4011</v>
      </c>
      <c r="AE171" s="104">
        <v>0.5173</v>
      </c>
      <c r="AF171" s="104">
        <v>0.6226</v>
      </c>
      <c r="AG171" s="104">
        <v>0.6934</v>
      </c>
      <c r="AH171" s="104">
        <v>0.8989</v>
      </c>
      <c r="AI171" s="104">
        <v>0.7829</v>
      </c>
      <c r="AJ171" s="104">
        <v>0.6208</v>
      </c>
      <c r="AK171" s="104">
        <v>0.716</v>
      </c>
      <c r="AL171" s="104">
        <v>0.4247</v>
      </c>
      <c r="AM171" s="104">
        <v>0.5331</v>
      </c>
      <c r="AN171" s="104">
        <v>0.6354</v>
      </c>
      <c r="AO171" s="49"/>
      <c r="AP171" s="49"/>
      <c r="AQ171" s="49"/>
    </row>
    <row r="172">
      <c r="A172" s="96" t="s">
        <v>104</v>
      </c>
      <c r="B172" s="108" t="s">
        <v>22</v>
      </c>
      <c r="C172" s="98">
        <v>1.0</v>
      </c>
      <c r="D172" s="99">
        <v>1.0</v>
      </c>
      <c r="E172" s="99">
        <v>1.0</v>
      </c>
      <c r="F172" s="99">
        <v>1.0</v>
      </c>
      <c r="G172" s="99">
        <v>0.863</v>
      </c>
      <c r="H172" s="99">
        <v>0.8164</v>
      </c>
      <c r="I172" s="99">
        <v>0.0</v>
      </c>
      <c r="J172" s="99">
        <v>0.8243</v>
      </c>
      <c r="K172" s="100">
        <v>1.0</v>
      </c>
      <c r="L172" s="99">
        <v>0.324140000000001</v>
      </c>
      <c r="M172" s="99">
        <v>0.101</v>
      </c>
      <c r="N172" s="57">
        <f t="shared" si="2"/>
        <v>0.8057911963</v>
      </c>
      <c r="O172" s="57">
        <f t="shared" si="1"/>
        <v>35.11252492</v>
      </c>
      <c r="P172" s="99">
        <v>52.479407</v>
      </c>
      <c r="Q172" s="99">
        <v>1.651801</v>
      </c>
      <c r="R172" s="99">
        <v>0.7664</v>
      </c>
      <c r="S172" s="99">
        <v>0.8113</v>
      </c>
      <c r="T172" s="99">
        <v>0.8094</v>
      </c>
      <c r="U172" s="99">
        <v>0.8999</v>
      </c>
      <c r="V172" s="99">
        <v>0.8113</v>
      </c>
      <c r="W172" s="99">
        <v>0.7664</v>
      </c>
      <c r="X172" s="99">
        <v>0.7567</v>
      </c>
      <c r="Y172" s="99">
        <v>0.7939</v>
      </c>
      <c r="Z172" s="99">
        <v>0.8467</v>
      </c>
      <c r="AA172" s="99">
        <v>0.6812</v>
      </c>
      <c r="AB172" s="99">
        <v>0.6339</v>
      </c>
      <c r="AC172" s="99">
        <v>0.4283</v>
      </c>
      <c r="AD172" s="99">
        <v>1.0</v>
      </c>
      <c r="AE172" s="99">
        <v>0.5997</v>
      </c>
      <c r="AF172" s="99">
        <v>0.8466</v>
      </c>
      <c r="AG172" s="99">
        <v>1.0</v>
      </c>
      <c r="AH172" s="99">
        <v>0.7166</v>
      </c>
      <c r="AI172" s="99">
        <v>0.8349</v>
      </c>
      <c r="AJ172" s="99">
        <v>0.8465</v>
      </c>
      <c r="AK172" s="99">
        <v>1.0</v>
      </c>
      <c r="AL172" s="99">
        <v>0.7173</v>
      </c>
      <c r="AM172" s="99">
        <v>0.8354</v>
      </c>
      <c r="AN172" s="99">
        <v>0.847</v>
      </c>
      <c r="AO172" s="58"/>
      <c r="AP172" s="58"/>
      <c r="AQ172" s="58"/>
    </row>
    <row r="173">
      <c r="A173" s="13"/>
      <c r="B173" s="13"/>
      <c r="C173" s="98">
        <v>2.0</v>
      </c>
      <c r="D173" s="99">
        <v>1.0</v>
      </c>
      <c r="E173" s="99">
        <v>1.0</v>
      </c>
      <c r="F173" s="99">
        <v>1.0</v>
      </c>
      <c r="G173" s="99">
        <v>0.7051</v>
      </c>
      <c r="H173" s="99">
        <v>0.9372</v>
      </c>
      <c r="I173" s="99">
        <v>0.0</v>
      </c>
      <c r="J173" s="99">
        <v>0.9445</v>
      </c>
      <c r="K173" s="100">
        <v>1.0</v>
      </c>
      <c r="L173" s="99">
        <v>0.324140000000001</v>
      </c>
      <c r="M173" s="99">
        <v>0.1246</v>
      </c>
      <c r="N173" s="57">
        <f t="shared" si="2"/>
        <v>0.9374562164</v>
      </c>
      <c r="O173" s="57">
        <f t="shared" si="1"/>
        <v>41.81940148</v>
      </c>
      <c r="P173" s="99">
        <v>52.479407</v>
      </c>
      <c r="Q173" s="99">
        <v>1.853065</v>
      </c>
      <c r="R173" s="99">
        <v>0.9284</v>
      </c>
      <c r="S173" s="99">
        <v>0.9502</v>
      </c>
      <c r="T173" s="99">
        <v>0.9031</v>
      </c>
      <c r="U173" s="99">
        <v>0.9492</v>
      </c>
      <c r="V173" s="99">
        <v>0.9502</v>
      </c>
      <c r="W173" s="99">
        <v>0.9284</v>
      </c>
      <c r="X173" s="99">
        <v>0.9173</v>
      </c>
      <c r="Y173" s="99">
        <v>0.9327</v>
      </c>
      <c r="Z173" s="99">
        <v>0.9597</v>
      </c>
      <c r="AA173" s="99">
        <v>0.8863</v>
      </c>
      <c r="AB173" s="99">
        <v>0.879</v>
      </c>
      <c r="AC173" s="99">
        <v>0.7094</v>
      </c>
      <c r="AD173" s="99">
        <v>1.0</v>
      </c>
      <c r="AE173" s="99">
        <v>0.83</v>
      </c>
      <c r="AF173" s="99">
        <v>0.9556</v>
      </c>
      <c r="AG173" s="99">
        <v>1.0</v>
      </c>
      <c r="AH173" s="99">
        <v>0.8973</v>
      </c>
      <c r="AI173" s="99">
        <v>0.9459</v>
      </c>
      <c r="AJ173" s="99">
        <v>0.9473</v>
      </c>
      <c r="AK173" s="99">
        <v>1.0</v>
      </c>
      <c r="AL173" s="99">
        <v>0.9533</v>
      </c>
      <c r="AM173" s="99">
        <v>0.9761</v>
      </c>
      <c r="AN173" s="99">
        <v>0.9764</v>
      </c>
      <c r="AO173" s="58"/>
      <c r="AP173" s="58"/>
      <c r="AQ173" s="58"/>
    </row>
    <row r="174">
      <c r="A174" s="13"/>
      <c r="B174" s="13"/>
      <c r="C174" s="98">
        <v>3.0</v>
      </c>
      <c r="D174" s="99">
        <v>1.0</v>
      </c>
      <c r="E174" s="99">
        <v>1.0</v>
      </c>
      <c r="F174" s="99">
        <v>1.0</v>
      </c>
      <c r="G174" s="99">
        <v>0.6469</v>
      </c>
      <c r="H174" s="99">
        <v>0.9775</v>
      </c>
      <c r="I174" s="99">
        <v>1.0E-4</v>
      </c>
      <c r="J174" s="99">
        <v>0.9795</v>
      </c>
      <c r="K174" s="100">
        <v>1.0</v>
      </c>
      <c r="L174" s="99">
        <v>0.324140000000001</v>
      </c>
      <c r="M174" s="99">
        <v>0.1326</v>
      </c>
      <c r="N174" s="57">
        <f t="shared" si="2"/>
        <v>0.9772135785</v>
      </c>
      <c r="O174" s="57">
        <f t="shared" si="1"/>
        <v>43.95528551</v>
      </c>
      <c r="P174" s="99">
        <v>52.479407</v>
      </c>
      <c r="Q174" s="99">
        <v>1.931206</v>
      </c>
      <c r="R174" s="99">
        <v>0.975</v>
      </c>
      <c r="S174" s="99">
        <v>0.9823</v>
      </c>
      <c r="T174" s="99">
        <v>0.9596</v>
      </c>
      <c r="U174" s="99">
        <v>0.978</v>
      </c>
      <c r="V174" s="99">
        <v>0.9823</v>
      </c>
      <c r="W174" s="99">
        <v>0.975</v>
      </c>
      <c r="X174" s="99">
        <v>0.9695</v>
      </c>
      <c r="Y174" s="99">
        <v>0.9756</v>
      </c>
      <c r="Z174" s="99">
        <v>0.9859</v>
      </c>
      <c r="AA174" s="99">
        <v>0.9576</v>
      </c>
      <c r="AB174" s="99">
        <v>0.9566</v>
      </c>
      <c r="AC174" s="99">
        <v>0.8789</v>
      </c>
      <c r="AD174" s="99">
        <v>1.0</v>
      </c>
      <c r="AE174" s="99">
        <v>0.9356</v>
      </c>
      <c r="AF174" s="99">
        <v>0.9846</v>
      </c>
      <c r="AG174" s="99">
        <v>1.0</v>
      </c>
      <c r="AH174" s="99">
        <v>0.9645</v>
      </c>
      <c r="AI174" s="99">
        <v>0.9819</v>
      </c>
      <c r="AJ174" s="99">
        <v>0.9821</v>
      </c>
      <c r="AK174" s="99">
        <v>1.0</v>
      </c>
      <c r="AL174" s="99">
        <v>0.9823</v>
      </c>
      <c r="AM174" s="99">
        <v>0.9911</v>
      </c>
      <c r="AN174" s="99">
        <v>0.9911</v>
      </c>
      <c r="AO174" s="58"/>
      <c r="AP174" s="58"/>
      <c r="AQ174" s="58"/>
    </row>
    <row r="175">
      <c r="A175" s="13"/>
      <c r="B175" s="16"/>
      <c r="C175" s="98">
        <v>4.0</v>
      </c>
      <c r="D175" s="99">
        <v>1.0</v>
      </c>
      <c r="E175" s="99">
        <v>1.0</v>
      </c>
      <c r="F175" s="99">
        <v>1.0</v>
      </c>
      <c r="G175" s="99">
        <v>0.7051</v>
      </c>
      <c r="H175" s="99">
        <v>0.9372</v>
      </c>
      <c r="I175" s="99">
        <v>0.0</v>
      </c>
      <c r="J175" s="99">
        <v>0.9445</v>
      </c>
      <c r="K175" s="100">
        <v>1.0</v>
      </c>
      <c r="L175" s="99">
        <v>0.324140000000001</v>
      </c>
      <c r="M175" s="99">
        <v>0.1246</v>
      </c>
      <c r="N175" s="57">
        <f t="shared" si="2"/>
        <v>0.9374562164</v>
      </c>
      <c r="O175" s="57">
        <f t="shared" si="1"/>
        <v>41.81940148</v>
      </c>
      <c r="P175" s="99">
        <v>52.479407</v>
      </c>
      <c r="Q175" s="99">
        <v>1.853065</v>
      </c>
      <c r="R175" s="99">
        <v>0.9284</v>
      </c>
      <c r="S175" s="99">
        <v>0.9502</v>
      </c>
      <c r="T175" s="99">
        <v>0.9031</v>
      </c>
      <c r="U175" s="99">
        <v>0.9492</v>
      </c>
      <c r="V175" s="99">
        <v>0.9502</v>
      </c>
      <c r="W175" s="99">
        <v>0.9284</v>
      </c>
      <c r="X175" s="99">
        <v>0.9173</v>
      </c>
      <c r="Y175" s="99">
        <v>0.9327</v>
      </c>
      <c r="Z175" s="99">
        <v>0.9597</v>
      </c>
      <c r="AA175" s="99">
        <v>0.8863</v>
      </c>
      <c r="AB175" s="99">
        <v>0.879</v>
      </c>
      <c r="AC175" s="99">
        <v>0.7094</v>
      </c>
      <c r="AD175" s="99">
        <v>1.0</v>
      </c>
      <c r="AE175" s="99">
        <v>0.83</v>
      </c>
      <c r="AF175" s="99">
        <v>0.9556</v>
      </c>
      <c r="AG175" s="99">
        <v>1.0</v>
      </c>
      <c r="AH175" s="99">
        <v>0.8973</v>
      </c>
      <c r="AI175" s="99">
        <v>0.9459</v>
      </c>
      <c r="AJ175" s="99">
        <v>0.9473</v>
      </c>
      <c r="AK175" s="99">
        <v>1.0</v>
      </c>
      <c r="AL175" s="99">
        <v>0.9533</v>
      </c>
      <c r="AM175" s="99">
        <v>0.9761</v>
      </c>
      <c r="AN175" s="99">
        <v>0.9764</v>
      </c>
      <c r="AO175" s="58"/>
      <c r="AP175" s="58"/>
      <c r="AQ175" s="58"/>
    </row>
    <row r="176">
      <c r="A176" s="13"/>
      <c r="B176" s="97" t="s">
        <v>23</v>
      </c>
      <c r="C176" s="98">
        <v>1.0</v>
      </c>
      <c r="D176" s="99">
        <v>1.0</v>
      </c>
      <c r="E176" s="99">
        <v>1.0</v>
      </c>
      <c r="F176" s="99">
        <v>1.0</v>
      </c>
      <c r="G176" s="99">
        <v>0.863</v>
      </c>
      <c r="H176" s="99">
        <v>0.8164</v>
      </c>
      <c r="I176" s="99">
        <v>0.6202</v>
      </c>
      <c r="J176" s="99">
        <v>0.7985</v>
      </c>
      <c r="K176" s="100">
        <v>1.0</v>
      </c>
      <c r="L176" s="99">
        <v>0.324140000000001</v>
      </c>
      <c r="M176" s="99">
        <v>0.8101</v>
      </c>
      <c r="N176" s="57">
        <f t="shared" si="2"/>
        <v>0.8057911963</v>
      </c>
      <c r="O176" s="57">
        <f t="shared" si="1"/>
        <v>80.75119608</v>
      </c>
      <c r="P176" s="99">
        <v>86.78285</v>
      </c>
      <c r="Q176" s="99">
        <v>0.698445</v>
      </c>
      <c r="R176" s="99">
        <v>0.7664</v>
      </c>
      <c r="S176" s="99">
        <v>0.8113</v>
      </c>
      <c r="T176" s="99">
        <v>0.8094</v>
      </c>
      <c r="U176" s="99">
        <v>0.8999</v>
      </c>
      <c r="V176" s="99">
        <v>0.8113</v>
      </c>
      <c r="W176" s="99">
        <v>0.7664</v>
      </c>
      <c r="X176" s="99">
        <v>0.7567</v>
      </c>
      <c r="Y176" s="99">
        <v>0.7939</v>
      </c>
      <c r="Z176" s="99">
        <v>0.8467</v>
      </c>
      <c r="AA176" s="99">
        <v>0.6812</v>
      </c>
      <c r="AB176" s="99">
        <v>0.6339</v>
      </c>
      <c r="AC176" s="99">
        <v>0.4283</v>
      </c>
      <c r="AD176" s="99">
        <v>1.0</v>
      </c>
      <c r="AE176" s="99">
        <v>0.5997</v>
      </c>
      <c r="AF176" s="99">
        <v>0.8466</v>
      </c>
      <c r="AG176" s="99">
        <v>1.0</v>
      </c>
      <c r="AH176" s="99">
        <v>0.7166</v>
      </c>
      <c r="AI176" s="99">
        <v>0.8349</v>
      </c>
      <c r="AJ176" s="99">
        <v>0.8465</v>
      </c>
      <c r="AK176" s="99">
        <v>1.0</v>
      </c>
      <c r="AL176" s="99">
        <v>0.7173</v>
      </c>
      <c r="AM176" s="99">
        <v>0.8354</v>
      </c>
      <c r="AN176" s="99">
        <v>0.847</v>
      </c>
      <c r="AO176" s="58"/>
      <c r="AP176" s="58"/>
      <c r="AQ176" s="58"/>
    </row>
    <row r="177">
      <c r="A177" s="13"/>
      <c r="B177" s="13"/>
      <c r="C177" s="98">
        <v>2.0</v>
      </c>
      <c r="D177" s="99">
        <v>1.0</v>
      </c>
      <c r="E177" s="99">
        <v>1.0</v>
      </c>
      <c r="F177" s="99">
        <v>1.0</v>
      </c>
      <c r="G177" s="99">
        <v>0.7051</v>
      </c>
      <c r="H177" s="99">
        <v>0.9372</v>
      </c>
      <c r="I177" s="99">
        <v>0.4336</v>
      </c>
      <c r="J177" s="99">
        <v>0.8913</v>
      </c>
      <c r="K177" s="100">
        <v>1.0</v>
      </c>
      <c r="L177" s="99">
        <v>0.324140000000001</v>
      </c>
      <c r="M177" s="99">
        <v>0.7611</v>
      </c>
      <c r="N177" s="57">
        <f t="shared" si="2"/>
        <v>0.9374562164</v>
      </c>
      <c r="O177" s="57">
        <f t="shared" si="1"/>
        <v>86.2476528</v>
      </c>
      <c r="P177" s="99">
        <v>86.78285</v>
      </c>
      <c r="Q177" s="99">
        <v>0.858572</v>
      </c>
      <c r="R177" s="99">
        <v>0.9284</v>
      </c>
      <c r="S177" s="99">
        <v>0.9502</v>
      </c>
      <c r="T177" s="99">
        <v>0.9031</v>
      </c>
      <c r="U177" s="99">
        <v>0.9492</v>
      </c>
      <c r="V177" s="99">
        <v>0.9502</v>
      </c>
      <c r="W177" s="99">
        <v>0.9284</v>
      </c>
      <c r="X177" s="99">
        <v>0.9173</v>
      </c>
      <c r="Y177" s="99">
        <v>0.9327</v>
      </c>
      <c r="Z177" s="99">
        <v>0.9597</v>
      </c>
      <c r="AA177" s="99">
        <v>0.8863</v>
      </c>
      <c r="AB177" s="99">
        <v>0.879</v>
      </c>
      <c r="AC177" s="99">
        <v>0.7094</v>
      </c>
      <c r="AD177" s="99">
        <v>1.0</v>
      </c>
      <c r="AE177" s="99">
        <v>0.83</v>
      </c>
      <c r="AF177" s="99">
        <v>0.9557</v>
      </c>
      <c r="AG177" s="99">
        <v>1.0</v>
      </c>
      <c r="AH177" s="99">
        <v>0.8974</v>
      </c>
      <c r="AI177" s="99">
        <v>0.9459</v>
      </c>
      <c r="AJ177" s="99">
        <v>0.9473</v>
      </c>
      <c r="AK177" s="99">
        <v>1.0</v>
      </c>
      <c r="AL177" s="99">
        <v>0.9533</v>
      </c>
      <c r="AM177" s="99">
        <v>0.9761</v>
      </c>
      <c r="AN177" s="99">
        <v>0.9764</v>
      </c>
      <c r="AO177" s="58"/>
      <c r="AP177" s="58"/>
      <c r="AQ177" s="58"/>
    </row>
    <row r="178">
      <c r="A178" s="13"/>
      <c r="B178" s="13"/>
      <c r="C178" s="98">
        <v>3.0</v>
      </c>
      <c r="D178" s="99">
        <v>1.0</v>
      </c>
      <c r="E178" s="99">
        <v>1.0</v>
      </c>
      <c r="F178" s="99">
        <v>1.0</v>
      </c>
      <c r="G178" s="99">
        <v>0.6468</v>
      </c>
      <c r="H178" s="99">
        <v>0.9775</v>
      </c>
      <c r="I178" s="99">
        <v>0.4004</v>
      </c>
      <c r="J178" s="99">
        <v>0.8933</v>
      </c>
      <c r="K178" s="100">
        <v>1.0</v>
      </c>
      <c r="L178" s="99">
        <v>0.324140000000001</v>
      </c>
      <c r="M178" s="99">
        <v>0.7428</v>
      </c>
      <c r="N178" s="57">
        <f t="shared" si="2"/>
        <v>0.9772135785</v>
      </c>
      <c r="O178" s="57">
        <f t="shared" si="1"/>
        <v>87.56739974</v>
      </c>
      <c r="P178" s="99">
        <v>86.78285</v>
      </c>
      <c r="Q178" s="99">
        <v>0.988228</v>
      </c>
      <c r="R178" s="99">
        <v>0.975</v>
      </c>
      <c r="S178" s="99">
        <v>0.9823</v>
      </c>
      <c r="T178" s="99">
        <v>0.9597</v>
      </c>
      <c r="U178" s="99">
        <v>0.978</v>
      </c>
      <c r="V178" s="99">
        <v>0.9823</v>
      </c>
      <c r="W178" s="99">
        <v>0.975</v>
      </c>
      <c r="X178" s="99">
        <v>0.9695</v>
      </c>
      <c r="Y178" s="99">
        <v>0.9756</v>
      </c>
      <c r="Z178" s="99">
        <v>0.9859</v>
      </c>
      <c r="AA178" s="99">
        <v>0.9576</v>
      </c>
      <c r="AB178" s="99">
        <v>0.9566</v>
      </c>
      <c r="AC178" s="99">
        <v>0.879</v>
      </c>
      <c r="AD178" s="99">
        <v>1.0</v>
      </c>
      <c r="AE178" s="99">
        <v>0.9356</v>
      </c>
      <c r="AF178" s="99">
        <v>0.9846</v>
      </c>
      <c r="AG178" s="99">
        <v>1.0</v>
      </c>
      <c r="AH178" s="99">
        <v>0.9645</v>
      </c>
      <c r="AI178" s="99">
        <v>0.9819</v>
      </c>
      <c r="AJ178" s="99">
        <v>0.9821</v>
      </c>
      <c r="AK178" s="99">
        <v>1.0</v>
      </c>
      <c r="AL178" s="99">
        <v>0.9823</v>
      </c>
      <c r="AM178" s="99">
        <v>0.9911</v>
      </c>
      <c r="AN178" s="99">
        <v>0.9911</v>
      </c>
      <c r="AO178" s="58"/>
      <c r="AP178" s="58"/>
      <c r="AQ178" s="58"/>
    </row>
    <row r="179">
      <c r="A179" s="13"/>
      <c r="B179" s="16"/>
      <c r="C179" s="98">
        <v>4.0</v>
      </c>
      <c r="D179" s="99">
        <v>1.0</v>
      </c>
      <c r="E179" s="99">
        <v>1.0</v>
      </c>
      <c r="F179" s="99">
        <v>1.0</v>
      </c>
      <c r="G179" s="99">
        <v>0.7051</v>
      </c>
      <c r="H179" s="99">
        <v>0.9372</v>
      </c>
      <c r="I179" s="99">
        <v>0.4336</v>
      </c>
      <c r="J179" s="99">
        <v>0.8913</v>
      </c>
      <c r="K179" s="100">
        <v>1.0</v>
      </c>
      <c r="L179" s="99">
        <v>0.324140000000001</v>
      </c>
      <c r="M179" s="99">
        <v>0.7611</v>
      </c>
      <c r="N179" s="57">
        <f t="shared" si="2"/>
        <v>0.9374562164</v>
      </c>
      <c r="O179" s="57">
        <f t="shared" si="1"/>
        <v>86.2476528</v>
      </c>
      <c r="P179" s="99">
        <v>86.78285</v>
      </c>
      <c r="Q179" s="99">
        <v>0.858572</v>
      </c>
      <c r="R179" s="99">
        <v>0.9284</v>
      </c>
      <c r="S179" s="99">
        <v>0.9502</v>
      </c>
      <c r="T179" s="99">
        <v>0.9031</v>
      </c>
      <c r="U179" s="99">
        <v>0.9492</v>
      </c>
      <c r="V179" s="99">
        <v>0.9502</v>
      </c>
      <c r="W179" s="99">
        <v>0.9284</v>
      </c>
      <c r="X179" s="99">
        <v>0.9173</v>
      </c>
      <c r="Y179" s="99">
        <v>0.9327</v>
      </c>
      <c r="Z179" s="99">
        <v>0.9597</v>
      </c>
      <c r="AA179" s="99">
        <v>0.8863</v>
      </c>
      <c r="AB179" s="99">
        <v>0.879</v>
      </c>
      <c r="AC179" s="99">
        <v>0.7094</v>
      </c>
      <c r="AD179" s="99">
        <v>1.0</v>
      </c>
      <c r="AE179" s="99">
        <v>0.83</v>
      </c>
      <c r="AF179" s="99">
        <v>0.9557</v>
      </c>
      <c r="AG179" s="99">
        <v>1.0</v>
      </c>
      <c r="AH179" s="99">
        <v>0.8974</v>
      </c>
      <c r="AI179" s="99">
        <v>0.9459</v>
      </c>
      <c r="AJ179" s="99">
        <v>0.9473</v>
      </c>
      <c r="AK179" s="99">
        <v>1.0</v>
      </c>
      <c r="AL179" s="99">
        <v>0.9533</v>
      </c>
      <c r="AM179" s="99">
        <v>0.9761</v>
      </c>
      <c r="AN179" s="99">
        <v>0.9764</v>
      </c>
      <c r="AO179" s="58"/>
      <c r="AP179" s="58"/>
      <c r="AQ179" s="58"/>
    </row>
    <row r="180">
      <c r="A180" s="13"/>
      <c r="B180" s="97" t="s">
        <v>24</v>
      </c>
      <c r="C180" s="98">
        <v>1.0</v>
      </c>
      <c r="D180" s="99">
        <v>1.0</v>
      </c>
      <c r="E180" s="99">
        <v>1.0</v>
      </c>
      <c r="F180" s="99">
        <v>1.0</v>
      </c>
      <c r="G180" s="99">
        <v>0.6832</v>
      </c>
      <c r="H180" s="99">
        <v>0.728</v>
      </c>
      <c r="I180" s="99">
        <v>0.7978</v>
      </c>
      <c r="J180" s="99">
        <v>0.7817</v>
      </c>
      <c r="K180" s="100">
        <v>1.0</v>
      </c>
      <c r="L180" s="99">
        <v>0.324140000000001</v>
      </c>
      <c r="M180" s="99">
        <v>0.7913</v>
      </c>
      <c r="N180" s="57">
        <f t="shared" si="2"/>
        <v>0.5055667851</v>
      </c>
      <c r="O180" s="57">
        <f t="shared" si="1"/>
        <v>60.47885864</v>
      </c>
      <c r="P180" s="99">
        <v>9288.32302</v>
      </c>
      <c r="Q180" s="99">
        <v>4.715149</v>
      </c>
      <c r="R180" s="99">
        <v>0.4934</v>
      </c>
      <c r="S180" s="99">
        <v>0.4638</v>
      </c>
      <c r="T180" s="99">
        <v>0.5989</v>
      </c>
      <c r="U180" s="99">
        <v>0.6103</v>
      </c>
      <c r="V180" s="99">
        <v>0.4638</v>
      </c>
      <c r="W180" s="99">
        <v>0.4934</v>
      </c>
      <c r="X180" s="99">
        <v>0.4023</v>
      </c>
      <c r="Y180" s="99">
        <v>0.4732</v>
      </c>
      <c r="Z180" s="99">
        <v>0.4777</v>
      </c>
      <c r="AA180" s="99">
        <v>0.1953</v>
      </c>
      <c r="AB180" s="99">
        <v>0.1717</v>
      </c>
      <c r="AC180" s="99">
        <v>0.787</v>
      </c>
      <c r="AD180" s="99">
        <v>0.0877</v>
      </c>
      <c r="AE180" s="99">
        <v>0.1578</v>
      </c>
      <c r="AF180" s="99">
        <v>0.2954</v>
      </c>
      <c r="AG180" s="99">
        <v>0.6607</v>
      </c>
      <c r="AH180" s="99">
        <v>0.4861</v>
      </c>
      <c r="AI180" s="99">
        <v>0.5601</v>
      </c>
      <c r="AJ180" s="99">
        <v>0.5564</v>
      </c>
      <c r="AK180" s="99">
        <v>0.3489</v>
      </c>
      <c r="AL180" s="99">
        <v>0.8176</v>
      </c>
      <c r="AM180" s="99">
        <v>0.4891</v>
      </c>
      <c r="AN180" s="99">
        <v>0.6633</v>
      </c>
      <c r="AO180" s="58"/>
      <c r="AP180" s="58"/>
      <c r="AQ180" s="58"/>
    </row>
    <row r="181">
      <c r="A181" s="13"/>
      <c r="B181" s="13"/>
      <c r="C181" s="98">
        <v>2.0</v>
      </c>
      <c r="D181" s="99">
        <v>1.0</v>
      </c>
      <c r="E181" s="99">
        <v>1.0</v>
      </c>
      <c r="F181" s="99">
        <v>1.0</v>
      </c>
      <c r="G181" s="99">
        <v>0.6832</v>
      </c>
      <c r="H181" s="99">
        <v>0.728</v>
      </c>
      <c r="I181" s="99">
        <v>0.7784</v>
      </c>
      <c r="J181" s="99">
        <v>0.7817</v>
      </c>
      <c r="K181" s="100">
        <v>1.0</v>
      </c>
      <c r="L181" s="99">
        <v>0.324140000000001</v>
      </c>
      <c r="M181" s="99">
        <v>0.7874</v>
      </c>
      <c r="N181" s="57">
        <f t="shared" si="2"/>
        <v>0.5055667851</v>
      </c>
      <c r="O181" s="57">
        <f t="shared" si="1"/>
        <v>60.35945148</v>
      </c>
      <c r="P181" s="99">
        <v>9288.32302</v>
      </c>
      <c r="Q181" s="99">
        <v>5.102447</v>
      </c>
      <c r="R181" s="99">
        <v>0.4934</v>
      </c>
      <c r="S181" s="99">
        <v>0.4638</v>
      </c>
      <c r="T181" s="99">
        <v>0.5989</v>
      </c>
      <c r="U181" s="99">
        <v>0.6103</v>
      </c>
      <c r="V181" s="99">
        <v>0.4638</v>
      </c>
      <c r="W181" s="99">
        <v>0.4934</v>
      </c>
      <c r="X181" s="99">
        <v>0.4023</v>
      </c>
      <c r="Y181" s="99">
        <v>0.4732</v>
      </c>
      <c r="Z181" s="99">
        <v>0.4777</v>
      </c>
      <c r="AA181" s="99">
        <v>0.1953</v>
      </c>
      <c r="AB181" s="99">
        <v>0.1717</v>
      </c>
      <c r="AC181" s="99">
        <v>0.787</v>
      </c>
      <c r="AD181" s="99">
        <v>0.0877</v>
      </c>
      <c r="AE181" s="99">
        <v>0.1578</v>
      </c>
      <c r="AF181" s="99">
        <v>0.2954</v>
      </c>
      <c r="AG181" s="99">
        <v>0.6607</v>
      </c>
      <c r="AH181" s="99">
        <v>0.4861</v>
      </c>
      <c r="AI181" s="99">
        <v>0.5601</v>
      </c>
      <c r="AJ181" s="99">
        <v>0.5564</v>
      </c>
      <c r="AK181" s="99">
        <v>0.3489</v>
      </c>
      <c r="AL181" s="99">
        <v>0.8176</v>
      </c>
      <c r="AM181" s="99">
        <v>0.4891</v>
      </c>
      <c r="AN181" s="99">
        <v>0.6633</v>
      </c>
      <c r="AO181" s="58"/>
      <c r="AP181" s="58"/>
      <c r="AQ181" s="58"/>
    </row>
    <row r="182">
      <c r="A182" s="13"/>
      <c r="B182" s="13"/>
      <c r="C182" s="98">
        <v>3.0</v>
      </c>
      <c r="D182" s="99">
        <v>1.0</v>
      </c>
      <c r="E182" s="99">
        <v>1.0</v>
      </c>
      <c r="F182" s="99">
        <v>1.0</v>
      </c>
      <c r="G182" s="99">
        <v>0.732</v>
      </c>
      <c r="H182" s="99">
        <v>0.7879</v>
      </c>
      <c r="I182" s="99">
        <v>0.7707</v>
      </c>
      <c r="J182" s="99">
        <v>0.8747</v>
      </c>
      <c r="K182" s="100">
        <v>1.0</v>
      </c>
      <c r="L182" s="99">
        <v>0.324140000000001</v>
      </c>
      <c r="M182" s="99">
        <v>0.8165</v>
      </c>
      <c r="N182" s="57">
        <f t="shared" si="2"/>
        <v>0.6535454438</v>
      </c>
      <c r="O182" s="57">
        <f t="shared" si="1"/>
        <v>71.44106998</v>
      </c>
      <c r="P182" s="99">
        <v>9288.32302</v>
      </c>
      <c r="Q182" s="99">
        <v>5.329703</v>
      </c>
      <c r="R182" s="99">
        <v>0.6012</v>
      </c>
      <c r="S182" s="99">
        <v>0.6355</v>
      </c>
      <c r="T182" s="99">
        <v>0.6882</v>
      </c>
      <c r="U182" s="99">
        <v>0.7057</v>
      </c>
      <c r="V182" s="99">
        <v>0.6355</v>
      </c>
      <c r="W182" s="99">
        <v>0.6012</v>
      </c>
      <c r="X182" s="99">
        <v>0.5953</v>
      </c>
      <c r="Y182" s="99">
        <v>0.6026</v>
      </c>
      <c r="Z182" s="99">
        <v>0.6818</v>
      </c>
      <c r="AA182" s="99">
        <v>0.4093</v>
      </c>
      <c r="AB182" s="99">
        <v>0.3687</v>
      </c>
      <c r="AC182" s="99">
        <v>0.8748</v>
      </c>
      <c r="AD182" s="99">
        <v>0.4336</v>
      </c>
      <c r="AE182" s="99">
        <v>0.5798</v>
      </c>
      <c r="AF182" s="99">
        <v>0.6539</v>
      </c>
      <c r="AG182" s="99">
        <v>0.7612</v>
      </c>
      <c r="AH182" s="99">
        <v>0.5138</v>
      </c>
      <c r="AI182" s="99">
        <v>0.6135</v>
      </c>
      <c r="AJ182" s="99">
        <v>0.6283</v>
      </c>
      <c r="AK182" s="99">
        <v>0.4287</v>
      </c>
      <c r="AL182" s="99">
        <v>0.9592</v>
      </c>
      <c r="AM182" s="99">
        <v>0.5926</v>
      </c>
      <c r="AN182" s="99">
        <v>0.7716</v>
      </c>
      <c r="AO182" s="58"/>
      <c r="AP182" s="58"/>
      <c r="AQ182" s="58"/>
    </row>
    <row r="183">
      <c r="A183" s="13"/>
      <c r="B183" s="16"/>
      <c r="C183" s="98">
        <v>4.0</v>
      </c>
      <c r="D183" s="99">
        <v>1.0</v>
      </c>
      <c r="E183" s="99">
        <v>1.0</v>
      </c>
      <c r="F183" s="99">
        <v>1.0</v>
      </c>
      <c r="G183" s="99">
        <v>0.7892</v>
      </c>
      <c r="H183" s="99">
        <v>0.814</v>
      </c>
      <c r="I183" s="99">
        <v>0.7707</v>
      </c>
      <c r="J183" s="99">
        <v>0.9045</v>
      </c>
      <c r="K183" s="100">
        <v>1.0</v>
      </c>
      <c r="L183" s="99">
        <v>0.324140000000001</v>
      </c>
      <c r="M183" s="99">
        <v>0.8388</v>
      </c>
      <c r="N183" s="57">
        <f t="shared" si="2"/>
        <v>0.6779725581</v>
      </c>
      <c r="O183" s="57">
        <f t="shared" si="1"/>
        <v>73.82282119</v>
      </c>
      <c r="P183" s="99">
        <v>9288.32302</v>
      </c>
      <c r="Q183" s="99">
        <v>5.389735</v>
      </c>
      <c r="R183" s="99">
        <v>0.6281</v>
      </c>
      <c r="S183" s="99">
        <v>0.6659</v>
      </c>
      <c r="T183" s="99">
        <v>0.6889</v>
      </c>
      <c r="U183" s="99">
        <v>0.7097</v>
      </c>
      <c r="V183" s="99">
        <v>0.6659</v>
      </c>
      <c r="W183" s="99">
        <v>0.6281</v>
      </c>
      <c r="X183" s="99">
        <v>0.6267</v>
      </c>
      <c r="Y183" s="99">
        <v>0.6295</v>
      </c>
      <c r="Z183" s="99">
        <v>0.7104</v>
      </c>
      <c r="AA183" s="99">
        <v>0.4401</v>
      </c>
      <c r="AB183" s="99">
        <v>0.4062</v>
      </c>
      <c r="AC183" s="99">
        <v>0.8437</v>
      </c>
      <c r="AD183" s="99">
        <v>0.4973</v>
      </c>
      <c r="AE183" s="99">
        <v>0.6258</v>
      </c>
      <c r="AF183" s="99">
        <v>0.6978</v>
      </c>
      <c r="AG183" s="99">
        <v>0.7645</v>
      </c>
      <c r="AH183" s="99">
        <v>0.5417</v>
      </c>
      <c r="AI183" s="99">
        <v>0.6341</v>
      </c>
      <c r="AJ183" s="99">
        <v>0.6417</v>
      </c>
      <c r="AK183" s="99">
        <v>0.4584</v>
      </c>
      <c r="AL183" s="99">
        <v>0.9588</v>
      </c>
      <c r="AM183" s="99">
        <v>0.6203</v>
      </c>
      <c r="AN183" s="99">
        <v>0.8004</v>
      </c>
      <c r="AO183" s="58"/>
      <c r="AP183" s="58"/>
      <c r="AQ183" s="58"/>
    </row>
    <row r="184">
      <c r="A184" s="13"/>
      <c r="B184" s="97" t="s">
        <v>25</v>
      </c>
      <c r="C184" s="98">
        <v>1.0</v>
      </c>
      <c r="D184" s="99">
        <v>1.0</v>
      </c>
      <c r="E184" s="99">
        <v>1.0</v>
      </c>
      <c r="F184" s="99">
        <v>1.0</v>
      </c>
      <c r="G184" s="99">
        <v>0.7902</v>
      </c>
      <c r="H184" s="99">
        <v>0.8152</v>
      </c>
      <c r="I184" s="99">
        <v>0.4539</v>
      </c>
      <c r="J184" s="99">
        <v>0.888</v>
      </c>
      <c r="K184" s="100">
        <v>1.0</v>
      </c>
      <c r="L184" s="99">
        <v>0.324140000000001</v>
      </c>
      <c r="M184" s="99">
        <v>0.7636</v>
      </c>
      <c r="N184" s="57">
        <f t="shared" si="2"/>
        <v>0.64186807</v>
      </c>
      <c r="O184" s="57">
        <f t="shared" si="1"/>
        <v>68.8040228</v>
      </c>
      <c r="P184" s="99">
        <v>10012.231026</v>
      </c>
      <c r="Q184" s="99">
        <v>4.879311</v>
      </c>
      <c r="R184" s="99">
        <v>0.6363</v>
      </c>
      <c r="S184" s="99">
        <v>0.6006</v>
      </c>
      <c r="T184" s="99">
        <v>0.6064</v>
      </c>
      <c r="U184" s="99">
        <v>0.7067</v>
      </c>
      <c r="V184" s="99">
        <v>0.6006</v>
      </c>
      <c r="W184" s="99">
        <v>0.6363</v>
      </c>
      <c r="X184" s="99">
        <v>0.5576</v>
      </c>
      <c r="Y184" s="99">
        <v>0.636</v>
      </c>
      <c r="Z184" s="99">
        <v>0.6547</v>
      </c>
      <c r="AA184" s="99">
        <v>0.4399</v>
      </c>
      <c r="AB184" s="99">
        <v>0.408</v>
      </c>
      <c r="AC184" s="99">
        <v>0.5062</v>
      </c>
      <c r="AD184" s="99">
        <v>0.2525</v>
      </c>
      <c r="AE184" s="99">
        <v>0.337</v>
      </c>
      <c r="AF184" s="99">
        <v>0.4892</v>
      </c>
      <c r="AG184" s="99">
        <v>0.8688</v>
      </c>
      <c r="AH184" s="99">
        <v>0.6444</v>
      </c>
      <c r="AI184" s="99">
        <v>0.7399</v>
      </c>
      <c r="AJ184" s="99">
        <v>0.7437</v>
      </c>
      <c r="AK184" s="99">
        <v>0.4444</v>
      </c>
      <c r="AL184" s="99">
        <v>0.9048</v>
      </c>
      <c r="AM184" s="99">
        <v>0.596</v>
      </c>
      <c r="AN184" s="99">
        <v>0.7713</v>
      </c>
      <c r="AO184" s="58"/>
      <c r="AP184" s="58"/>
      <c r="AQ184" s="58"/>
    </row>
    <row r="185">
      <c r="A185" s="13"/>
      <c r="B185" s="13"/>
      <c r="C185" s="98">
        <v>2.0</v>
      </c>
      <c r="D185" s="99">
        <v>1.0</v>
      </c>
      <c r="E185" s="99">
        <v>1.0</v>
      </c>
      <c r="F185" s="99">
        <v>1.0</v>
      </c>
      <c r="G185" s="99">
        <v>0.6673</v>
      </c>
      <c r="H185" s="99">
        <v>0.9247</v>
      </c>
      <c r="I185" s="99">
        <v>0.6285</v>
      </c>
      <c r="J185" s="99">
        <v>0.9238</v>
      </c>
      <c r="K185" s="100">
        <v>1.0</v>
      </c>
      <c r="L185" s="99">
        <v>0.324140000000001</v>
      </c>
      <c r="M185" s="99">
        <v>0.7891</v>
      </c>
      <c r="N185" s="57">
        <f t="shared" si="2"/>
        <v>0.7433206695</v>
      </c>
      <c r="O185" s="57">
        <f t="shared" si="1"/>
        <v>76.13047561</v>
      </c>
      <c r="P185" s="99">
        <v>10012.231026</v>
      </c>
      <c r="Q185" s="99">
        <v>5.19362</v>
      </c>
      <c r="R185" s="99">
        <v>0.7579</v>
      </c>
      <c r="S185" s="99">
        <v>0.7054</v>
      </c>
      <c r="T185" s="99">
        <v>0.7001</v>
      </c>
      <c r="U185" s="99">
        <v>0.7623</v>
      </c>
      <c r="V185" s="99">
        <v>0.7054</v>
      </c>
      <c r="W185" s="99">
        <v>0.7579</v>
      </c>
      <c r="X185" s="99">
        <v>0.6917</v>
      </c>
      <c r="Y185" s="99">
        <v>0.7529</v>
      </c>
      <c r="Z185" s="99">
        <v>0.7617</v>
      </c>
      <c r="AA185" s="99">
        <v>0.5848</v>
      </c>
      <c r="AB185" s="99">
        <v>0.5792</v>
      </c>
      <c r="AC185" s="99">
        <v>0.5925</v>
      </c>
      <c r="AD185" s="99">
        <v>0.4229</v>
      </c>
      <c r="AE185" s="99">
        <v>0.4935</v>
      </c>
      <c r="AF185" s="99">
        <v>0.63</v>
      </c>
      <c r="AG185" s="99">
        <v>0.8568</v>
      </c>
      <c r="AH185" s="99">
        <v>0.8055</v>
      </c>
      <c r="AI185" s="99">
        <v>0.8304</v>
      </c>
      <c r="AJ185" s="99">
        <v>0.8057</v>
      </c>
      <c r="AK185" s="99">
        <v>0.6509</v>
      </c>
      <c r="AL185" s="99">
        <v>0.8877</v>
      </c>
      <c r="AM185" s="99">
        <v>0.7511</v>
      </c>
      <c r="AN185" s="99">
        <v>0.8707</v>
      </c>
      <c r="AO185" s="58"/>
      <c r="AP185" s="58"/>
      <c r="AQ185" s="58"/>
    </row>
    <row r="186">
      <c r="A186" s="13"/>
      <c r="B186" s="13"/>
      <c r="C186" s="98">
        <v>3.0</v>
      </c>
      <c r="D186" s="99">
        <v>1.0</v>
      </c>
      <c r="E186" s="99">
        <v>1.0</v>
      </c>
      <c r="F186" s="99">
        <v>1.0</v>
      </c>
      <c r="G186" s="99">
        <v>0.6136</v>
      </c>
      <c r="H186" s="99">
        <v>0.9826</v>
      </c>
      <c r="I186" s="99">
        <v>0.7471</v>
      </c>
      <c r="J186" s="99">
        <v>0.8987</v>
      </c>
      <c r="K186" s="100">
        <v>1.0</v>
      </c>
      <c r="L186" s="99">
        <v>0.324140000000001</v>
      </c>
      <c r="M186" s="99">
        <v>0.8192</v>
      </c>
      <c r="N186" s="57">
        <f t="shared" si="2"/>
        <v>0.8039765459</v>
      </c>
      <c r="O186" s="57">
        <f t="shared" si="1"/>
        <v>81.00316815</v>
      </c>
      <c r="P186" s="99">
        <v>10012.231026</v>
      </c>
      <c r="Q186" s="99">
        <v>5.400268</v>
      </c>
      <c r="R186" s="99">
        <v>0.8128</v>
      </c>
      <c r="S186" s="99">
        <v>0.7748</v>
      </c>
      <c r="T186" s="99">
        <v>0.775</v>
      </c>
      <c r="U186" s="99">
        <v>0.8096</v>
      </c>
      <c r="V186" s="99">
        <v>0.7748</v>
      </c>
      <c r="W186" s="99">
        <v>0.8128</v>
      </c>
      <c r="X186" s="99">
        <v>0.7742</v>
      </c>
      <c r="Y186" s="99">
        <v>0.8107</v>
      </c>
      <c r="Z186" s="99">
        <v>0.8207</v>
      </c>
      <c r="AA186" s="99">
        <v>0.6693</v>
      </c>
      <c r="AB186" s="99">
        <v>0.669</v>
      </c>
      <c r="AC186" s="99">
        <v>0.6382</v>
      </c>
      <c r="AD186" s="99">
        <v>0.5817</v>
      </c>
      <c r="AE186" s="99">
        <v>0.6086</v>
      </c>
      <c r="AF186" s="99">
        <v>0.7343</v>
      </c>
      <c r="AG186" s="99">
        <v>0.8528</v>
      </c>
      <c r="AH186" s="99">
        <v>0.8546</v>
      </c>
      <c r="AI186" s="99">
        <v>0.8537</v>
      </c>
      <c r="AJ186" s="99">
        <v>0.8206</v>
      </c>
      <c r="AK186" s="99">
        <v>0.8342</v>
      </c>
      <c r="AL186" s="99">
        <v>0.8881</v>
      </c>
      <c r="AM186" s="99">
        <v>0.8603</v>
      </c>
      <c r="AN186" s="99">
        <v>0.9174</v>
      </c>
      <c r="AO186" s="58"/>
      <c r="AP186" s="58"/>
      <c r="AQ186" s="58"/>
    </row>
    <row r="187">
      <c r="A187" s="13"/>
      <c r="B187" s="16"/>
      <c r="C187" s="98">
        <v>4.0</v>
      </c>
      <c r="D187" s="99">
        <v>1.0</v>
      </c>
      <c r="E187" s="99">
        <v>1.0</v>
      </c>
      <c r="F187" s="99">
        <v>1.0</v>
      </c>
      <c r="G187" s="99">
        <v>0.5901</v>
      </c>
      <c r="H187" s="99">
        <v>0.9826</v>
      </c>
      <c r="I187" s="99">
        <v>0.7556</v>
      </c>
      <c r="J187" s="99">
        <v>0.8736</v>
      </c>
      <c r="K187" s="100">
        <v>1.0</v>
      </c>
      <c r="L187" s="99">
        <v>0.324140000000001</v>
      </c>
      <c r="M187" s="99">
        <v>0.8136</v>
      </c>
      <c r="N187" s="57">
        <f t="shared" si="2"/>
        <v>0.8305627656</v>
      </c>
      <c r="O187" s="57">
        <f t="shared" si="1"/>
        <v>82.37356283</v>
      </c>
      <c r="P187" s="99">
        <v>10012.231026</v>
      </c>
      <c r="Q187" s="99">
        <v>5.447797</v>
      </c>
      <c r="R187" s="99">
        <v>0.8365</v>
      </c>
      <c r="S187" s="99">
        <v>0.8035</v>
      </c>
      <c r="T187" s="99">
        <v>0.8206</v>
      </c>
      <c r="U187" s="99">
        <v>0.8397</v>
      </c>
      <c r="V187" s="99">
        <v>0.8035</v>
      </c>
      <c r="W187" s="99">
        <v>0.8365</v>
      </c>
      <c r="X187" s="99">
        <v>0.8113</v>
      </c>
      <c r="Y187" s="99">
        <v>0.8375</v>
      </c>
      <c r="Z187" s="99">
        <v>0.8424</v>
      </c>
      <c r="AA187" s="99">
        <v>0.709</v>
      </c>
      <c r="AB187" s="99">
        <v>0.7086</v>
      </c>
      <c r="AC187" s="99">
        <v>0.6353</v>
      </c>
      <c r="AD187" s="99">
        <v>0.647</v>
      </c>
      <c r="AE187" s="99">
        <v>0.6411</v>
      </c>
      <c r="AF187" s="99">
        <v>0.77</v>
      </c>
      <c r="AG187" s="99">
        <v>0.8514</v>
      </c>
      <c r="AH187" s="99">
        <v>0.8757</v>
      </c>
      <c r="AI187" s="99">
        <v>0.8634</v>
      </c>
      <c r="AJ187" s="99">
        <v>0.8266</v>
      </c>
      <c r="AK187" s="99">
        <v>0.975</v>
      </c>
      <c r="AL187" s="99">
        <v>0.8879</v>
      </c>
      <c r="AM187" s="99">
        <v>0.9294</v>
      </c>
      <c r="AN187" s="99">
        <v>0.9391</v>
      </c>
      <c r="AO187" s="58"/>
      <c r="AP187" s="58"/>
      <c r="AQ187" s="58"/>
    </row>
    <row r="188">
      <c r="A188" s="13"/>
      <c r="B188" s="97" t="s">
        <v>26</v>
      </c>
      <c r="C188" s="98">
        <v>1.0</v>
      </c>
      <c r="D188" s="99">
        <v>1.0</v>
      </c>
      <c r="E188" s="99">
        <v>1.0</v>
      </c>
      <c r="F188" s="99">
        <v>1.0</v>
      </c>
      <c r="G188" s="99">
        <v>0.8124</v>
      </c>
      <c r="H188" s="99">
        <v>0.8548</v>
      </c>
      <c r="I188" s="99">
        <v>0.7751</v>
      </c>
      <c r="J188" s="99">
        <v>0.8327</v>
      </c>
      <c r="K188" s="100">
        <v>1.0</v>
      </c>
      <c r="L188" s="99">
        <v>0.324140000000001</v>
      </c>
      <c r="M188" s="99">
        <v>0.8517</v>
      </c>
      <c r="N188" s="57">
        <f t="shared" si="2"/>
        <v>0.6423947202</v>
      </c>
      <c r="O188" s="57">
        <f t="shared" si="1"/>
        <v>71.91108419</v>
      </c>
      <c r="P188" s="99">
        <v>10215.284682</v>
      </c>
      <c r="Q188" s="99">
        <v>5.016145</v>
      </c>
      <c r="R188" s="99">
        <v>0.6005</v>
      </c>
      <c r="S188" s="99">
        <v>0.6134</v>
      </c>
      <c r="T188" s="99">
        <v>0.623</v>
      </c>
      <c r="U188" s="99">
        <v>0.6852</v>
      </c>
      <c r="V188" s="99">
        <v>0.6134</v>
      </c>
      <c r="W188" s="99">
        <v>0.6005</v>
      </c>
      <c r="X188" s="99">
        <v>0.5946</v>
      </c>
      <c r="Y188" s="99">
        <v>0.6254</v>
      </c>
      <c r="Z188" s="99">
        <v>0.6911</v>
      </c>
      <c r="AA188" s="99">
        <v>0.3748</v>
      </c>
      <c r="AB188" s="99">
        <v>0.3585</v>
      </c>
      <c r="AC188" s="99">
        <v>0.2944</v>
      </c>
      <c r="AD188" s="99">
        <v>0.5968</v>
      </c>
      <c r="AE188" s="99">
        <v>0.3943</v>
      </c>
      <c r="AF188" s="99">
        <v>0.6447</v>
      </c>
      <c r="AG188" s="99">
        <v>0.7432</v>
      </c>
      <c r="AH188" s="99">
        <v>0.5749</v>
      </c>
      <c r="AI188" s="99">
        <v>0.6483</v>
      </c>
      <c r="AJ188" s="99">
        <v>0.6393</v>
      </c>
      <c r="AK188" s="99">
        <v>0.8316</v>
      </c>
      <c r="AL188" s="99">
        <v>0.6685</v>
      </c>
      <c r="AM188" s="99">
        <v>0.7411</v>
      </c>
      <c r="AN188" s="99">
        <v>0.8007</v>
      </c>
      <c r="AO188" s="69"/>
      <c r="AP188" s="69"/>
      <c r="AQ188" s="69"/>
    </row>
    <row r="189">
      <c r="A189" s="13"/>
      <c r="B189" s="13"/>
      <c r="C189" s="98">
        <v>2.0</v>
      </c>
      <c r="D189" s="99">
        <v>1.0</v>
      </c>
      <c r="E189" s="99">
        <v>1.0</v>
      </c>
      <c r="F189" s="99">
        <v>1.0</v>
      </c>
      <c r="G189" s="99">
        <v>0.8515</v>
      </c>
      <c r="H189" s="99">
        <v>0.8577</v>
      </c>
      <c r="I189" s="99">
        <v>0.9245</v>
      </c>
      <c r="J189" s="99">
        <v>0.856</v>
      </c>
      <c r="K189" s="100">
        <v>1.0</v>
      </c>
      <c r="L189" s="99">
        <v>0.324140000000001</v>
      </c>
      <c r="M189" s="99">
        <v>0.9065</v>
      </c>
      <c r="N189" s="57">
        <f t="shared" si="2"/>
        <v>0.7359623057</v>
      </c>
      <c r="O189" s="57">
        <f t="shared" si="1"/>
        <v>79.99456225</v>
      </c>
      <c r="P189" s="99">
        <v>10215.284682</v>
      </c>
      <c r="Q189" s="99">
        <v>5.388242</v>
      </c>
      <c r="R189" s="99">
        <v>0.6907</v>
      </c>
      <c r="S189" s="99">
        <v>0.731</v>
      </c>
      <c r="T189" s="99">
        <v>0.7038</v>
      </c>
      <c r="U189" s="99">
        <v>0.7725</v>
      </c>
      <c r="V189" s="99">
        <v>0.731</v>
      </c>
      <c r="W189" s="99">
        <v>0.6907</v>
      </c>
      <c r="X189" s="99">
        <v>0.6925</v>
      </c>
      <c r="Y189" s="99">
        <v>0.7113</v>
      </c>
      <c r="Z189" s="99">
        <v>0.7797</v>
      </c>
      <c r="AA189" s="99">
        <v>0.5345</v>
      </c>
      <c r="AB189" s="99">
        <v>0.5107</v>
      </c>
      <c r="AC189" s="99">
        <v>0.3606</v>
      </c>
      <c r="AD189" s="99">
        <v>0.7097</v>
      </c>
      <c r="AE189" s="99">
        <v>0.4782</v>
      </c>
      <c r="AF189" s="99">
        <v>0.7215</v>
      </c>
      <c r="AG189" s="99">
        <v>0.8389</v>
      </c>
      <c r="AH189" s="99">
        <v>0.6142</v>
      </c>
      <c r="AI189" s="99">
        <v>0.7092</v>
      </c>
      <c r="AJ189" s="99">
        <v>0.714</v>
      </c>
      <c r="AK189" s="99">
        <v>0.9119</v>
      </c>
      <c r="AL189" s="99">
        <v>0.8691</v>
      </c>
      <c r="AM189" s="99">
        <v>0.89</v>
      </c>
      <c r="AN189" s="99">
        <v>0.9202</v>
      </c>
      <c r="AO189" s="69"/>
      <c r="AP189" s="69"/>
      <c r="AQ189" s="69"/>
    </row>
    <row r="190">
      <c r="A190" s="13"/>
      <c r="B190" s="13"/>
      <c r="C190" s="98">
        <v>3.0</v>
      </c>
      <c r="D190" s="99">
        <v>1.0</v>
      </c>
      <c r="E190" s="99">
        <v>1.0</v>
      </c>
      <c r="F190" s="99">
        <v>1.0</v>
      </c>
      <c r="G190" s="99">
        <v>0.8421</v>
      </c>
      <c r="H190" s="99">
        <v>0.8624</v>
      </c>
      <c r="I190" s="99">
        <v>0.9245</v>
      </c>
      <c r="J190" s="99">
        <v>0.8501</v>
      </c>
      <c r="K190" s="100">
        <v>1.0</v>
      </c>
      <c r="L190" s="99">
        <v>0.324140000000001</v>
      </c>
      <c r="M190" s="99">
        <v>0.9052</v>
      </c>
      <c r="N190" s="57">
        <f t="shared" si="2"/>
        <v>0.7629042224</v>
      </c>
      <c r="O190" s="57">
        <f t="shared" si="1"/>
        <v>81.69205654</v>
      </c>
      <c r="P190" s="99">
        <v>10215.284682</v>
      </c>
      <c r="Q190" s="99">
        <v>5.567206</v>
      </c>
      <c r="R190" s="99">
        <v>0.7179</v>
      </c>
      <c r="S190" s="99">
        <v>0.7641</v>
      </c>
      <c r="T190" s="99">
        <v>0.7358</v>
      </c>
      <c r="U190" s="99">
        <v>0.795</v>
      </c>
      <c r="V190" s="99">
        <v>0.7641</v>
      </c>
      <c r="W190" s="99">
        <v>0.7179</v>
      </c>
      <c r="X190" s="99">
        <v>0.7251</v>
      </c>
      <c r="Y190" s="99">
        <v>0.7363</v>
      </c>
      <c r="Z190" s="99">
        <v>0.8038</v>
      </c>
      <c r="AA190" s="99">
        <v>0.576</v>
      </c>
      <c r="AB190" s="99">
        <v>0.5518</v>
      </c>
      <c r="AC190" s="99">
        <v>0.3999</v>
      </c>
      <c r="AD190" s="99">
        <v>0.7654</v>
      </c>
      <c r="AE190" s="99">
        <v>0.5253</v>
      </c>
      <c r="AF190" s="99">
        <v>0.7554</v>
      </c>
      <c r="AG190" s="99">
        <v>0.8556</v>
      </c>
      <c r="AH190" s="99">
        <v>0.6364</v>
      </c>
      <c r="AI190" s="99">
        <v>0.7299</v>
      </c>
      <c r="AJ190" s="99">
        <v>0.7336</v>
      </c>
      <c r="AK190" s="99">
        <v>0.9519</v>
      </c>
      <c r="AL190" s="99">
        <v>0.8904</v>
      </c>
      <c r="AM190" s="99">
        <v>0.9201</v>
      </c>
      <c r="AN190" s="99">
        <v>0.9373</v>
      </c>
      <c r="AO190" s="69"/>
      <c r="AP190" s="69"/>
      <c r="AQ190" s="69"/>
    </row>
    <row r="191">
      <c r="A191" s="13"/>
      <c r="B191" s="16"/>
      <c r="C191" s="98">
        <v>4.0</v>
      </c>
      <c r="D191" s="99">
        <v>1.0</v>
      </c>
      <c r="E191" s="99">
        <v>1.0</v>
      </c>
      <c r="F191" s="99">
        <v>1.0</v>
      </c>
      <c r="G191" s="99">
        <v>0.8365</v>
      </c>
      <c r="H191" s="99">
        <v>0.8658</v>
      </c>
      <c r="I191" s="99">
        <v>0.9245</v>
      </c>
      <c r="J191" s="99">
        <v>0.8498</v>
      </c>
      <c r="K191" s="100">
        <v>1.0</v>
      </c>
      <c r="L191" s="99">
        <v>0.324140000000001</v>
      </c>
      <c r="M191" s="99">
        <v>0.9046</v>
      </c>
      <c r="N191" s="57">
        <f t="shared" si="2"/>
        <v>0.7724848291</v>
      </c>
      <c r="O191" s="57">
        <f t="shared" si="1"/>
        <v>82.28422987</v>
      </c>
      <c r="P191" s="99">
        <v>10215.284682</v>
      </c>
      <c r="Q191" s="99">
        <v>5.634249</v>
      </c>
      <c r="R191" s="99">
        <v>0.7284</v>
      </c>
      <c r="S191" s="99">
        <v>0.7751</v>
      </c>
      <c r="T191" s="99">
        <v>0.7468</v>
      </c>
      <c r="U191" s="99">
        <v>0.8029</v>
      </c>
      <c r="V191" s="99">
        <v>0.7751</v>
      </c>
      <c r="W191" s="99">
        <v>0.7284</v>
      </c>
      <c r="X191" s="99">
        <v>0.737</v>
      </c>
      <c r="Y191" s="99">
        <v>0.7461</v>
      </c>
      <c r="Z191" s="99">
        <v>0.812</v>
      </c>
      <c r="AA191" s="99">
        <v>0.591</v>
      </c>
      <c r="AB191" s="99">
        <v>0.5672</v>
      </c>
      <c r="AC191" s="99">
        <v>0.4116</v>
      </c>
      <c r="AD191" s="99">
        <v>0.7746</v>
      </c>
      <c r="AE191" s="99">
        <v>0.5375</v>
      </c>
      <c r="AF191" s="99">
        <v>0.7626</v>
      </c>
      <c r="AG191" s="99">
        <v>0.8618</v>
      </c>
      <c r="AH191" s="99">
        <v>0.6464</v>
      </c>
      <c r="AI191" s="99">
        <v>0.7387</v>
      </c>
      <c r="AJ191" s="99">
        <v>0.7417</v>
      </c>
      <c r="AK191" s="99">
        <v>0.9669</v>
      </c>
      <c r="AL191" s="99">
        <v>0.9044</v>
      </c>
      <c r="AM191" s="99">
        <v>0.9346</v>
      </c>
      <c r="AN191" s="99">
        <v>0.9467</v>
      </c>
      <c r="AO191" s="69"/>
      <c r="AP191" s="69"/>
      <c r="AQ191" s="69"/>
    </row>
    <row r="192">
      <c r="A192" s="13"/>
      <c r="B192" s="97" t="s">
        <v>27</v>
      </c>
      <c r="C192" s="98">
        <v>1.0</v>
      </c>
      <c r="D192" s="99">
        <v>1.0</v>
      </c>
      <c r="E192" s="99">
        <v>1.0</v>
      </c>
      <c r="F192" s="99">
        <v>1.0</v>
      </c>
      <c r="G192" s="99">
        <v>0.2526</v>
      </c>
      <c r="H192" s="99">
        <v>0.8085</v>
      </c>
      <c r="I192" s="99">
        <v>0.8828</v>
      </c>
      <c r="J192" s="99">
        <v>0.7175</v>
      </c>
      <c r="K192" s="100">
        <v>1.0</v>
      </c>
      <c r="L192" s="99">
        <v>0.324140000000001</v>
      </c>
      <c r="M192" s="99">
        <v>0.6643</v>
      </c>
      <c r="N192" s="57">
        <f t="shared" si="2"/>
        <v>0.5988863264</v>
      </c>
      <c r="O192" s="57">
        <f t="shared" si="1"/>
        <v>62.42410717</v>
      </c>
      <c r="P192" s="99">
        <v>12317.751652</v>
      </c>
      <c r="Q192" s="99">
        <v>5.513405</v>
      </c>
      <c r="R192" s="99">
        <v>0.6904</v>
      </c>
      <c r="S192" s="99">
        <v>0.5121</v>
      </c>
      <c r="T192" s="99">
        <v>0.676</v>
      </c>
      <c r="U192" s="99">
        <v>0.6924</v>
      </c>
      <c r="V192" s="99">
        <v>0.5121</v>
      </c>
      <c r="W192" s="99">
        <v>0.6904</v>
      </c>
      <c r="X192" s="99">
        <v>0.5351</v>
      </c>
      <c r="Y192" s="99">
        <v>0.6457</v>
      </c>
      <c r="Z192" s="99">
        <v>0.5085</v>
      </c>
      <c r="AA192" s="99">
        <v>0.398</v>
      </c>
      <c r="AB192" s="99">
        <v>0.3432</v>
      </c>
      <c r="AC192" s="99">
        <v>0.3758</v>
      </c>
      <c r="AD192" s="99">
        <v>0.1228</v>
      </c>
      <c r="AE192" s="99">
        <v>0.1851</v>
      </c>
      <c r="AF192" s="99">
        <v>0.3428</v>
      </c>
      <c r="AG192" s="99">
        <v>0.6735</v>
      </c>
      <c r="AH192" s="99">
        <v>0.9452</v>
      </c>
      <c r="AI192" s="99">
        <v>0.7866</v>
      </c>
      <c r="AJ192" s="99">
        <v>0.5615</v>
      </c>
      <c r="AK192" s="99">
        <v>0.9787</v>
      </c>
      <c r="AL192" s="99">
        <v>0.4683</v>
      </c>
      <c r="AM192" s="99">
        <v>0.6335</v>
      </c>
      <c r="AN192" s="99">
        <v>0.6833</v>
      </c>
      <c r="AO192" s="60"/>
      <c r="AP192" s="60"/>
      <c r="AQ192" s="60"/>
    </row>
    <row r="193">
      <c r="A193" s="13"/>
      <c r="B193" s="13"/>
      <c r="C193" s="98">
        <v>2.0</v>
      </c>
      <c r="D193" s="99">
        <v>1.0</v>
      </c>
      <c r="E193" s="99">
        <v>1.0</v>
      </c>
      <c r="F193" s="99">
        <v>1.0</v>
      </c>
      <c r="G193" s="99">
        <v>0.3122</v>
      </c>
      <c r="H193" s="99">
        <v>0.837</v>
      </c>
      <c r="I193" s="99">
        <v>0.9017</v>
      </c>
      <c r="J193" s="99">
        <v>0.7512</v>
      </c>
      <c r="K193" s="100">
        <v>1.0</v>
      </c>
      <c r="L193" s="99">
        <v>0.324140000000001</v>
      </c>
      <c r="M193" s="99">
        <v>0.6967</v>
      </c>
      <c r="N193" s="57">
        <f t="shared" si="2"/>
        <v>0.6732085236</v>
      </c>
      <c r="O193" s="57">
        <f t="shared" si="1"/>
        <v>68.25085367</v>
      </c>
      <c r="P193" s="99">
        <v>12317.751652</v>
      </c>
      <c r="Q193" s="99">
        <v>5.986972</v>
      </c>
      <c r="R193" s="99">
        <v>0.7425</v>
      </c>
      <c r="S193" s="99">
        <v>0.5899</v>
      </c>
      <c r="T193" s="99">
        <v>0.7571</v>
      </c>
      <c r="U193" s="99">
        <v>0.7514</v>
      </c>
      <c r="V193" s="99">
        <v>0.5899</v>
      </c>
      <c r="W193" s="99">
        <v>0.7425</v>
      </c>
      <c r="X193" s="99">
        <v>0.6236</v>
      </c>
      <c r="Y193" s="99">
        <v>0.7108</v>
      </c>
      <c r="Z193" s="99">
        <v>0.6089</v>
      </c>
      <c r="AA193" s="99">
        <v>0.5179</v>
      </c>
      <c r="AB193" s="99">
        <v>0.4714</v>
      </c>
      <c r="AC193" s="99">
        <v>0.5792</v>
      </c>
      <c r="AD193" s="99">
        <v>0.2053</v>
      </c>
      <c r="AE193" s="99">
        <v>0.3031</v>
      </c>
      <c r="AF193" s="99">
        <v>0.4459</v>
      </c>
      <c r="AG193" s="99">
        <v>0.7112</v>
      </c>
      <c r="AH193" s="99">
        <v>0.9538</v>
      </c>
      <c r="AI193" s="99">
        <v>0.8148</v>
      </c>
      <c r="AJ193" s="99">
        <v>0.649</v>
      </c>
      <c r="AK193" s="99">
        <v>0.9807</v>
      </c>
      <c r="AL193" s="99">
        <v>0.6108</v>
      </c>
      <c r="AM193" s="99">
        <v>0.7527</v>
      </c>
      <c r="AN193" s="99">
        <v>0.7801</v>
      </c>
      <c r="AO193" s="60"/>
      <c r="AP193" s="60"/>
      <c r="AQ193" s="60"/>
    </row>
    <row r="194">
      <c r="A194" s="13"/>
      <c r="B194" s="13"/>
      <c r="C194" s="98">
        <v>3.0</v>
      </c>
      <c r="D194" s="99">
        <v>1.0</v>
      </c>
      <c r="E194" s="99">
        <v>1.0</v>
      </c>
      <c r="F194" s="99">
        <v>1.0</v>
      </c>
      <c r="G194" s="99">
        <v>0.3347</v>
      </c>
      <c r="H194" s="99">
        <v>0.851</v>
      </c>
      <c r="I194" s="99">
        <v>0.9228</v>
      </c>
      <c r="J194" s="99">
        <v>0.7641</v>
      </c>
      <c r="K194" s="100">
        <v>1.0</v>
      </c>
      <c r="L194" s="99">
        <v>0.324140000000001</v>
      </c>
      <c r="M194" s="99">
        <v>0.716</v>
      </c>
      <c r="N194" s="57">
        <f t="shared" si="2"/>
        <v>0.7112873086</v>
      </c>
      <c r="O194" s="57">
        <f t="shared" si="1"/>
        <v>71.31686514</v>
      </c>
      <c r="P194" s="99">
        <v>12317.751652</v>
      </c>
      <c r="Q194" s="99">
        <v>6.184222</v>
      </c>
      <c r="R194" s="99">
        <v>0.7668</v>
      </c>
      <c r="S194" s="99">
        <v>0.632</v>
      </c>
      <c r="T194" s="99">
        <v>0.8113</v>
      </c>
      <c r="U194" s="99">
        <v>0.7862</v>
      </c>
      <c r="V194" s="99">
        <v>0.632</v>
      </c>
      <c r="W194" s="99">
        <v>0.7668</v>
      </c>
      <c r="X194" s="99">
        <v>0.6747</v>
      </c>
      <c r="Y194" s="99">
        <v>0.7427</v>
      </c>
      <c r="Z194" s="99">
        <v>0.6648</v>
      </c>
      <c r="AA194" s="99">
        <v>0.5711</v>
      </c>
      <c r="AB194" s="99">
        <v>0.5283</v>
      </c>
      <c r="AC194" s="99">
        <v>0.7201</v>
      </c>
      <c r="AD194" s="99">
        <v>0.2966</v>
      </c>
      <c r="AE194" s="99">
        <v>0.4202</v>
      </c>
      <c r="AF194" s="99">
        <v>0.5377</v>
      </c>
      <c r="AG194" s="99">
        <v>0.7299</v>
      </c>
      <c r="AH194" s="99">
        <v>0.9615</v>
      </c>
      <c r="AI194" s="99">
        <v>0.8298</v>
      </c>
      <c r="AJ194" s="99">
        <v>0.6854</v>
      </c>
      <c r="AK194" s="99">
        <v>0.9838</v>
      </c>
      <c r="AL194" s="99">
        <v>0.6379</v>
      </c>
      <c r="AM194" s="99">
        <v>0.7739</v>
      </c>
      <c r="AN194" s="99">
        <v>0.7974</v>
      </c>
      <c r="AO194" s="60"/>
      <c r="AP194" s="60"/>
      <c r="AQ194" s="60"/>
    </row>
    <row r="195">
      <c r="A195" s="16"/>
      <c r="B195" s="16"/>
      <c r="C195" s="98">
        <v>4.0</v>
      </c>
      <c r="D195" s="99">
        <v>1.0</v>
      </c>
      <c r="E195" s="99">
        <v>1.0</v>
      </c>
      <c r="F195" s="99">
        <v>1.0</v>
      </c>
      <c r="G195" s="99">
        <v>0.3529</v>
      </c>
      <c r="H195" s="99">
        <v>0.8633</v>
      </c>
      <c r="I195" s="99">
        <v>0.9312</v>
      </c>
      <c r="J195" s="99">
        <v>0.7736</v>
      </c>
      <c r="K195" s="100">
        <v>1.0</v>
      </c>
      <c r="L195" s="99">
        <v>0.324140000000001</v>
      </c>
      <c r="M195" s="99">
        <v>0.7298</v>
      </c>
      <c r="N195" s="57">
        <f t="shared" si="2"/>
        <v>0.7288133552</v>
      </c>
      <c r="O195" s="57">
        <f t="shared" si="1"/>
        <v>72.9207853</v>
      </c>
      <c r="P195" s="99">
        <v>12317.751652</v>
      </c>
      <c r="Q195" s="99">
        <v>6.14745</v>
      </c>
      <c r="R195" s="99">
        <v>0.7776</v>
      </c>
      <c r="S195" s="99">
        <v>0.6529</v>
      </c>
      <c r="T195" s="99">
        <v>0.8235</v>
      </c>
      <c r="U195" s="99">
        <v>0.7969</v>
      </c>
      <c r="V195" s="99">
        <v>0.6529</v>
      </c>
      <c r="W195" s="99">
        <v>0.7776</v>
      </c>
      <c r="X195" s="99">
        <v>0.6982</v>
      </c>
      <c r="Y195" s="99">
        <v>0.758</v>
      </c>
      <c r="Z195" s="99">
        <v>0.691</v>
      </c>
      <c r="AA195" s="99">
        <v>0.5924</v>
      </c>
      <c r="AB195" s="99">
        <v>0.5547</v>
      </c>
      <c r="AC195" s="99">
        <v>0.7402</v>
      </c>
      <c r="AD195" s="99">
        <v>0.3478</v>
      </c>
      <c r="AE195" s="99">
        <v>0.4732</v>
      </c>
      <c r="AF195" s="99">
        <v>0.5816</v>
      </c>
      <c r="AG195" s="99">
        <v>0.7405</v>
      </c>
      <c r="AH195" s="99">
        <v>0.9602</v>
      </c>
      <c r="AI195" s="99">
        <v>0.8362</v>
      </c>
      <c r="AJ195" s="99">
        <v>0.7041</v>
      </c>
      <c r="AK195" s="99">
        <v>0.99</v>
      </c>
      <c r="AL195" s="99">
        <v>0.6508</v>
      </c>
      <c r="AM195" s="99">
        <v>0.7853</v>
      </c>
      <c r="AN195" s="99">
        <v>0.8059</v>
      </c>
      <c r="AO195" s="60"/>
      <c r="AP195" s="60"/>
      <c r="AQ195" s="60"/>
    </row>
    <row r="196">
      <c r="A196" s="85" t="s">
        <v>105</v>
      </c>
      <c r="B196" s="109" t="s">
        <v>22</v>
      </c>
      <c r="C196" s="87">
        <v>1.0</v>
      </c>
      <c r="D196" s="104">
        <v>1.0</v>
      </c>
      <c r="E196" s="104">
        <v>1.0</v>
      </c>
      <c r="F196" s="104">
        <v>1.0</v>
      </c>
      <c r="G196" s="104">
        <v>0.863</v>
      </c>
      <c r="H196" s="104">
        <v>0.8164</v>
      </c>
      <c r="I196" s="104">
        <v>0.0</v>
      </c>
      <c r="J196" s="104">
        <v>0.8243</v>
      </c>
      <c r="K196" s="92">
        <v>1.0</v>
      </c>
      <c r="L196" s="104">
        <v>0.324140000000001</v>
      </c>
      <c r="M196" s="104">
        <v>0.0851</v>
      </c>
      <c r="N196" s="48">
        <f t="shared" si="2"/>
        <v>0.8057911963</v>
      </c>
      <c r="O196" s="48">
        <f t="shared" si="1"/>
        <v>32.78727588</v>
      </c>
      <c r="P196" s="104">
        <v>50.465773</v>
      </c>
      <c r="Q196" s="104">
        <v>1.603551</v>
      </c>
      <c r="R196" s="104">
        <v>0.7664</v>
      </c>
      <c r="S196" s="104">
        <v>0.8113</v>
      </c>
      <c r="T196" s="104">
        <v>0.8094</v>
      </c>
      <c r="U196" s="104">
        <v>0.8999</v>
      </c>
      <c r="V196" s="104">
        <v>0.8113</v>
      </c>
      <c r="W196" s="104">
        <v>0.7664</v>
      </c>
      <c r="X196" s="104">
        <v>0.7567</v>
      </c>
      <c r="Y196" s="104">
        <v>0.7939</v>
      </c>
      <c r="Z196" s="104">
        <v>0.8467</v>
      </c>
      <c r="AA196" s="104">
        <v>0.6812</v>
      </c>
      <c r="AB196" s="104">
        <v>0.6339</v>
      </c>
      <c r="AC196" s="104">
        <v>0.4283</v>
      </c>
      <c r="AD196" s="104">
        <v>1.0</v>
      </c>
      <c r="AE196" s="104">
        <v>0.5997</v>
      </c>
      <c r="AF196" s="104">
        <v>0.8466</v>
      </c>
      <c r="AG196" s="104">
        <v>1.0</v>
      </c>
      <c r="AH196" s="104">
        <v>0.7166</v>
      </c>
      <c r="AI196" s="104">
        <v>0.8349</v>
      </c>
      <c r="AJ196" s="104">
        <v>0.8465</v>
      </c>
      <c r="AK196" s="104">
        <v>1.0</v>
      </c>
      <c r="AL196" s="104">
        <v>0.7173</v>
      </c>
      <c r="AM196" s="104">
        <v>0.8354</v>
      </c>
      <c r="AN196" s="104">
        <v>0.847</v>
      </c>
      <c r="AO196" s="64"/>
      <c r="AP196" s="64"/>
      <c r="AQ196" s="64"/>
    </row>
    <row r="197">
      <c r="A197" s="13"/>
      <c r="B197" s="13"/>
      <c r="C197" s="87">
        <v>2.0</v>
      </c>
      <c r="D197" s="104">
        <v>1.0</v>
      </c>
      <c r="E197" s="104">
        <v>1.0</v>
      </c>
      <c r="F197" s="104">
        <v>1.0</v>
      </c>
      <c r="G197" s="104">
        <v>0.7051</v>
      </c>
      <c r="H197" s="104">
        <v>0.9372</v>
      </c>
      <c r="I197" s="104">
        <v>0.0</v>
      </c>
      <c r="J197" s="104">
        <v>0.9445</v>
      </c>
      <c r="K197" s="92">
        <v>1.0</v>
      </c>
      <c r="L197" s="104">
        <v>0.324140000000001</v>
      </c>
      <c r="M197" s="104">
        <v>0.0947</v>
      </c>
      <c r="N197" s="48">
        <f t="shared" si="2"/>
        <v>0.9374562164</v>
      </c>
      <c r="O197" s="48">
        <f t="shared" si="1"/>
        <v>37.47232047</v>
      </c>
      <c r="P197" s="104">
        <v>50.465773</v>
      </c>
      <c r="Q197" s="104">
        <v>1.770661</v>
      </c>
      <c r="R197" s="104">
        <v>0.9284</v>
      </c>
      <c r="S197" s="104">
        <v>0.9502</v>
      </c>
      <c r="T197" s="104">
        <v>0.9031</v>
      </c>
      <c r="U197" s="104">
        <v>0.9492</v>
      </c>
      <c r="V197" s="104">
        <v>0.9502</v>
      </c>
      <c r="W197" s="104">
        <v>0.9284</v>
      </c>
      <c r="X197" s="104">
        <v>0.9173</v>
      </c>
      <c r="Y197" s="104">
        <v>0.9327</v>
      </c>
      <c r="Z197" s="104">
        <v>0.9597</v>
      </c>
      <c r="AA197" s="104">
        <v>0.8863</v>
      </c>
      <c r="AB197" s="104">
        <v>0.879</v>
      </c>
      <c r="AC197" s="104">
        <v>0.7094</v>
      </c>
      <c r="AD197" s="104">
        <v>1.0</v>
      </c>
      <c r="AE197" s="104">
        <v>0.83</v>
      </c>
      <c r="AF197" s="104">
        <v>0.9557</v>
      </c>
      <c r="AG197" s="104">
        <v>1.0</v>
      </c>
      <c r="AH197" s="104">
        <v>0.8973</v>
      </c>
      <c r="AI197" s="104">
        <v>0.9459</v>
      </c>
      <c r="AJ197" s="104">
        <v>0.9473</v>
      </c>
      <c r="AK197" s="104">
        <v>1.0</v>
      </c>
      <c r="AL197" s="104">
        <v>0.9533</v>
      </c>
      <c r="AM197" s="104">
        <v>0.9761</v>
      </c>
      <c r="AN197" s="104">
        <v>0.9764</v>
      </c>
      <c r="AO197" s="64"/>
      <c r="AP197" s="64"/>
      <c r="AQ197" s="64"/>
    </row>
    <row r="198">
      <c r="A198" s="13"/>
      <c r="B198" s="13"/>
      <c r="C198" s="87">
        <v>3.0</v>
      </c>
      <c r="D198" s="104">
        <v>1.0</v>
      </c>
      <c r="E198" s="104">
        <v>1.0</v>
      </c>
      <c r="F198" s="104">
        <v>1.0</v>
      </c>
      <c r="G198" s="104">
        <v>0.6469</v>
      </c>
      <c r="H198" s="104">
        <v>0.9775</v>
      </c>
      <c r="I198" s="104">
        <v>0.0</v>
      </c>
      <c r="J198" s="104">
        <v>0.9795</v>
      </c>
      <c r="K198" s="92">
        <v>1.0</v>
      </c>
      <c r="L198" s="104">
        <v>0.324140000000001</v>
      </c>
      <c r="M198" s="104">
        <v>0.0989</v>
      </c>
      <c r="N198" s="48">
        <f t="shared" si="2"/>
        <v>0.9772135785</v>
      </c>
      <c r="O198" s="48">
        <f t="shared" si="1"/>
        <v>39.09058883</v>
      </c>
      <c r="P198" s="104">
        <v>50.465773</v>
      </c>
      <c r="Q198" s="104">
        <v>1.81487</v>
      </c>
      <c r="R198" s="104">
        <v>0.975</v>
      </c>
      <c r="S198" s="104">
        <v>0.9823</v>
      </c>
      <c r="T198" s="104">
        <v>0.9596</v>
      </c>
      <c r="U198" s="104">
        <v>0.978</v>
      </c>
      <c r="V198" s="104">
        <v>0.9823</v>
      </c>
      <c r="W198" s="104">
        <v>0.975</v>
      </c>
      <c r="X198" s="104">
        <v>0.9695</v>
      </c>
      <c r="Y198" s="104">
        <v>0.9756</v>
      </c>
      <c r="Z198" s="104">
        <v>0.9859</v>
      </c>
      <c r="AA198" s="104">
        <v>0.9576</v>
      </c>
      <c r="AB198" s="104">
        <v>0.9566</v>
      </c>
      <c r="AC198" s="104">
        <v>0.879</v>
      </c>
      <c r="AD198" s="104">
        <v>1.0</v>
      </c>
      <c r="AE198" s="104">
        <v>0.9356</v>
      </c>
      <c r="AF198" s="104">
        <v>0.9846</v>
      </c>
      <c r="AG198" s="104">
        <v>1.0</v>
      </c>
      <c r="AH198" s="104">
        <v>0.9645</v>
      </c>
      <c r="AI198" s="104">
        <v>0.9819</v>
      </c>
      <c r="AJ198" s="104">
        <v>0.9821</v>
      </c>
      <c r="AK198" s="104">
        <v>1.0</v>
      </c>
      <c r="AL198" s="104">
        <v>0.9823</v>
      </c>
      <c r="AM198" s="104">
        <v>0.9911</v>
      </c>
      <c r="AN198" s="104">
        <v>0.9911</v>
      </c>
      <c r="AO198" s="64"/>
      <c r="AP198" s="64"/>
      <c r="AQ198" s="64"/>
    </row>
    <row r="199">
      <c r="A199" s="13"/>
      <c r="B199" s="16"/>
      <c r="C199" s="87">
        <v>4.0</v>
      </c>
      <c r="D199" s="104">
        <v>1.0</v>
      </c>
      <c r="E199" s="104">
        <v>1.0</v>
      </c>
      <c r="F199" s="104">
        <v>1.0</v>
      </c>
      <c r="G199" s="104">
        <v>0.7051</v>
      </c>
      <c r="H199" s="104">
        <v>0.9372</v>
      </c>
      <c r="I199" s="104">
        <v>0.0</v>
      </c>
      <c r="J199" s="104">
        <v>0.9445</v>
      </c>
      <c r="K199" s="92">
        <v>1.0</v>
      </c>
      <c r="L199" s="104">
        <v>0.324140000000001</v>
      </c>
      <c r="M199" s="104">
        <v>0.0947</v>
      </c>
      <c r="N199" s="48">
        <f t="shared" si="2"/>
        <v>0.9374562164</v>
      </c>
      <c r="O199" s="48">
        <f t="shared" si="1"/>
        <v>37.47232047</v>
      </c>
      <c r="P199" s="104">
        <v>50.465773</v>
      </c>
      <c r="Q199" s="104">
        <v>1.770661</v>
      </c>
      <c r="R199" s="104">
        <v>0.9284</v>
      </c>
      <c r="S199" s="104">
        <v>0.9502</v>
      </c>
      <c r="T199" s="104">
        <v>0.9031</v>
      </c>
      <c r="U199" s="104">
        <v>0.9492</v>
      </c>
      <c r="V199" s="104">
        <v>0.9502</v>
      </c>
      <c r="W199" s="104">
        <v>0.9284</v>
      </c>
      <c r="X199" s="104">
        <v>0.9173</v>
      </c>
      <c r="Y199" s="104">
        <v>0.9327</v>
      </c>
      <c r="Z199" s="104">
        <v>0.9597</v>
      </c>
      <c r="AA199" s="104">
        <v>0.8863</v>
      </c>
      <c r="AB199" s="104">
        <v>0.879</v>
      </c>
      <c r="AC199" s="104">
        <v>0.7094</v>
      </c>
      <c r="AD199" s="104">
        <v>1.0</v>
      </c>
      <c r="AE199" s="104">
        <v>0.83</v>
      </c>
      <c r="AF199" s="104">
        <v>0.9557</v>
      </c>
      <c r="AG199" s="104">
        <v>1.0</v>
      </c>
      <c r="AH199" s="104">
        <v>0.8973</v>
      </c>
      <c r="AI199" s="104">
        <v>0.9459</v>
      </c>
      <c r="AJ199" s="104">
        <v>0.9473</v>
      </c>
      <c r="AK199" s="104">
        <v>1.0</v>
      </c>
      <c r="AL199" s="104">
        <v>0.9533</v>
      </c>
      <c r="AM199" s="104">
        <v>0.9761</v>
      </c>
      <c r="AN199" s="104">
        <v>0.9764</v>
      </c>
      <c r="AO199" s="64"/>
      <c r="AP199" s="64"/>
      <c r="AQ199" s="64"/>
    </row>
    <row r="200">
      <c r="A200" s="13"/>
      <c r="B200" s="91" t="s">
        <v>23</v>
      </c>
      <c r="C200" s="87">
        <v>1.0</v>
      </c>
      <c r="D200" s="104">
        <v>1.0</v>
      </c>
      <c r="E200" s="104">
        <v>1.0</v>
      </c>
      <c r="F200" s="104">
        <v>1.0</v>
      </c>
      <c r="G200" s="104">
        <v>0.8623</v>
      </c>
      <c r="H200" s="104">
        <v>0.8167</v>
      </c>
      <c r="I200" s="104">
        <v>0.3468</v>
      </c>
      <c r="J200" s="104">
        <v>0.7999</v>
      </c>
      <c r="K200" s="92">
        <v>1.0</v>
      </c>
      <c r="L200" s="104">
        <v>0.324140000000001</v>
      </c>
      <c r="M200" s="104">
        <v>0.7214</v>
      </c>
      <c r="N200" s="48">
        <f t="shared" si="2"/>
        <v>0.805818163</v>
      </c>
      <c r="O200" s="48">
        <f t="shared" si="1"/>
        <v>77.09259887</v>
      </c>
      <c r="P200" s="104">
        <v>87.425537</v>
      </c>
      <c r="Q200" s="104">
        <v>0.643936</v>
      </c>
      <c r="R200" s="104">
        <v>0.7665</v>
      </c>
      <c r="S200" s="104">
        <v>0.8113</v>
      </c>
      <c r="T200" s="104">
        <v>0.8093</v>
      </c>
      <c r="U200" s="104">
        <v>0.8996</v>
      </c>
      <c r="V200" s="104">
        <v>0.8113</v>
      </c>
      <c r="W200" s="104">
        <v>0.7665</v>
      </c>
      <c r="X200" s="104">
        <v>0.7568</v>
      </c>
      <c r="Y200" s="104">
        <v>0.7939</v>
      </c>
      <c r="Z200" s="104">
        <v>0.8467</v>
      </c>
      <c r="AA200" s="104">
        <v>0.6811</v>
      </c>
      <c r="AB200" s="104">
        <v>0.634</v>
      </c>
      <c r="AC200" s="104">
        <v>0.4286</v>
      </c>
      <c r="AD200" s="104">
        <v>0.9997</v>
      </c>
      <c r="AE200" s="104">
        <v>0.6</v>
      </c>
      <c r="AF200" s="104">
        <v>0.8468</v>
      </c>
      <c r="AG200" s="104">
        <v>0.9994</v>
      </c>
      <c r="AH200" s="104">
        <v>0.7169</v>
      </c>
      <c r="AI200" s="104">
        <v>0.8349</v>
      </c>
      <c r="AJ200" s="104">
        <v>0.8464</v>
      </c>
      <c r="AK200" s="104">
        <v>1.0</v>
      </c>
      <c r="AL200" s="104">
        <v>0.7173</v>
      </c>
      <c r="AM200" s="104">
        <v>0.8354</v>
      </c>
      <c r="AN200" s="104">
        <v>0.847</v>
      </c>
      <c r="AO200" s="49"/>
      <c r="AP200" s="49"/>
      <c r="AQ200" s="49"/>
    </row>
    <row r="201">
      <c r="A201" s="13"/>
      <c r="B201" s="13"/>
      <c r="C201" s="87">
        <v>2.0</v>
      </c>
      <c r="D201" s="104">
        <v>1.0</v>
      </c>
      <c r="E201" s="104">
        <v>1.0</v>
      </c>
      <c r="F201" s="104">
        <v>1.0</v>
      </c>
      <c r="G201" s="104">
        <v>0.7051</v>
      </c>
      <c r="H201" s="104">
        <v>0.9372</v>
      </c>
      <c r="I201" s="104">
        <v>0.2752</v>
      </c>
      <c r="J201" s="104">
        <v>0.89</v>
      </c>
      <c r="K201" s="92">
        <v>1.0</v>
      </c>
      <c r="L201" s="104">
        <v>0.324140000000001</v>
      </c>
      <c r="M201" s="104">
        <v>0.6948</v>
      </c>
      <c r="N201" s="48">
        <f t="shared" si="2"/>
        <v>0.9374562164</v>
      </c>
      <c r="O201" s="48">
        <f t="shared" si="1"/>
        <v>83.16000751</v>
      </c>
      <c r="P201" s="104">
        <v>87.425537</v>
      </c>
      <c r="Q201" s="104">
        <v>0.817086</v>
      </c>
      <c r="R201" s="104">
        <v>0.9284</v>
      </c>
      <c r="S201" s="104">
        <v>0.9502</v>
      </c>
      <c r="T201" s="104">
        <v>0.9031</v>
      </c>
      <c r="U201" s="104">
        <v>0.9492</v>
      </c>
      <c r="V201" s="104">
        <v>0.9502</v>
      </c>
      <c r="W201" s="104">
        <v>0.9284</v>
      </c>
      <c r="X201" s="104">
        <v>0.9173</v>
      </c>
      <c r="Y201" s="104">
        <v>0.9327</v>
      </c>
      <c r="Z201" s="104">
        <v>0.9597</v>
      </c>
      <c r="AA201" s="104">
        <v>0.8863</v>
      </c>
      <c r="AB201" s="104">
        <v>0.879</v>
      </c>
      <c r="AC201" s="104">
        <v>0.7094</v>
      </c>
      <c r="AD201" s="104">
        <v>1.0</v>
      </c>
      <c r="AE201" s="104">
        <v>0.83</v>
      </c>
      <c r="AF201" s="104">
        <v>0.9557</v>
      </c>
      <c r="AG201" s="104">
        <v>1.0</v>
      </c>
      <c r="AH201" s="104">
        <v>0.8974</v>
      </c>
      <c r="AI201" s="104">
        <v>0.9459</v>
      </c>
      <c r="AJ201" s="104">
        <v>0.9473</v>
      </c>
      <c r="AK201" s="104">
        <v>1.0</v>
      </c>
      <c r="AL201" s="104">
        <v>0.9533</v>
      </c>
      <c r="AM201" s="104">
        <v>0.9761</v>
      </c>
      <c r="AN201" s="104">
        <v>0.9764</v>
      </c>
      <c r="AO201" s="49"/>
      <c r="AP201" s="49"/>
      <c r="AQ201" s="49"/>
    </row>
    <row r="202">
      <c r="A202" s="13"/>
      <c r="B202" s="13"/>
      <c r="C202" s="87">
        <v>3.0</v>
      </c>
      <c r="D202" s="104">
        <v>1.0</v>
      </c>
      <c r="E202" s="104">
        <v>1.0</v>
      </c>
      <c r="F202" s="104">
        <v>1.0</v>
      </c>
      <c r="G202" s="104">
        <v>0.6468</v>
      </c>
      <c r="H202" s="104">
        <v>0.9775</v>
      </c>
      <c r="I202" s="104">
        <v>0.2589</v>
      </c>
      <c r="J202" s="104">
        <v>0.8906</v>
      </c>
      <c r="K202" s="92">
        <v>1.0</v>
      </c>
      <c r="L202" s="104">
        <v>0.324140000000001</v>
      </c>
      <c r="M202" s="104">
        <v>0.6804</v>
      </c>
      <c r="N202" s="48">
        <f t="shared" si="2"/>
        <v>0.9772135785</v>
      </c>
      <c r="O202" s="48">
        <f t="shared" si="1"/>
        <v>84.54723667</v>
      </c>
      <c r="P202" s="104">
        <v>87.425537</v>
      </c>
      <c r="Q202" s="104">
        <v>0.888705</v>
      </c>
      <c r="R202" s="104">
        <v>0.975</v>
      </c>
      <c r="S202" s="104">
        <v>0.9823</v>
      </c>
      <c r="T202" s="104">
        <v>0.9597</v>
      </c>
      <c r="U202" s="104">
        <v>0.978</v>
      </c>
      <c r="V202" s="104">
        <v>0.9823</v>
      </c>
      <c r="W202" s="104">
        <v>0.975</v>
      </c>
      <c r="X202" s="104">
        <v>0.9695</v>
      </c>
      <c r="Y202" s="104">
        <v>0.9756</v>
      </c>
      <c r="Z202" s="104">
        <v>0.9859</v>
      </c>
      <c r="AA202" s="104">
        <v>0.9576</v>
      </c>
      <c r="AB202" s="104">
        <v>0.9566</v>
      </c>
      <c r="AC202" s="104">
        <v>0.879</v>
      </c>
      <c r="AD202" s="104">
        <v>1.0</v>
      </c>
      <c r="AE202" s="104">
        <v>0.9356</v>
      </c>
      <c r="AF202" s="104">
        <v>0.9846</v>
      </c>
      <c r="AG202" s="104">
        <v>1.0</v>
      </c>
      <c r="AH202" s="104">
        <v>0.9645</v>
      </c>
      <c r="AI202" s="104">
        <v>0.9819</v>
      </c>
      <c r="AJ202" s="104">
        <v>0.9821</v>
      </c>
      <c r="AK202" s="104">
        <v>1.0</v>
      </c>
      <c r="AL202" s="104">
        <v>0.9823</v>
      </c>
      <c r="AM202" s="104">
        <v>0.9911</v>
      </c>
      <c r="AN202" s="104">
        <v>0.9911</v>
      </c>
      <c r="AO202" s="49"/>
      <c r="AP202" s="49"/>
      <c r="AQ202" s="49"/>
    </row>
    <row r="203">
      <c r="A203" s="13"/>
      <c r="B203" s="16"/>
      <c r="C203" s="87">
        <v>4.0</v>
      </c>
      <c r="D203" s="104">
        <v>1.0</v>
      </c>
      <c r="E203" s="104">
        <v>1.0</v>
      </c>
      <c r="F203" s="104">
        <v>1.0</v>
      </c>
      <c r="G203" s="104">
        <v>0.7051</v>
      </c>
      <c r="H203" s="104">
        <v>0.9372</v>
      </c>
      <c r="I203" s="104">
        <v>0.2752</v>
      </c>
      <c r="J203" s="104">
        <v>0.89</v>
      </c>
      <c r="K203" s="92">
        <v>1.0</v>
      </c>
      <c r="L203" s="104">
        <v>0.324140000000001</v>
      </c>
      <c r="M203" s="104">
        <v>0.6948</v>
      </c>
      <c r="N203" s="48">
        <f t="shared" si="2"/>
        <v>0.9374562164</v>
      </c>
      <c r="O203" s="48">
        <f t="shared" si="1"/>
        <v>83.16000751</v>
      </c>
      <c r="P203" s="104">
        <v>87.425537</v>
      </c>
      <c r="Q203" s="104">
        <v>0.817086</v>
      </c>
      <c r="R203" s="104">
        <v>0.9284</v>
      </c>
      <c r="S203" s="104">
        <v>0.9502</v>
      </c>
      <c r="T203" s="104">
        <v>0.9031</v>
      </c>
      <c r="U203" s="104">
        <v>0.9492</v>
      </c>
      <c r="V203" s="104">
        <v>0.9502</v>
      </c>
      <c r="W203" s="104">
        <v>0.9284</v>
      </c>
      <c r="X203" s="104">
        <v>0.9173</v>
      </c>
      <c r="Y203" s="104">
        <v>0.9327</v>
      </c>
      <c r="Z203" s="104">
        <v>0.9597</v>
      </c>
      <c r="AA203" s="104">
        <v>0.8863</v>
      </c>
      <c r="AB203" s="104">
        <v>0.879</v>
      </c>
      <c r="AC203" s="104">
        <v>0.7094</v>
      </c>
      <c r="AD203" s="104">
        <v>1.0</v>
      </c>
      <c r="AE203" s="104">
        <v>0.83</v>
      </c>
      <c r="AF203" s="104">
        <v>0.9557</v>
      </c>
      <c r="AG203" s="104">
        <v>1.0</v>
      </c>
      <c r="AH203" s="104">
        <v>0.8974</v>
      </c>
      <c r="AI203" s="104">
        <v>0.9459</v>
      </c>
      <c r="AJ203" s="104">
        <v>0.9473</v>
      </c>
      <c r="AK203" s="104">
        <v>1.0</v>
      </c>
      <c r="AL203" s="104">
        <v>0.9533</v>
      </c>
      <c r="AM203" s="104">
        <v>0.9761</v>
      </c>
      <c r="AN203" s="104">
        <v>0.9764</v>
      </c>
      <c r="AO203" s="49"/>
      <c r="AP203" s="49"/>
      <c r="AQ203" s="49"/>
    </row>
    <row r="204">
      <c r="A204" s="13"/>
      <c r="B204" s="91" t="s">
        <v>24</v>
      </c>
      <c r="C204" s="87">
        <v>1.0</v>
      </c>
      <c r="D204" s="106">
        <v>1.0</v>
      </c>
      <c r="E204" s="106">
        <v>1.0</v>
      </c>
      <c r="F204" s="106">
        <v>1.0</v>
      </c>
      <c r="G204" s="106">
        <v>0.6764</v>
      </c>
      <c r="H204" s="106">
        <v>0.8991</v>
      </c>
      <c r="I204" s="106">
        <v>0.9384</v>
      </c>
      <c r="J204" s="106">
        <v>0.9096</v>
      </c>
      <c r="K204" s="92">
        <v>1.0</v>
      </c>
      <c r="L204" s="104">
        <v>0.324140000000001</v>
      </c>
      <c r="M204" s="106">
        <v>0.8771</v>
      </c>
      <c r="N204" s="48">
        <f t="shared" si="2"/>
        <v>0.6124417421</v>
      </c>
      <c r="O204" s="48">
        <f t="shared" si="1"/>
        <v>70.70636557</v>
      </c>
      <c r="P204" s="104">
        <v>7392.969744</v>
      </c>
      <c r="Q204" s="104">
        <v>4.739603</v>
      </c>
      <c r="R204" s="106">
        <v>0.6296</v>
      </c>
      <c r="S204" s="106">
        <v>0.5629</v>
      </c>
      <c r="T204" s="106">
        <v>0.5474</v>
      </c>
      <c r="U204" s="106">
        <v>0.6302</v>
      </c>
      <c r="V204" s="106">
        <v>0.5629</v>
      </c>
      <c r="W204" s="106">
        <v>0.6296</v>
      </c>
      <c r="X204" s="106">
        <v>0.5406</v>
      </c>
      <c r="Y204" s="106">
        <v>0.6204</v>
      </c>
      <c r="Z204" s="106">
        <v>0.6221</v>
      </c>
      <c r="AA204" s="106">
        <v>0.3629</v>
      </c>
      <c r="AB204" s="106">
        <v>0.3569</v>
      </c>
      <c r="AC204" s="106">
        <v>0.3763</v>
      </c>
      <c r="AD204" s="106">
        <v>0.2283</v>
      </c>
      <c r="AE204" s="106">
        <v>0.2841</v>
      </c>
      <c r="AF204" s="106">
        <v>0.4582</v>
      </c>
      <c r="AG204" s="106">
        <v>0.7499</v>
      </c>
      <c r="AH204" s="106">
        <v>0.6948</v>
      </c>
      <c r="AI204" s="106">
        <v>0.7213</v>
      </c>
      <c r="AJ204" s="106">
        <v>0.6787</v>
      </c>
      <c r="AK204" s="106">
        <v>0.516</v>
      </c>
      <c r="AL204" s="106">
        <v>0.7656</v>
      </c>
      <c r="AM204" s="106">
        <v>0.6165</v>
      </c>
      <c r="AN204" s="106">
        <v>0.7741</v>
      </c>
      <c r="AO204" s="49"/>
      <c r="AP204" s="49"/>
      <c r="AQ204" s="49"/>
    </row>
    <row r="205">
      <c r="A205" s="13"/>
      <c r="B205" s="13"/>
      <c r="C205" s="87">
        <v>2.0</v>
      </c>
      <c r="D205" s="104">
        <v>1.0</v>
      </c>
      <c r="E205" s="104">
        <v>1.0</v>
      </c>
      <c r="F205" s="104">
        <v>1.0</v>
      </c>
      <c r="G205" s="104">
        <v>0.6764</v>
      </c>
      <c r="H205" s="104">
        <v>0.8991</v>
      </c>
      <c r="I205" s="104">
        <v>0.9776</v>
      </c>
      <c r="J205" s="104">
        <v>0.9096</v>
      </c>
      <c r="K205" s="92">
        <v>1.0</v>
      </c>
      <c r="L205" s="104">
        <v>0.324140000000001</v>
      </c>
      <c r="M205" s="104">
        <v>0.8843</v>
      </c>
      <c r="N205" s="48">
        <f t="shared" si="2"/>
        <v>0.6124417421</v>
      </c>
      <c r="O205" s="48">
        <f t="shared" si="1"/>
        <v>70.93796406</v>
      </c>
      <c r="P205" s="104">
        <v>7392.969744</v>
      </c>
      <c r="Q205" s="104">
        <v>4.370687</v>
      </c>
      <c r="R205" s="104">
        <v>0.6296</v>
      </c>
      <c r="S205" s="104">
        <v>0.5629</v>
      </c>
      <c r="T205" s="104">
        <v>0.5474</v>
      </c>
      <c r="U205" s="104">
        <v>0.6302</v>
      </c>
      <c r="V205" s="104">
        <v>0.5629</v>
      </c>
      <c r="W205" s="104">
        <v>0.6296</v>
      </c>
      <c r="X205" s="104">
        <v>0.5406</v>
      </c>
      <c r="Y205" s="104">
        <v>0.6204</v>
      </c>
      <c r="Z205" s="104">
        <v>0.6221</v>
      </c>
      <c r="AA205" s="104">
        <v>0.3629</v>
      </c>
      <c r="AB205" s="104">
        <v>0.3569</v>
      </c>
      <c r="AC205" s="104">
        <v>0.3763</v>
      </c>
      <c r="AD205" s="104">
        <v>0.2283</v>
      </c>
      <c r="AE205" s="104">
        <v>0.2841</v>
      </c>
      <c r="AF205" s="104">
        <v>0.4582</v>
      </c>
      <c r="AG205" s="104">
        <v>0.7499</v>
      </c>
      <c r="AH205" s="104">
        <v>0.6948</v>
      </c>
      <c r="AI205" s="104">
        <v>0.7213</v>
      </c>
      <c r="AJ205" s="104">
        <v>0.6787</v>
      </c>
      <c r="AK205" s="104">
        <v>0.516</v>
      </c>
      <c r="AL205" s="104">
        <v>0.7656</v>
      </c>
      <c r="AM205" s="104">
        <v>0.6165</v>
      </c>
      <c r="AN205" s="104">
        <v>0.7741</v>
      </c>
      <c r="AO205" s="49"/>
      <c r="AP205" s="49"/>
      <c r="AQ205" s="49"/>
    </row>
    <row r="206">
      <c r="A206" s="13"/>
      <c r="B206" s="13"/>
      <c r="C206" s="87">
        <v>3.0</v>
      </c>
      <c r="D206" s="104">
        <v>1.0</v>
      </c>
      <c r="E206" s="104">
        <v>1.0</v>
      </c>
      <c r="F206" s="104">
        <v>1.0</v>
      </c>
      <c r="G206" s="104">
        <v>0.7391</v>
      </c>
      <c r="H206" s="104">
        <v>0.9411</v>
      </c>
      <c r="I206" s="104">
        <v>0.9776</v>
      </c>
      <c r="J206" s="104">
        <v>0.9372</v>
      </c>
      <c r="K206" s="92">
        <v>1.0</v>
      </c>
      <c r="L206" s="104">
        <v>0.324140000000001</v>
      </c>
      <c r="M206" s="104">
        <v>0.9081</v>
      </c>
      <c r="N206" s="48">
        <f t="shared" si="2"/>
        <v>0.7501085719</v>
      </c>
      <c r="O206" s="48">
        <f t="shared" si="1"/>
        <v>80.97070998</v>
      </c>
      <c r="P206" s="104">
        <v>7392.969744</v>
      </c>
      <c r="Q206" s="104">
        <v>4.554326</v>
      </c>
      <c r="R206" s="104">
        <v>0.736</v>
      </c>
      <c r="S206" s="104">
        <v>0.7347</v>
      </c>
      <c r="T206" s="104">
        <v>0.6901</v>
      </c>
      <c r="U206" s="104">
        <v>0.7516</v>
      </c>
      <c r="V206" s="104">
        <v>0.7347</v>
      </c>
      <c r="W206" s="104">
        <v>0.736</v>
      </c>
      <c r="X206" s="104">
        <v>0.707</v>
      </c>
      <c r="Y206" s="104">
        <v>0.7387</v>
      </c>
      <c r="Z206" s="104">
        <v>0.7868</v>
      </c>
      <c r="AA206" s="104">
        <v>0.5641</v>
      </c>
      <c r="AB206" s="104">
        <v>0.5587</v>
      </c>
      <c r="AC206" s="104">
        <v>0.5005</v>
      </c>
      <c r="AD206" s="104">
        <v>0.5855</v>
      </c>
      <c r="AE206" s="104">
        <v>0.5397</v>
      </c>
      <c r="AF206" s="104">
        <v>0.7139</v>
      </c>
      <c r="AG206" s="104">
        <v>0.8355</v>
      </c>
      <c r="AH206" s="104">
        <v>0.7187</v>
      </c>
      <c r="AI206" s="104">
        <v>0.7727</v>
      </c>
      <c r="AJ206" s="104">
        <v>0.7567</v>
      </c>
      <c r="AK206" s="104">
        <v>0.7342</v>
      </c>
      <c r="AL206" s="104">
        <v>0.8999</v>
      </c>
      <c r="AM206" s="104">
        <v>0.8087</v>
      </c>
      <c r="AN206" s="104">
        <v>0.9016</v>
      </c>
      <c r="AO206" s="49"/>
      <c r="AP206" s="49"/>
      <c r="AQ206" s="49"/>
    </row>
    <row r="207">
      <c r="A207" s="13"/>
      <c r="B207" s="16"/>
      <c r="C207" s="87">
        <v>4.0</v>
      </c>
      <c r="D207" s="104">
        <v>1.0</v>
      </c>
      <c r="E207" s="104">
        <v>1.0</v>
      </c>
      <c r="F207" s="104">
        <v>1.0</v>
      </c>
      <c r="G207" s="104">
        <v>0.7135</v>
      </c>
      <c r="H207" s="104">
        <v>0.95</v>
      </c>
      <c r="I207" s="104">
        <v>0.9776</v>
      </c>
      <c r="J207" s="104">
        <v>0.9078</v>
      </c>
      <c r="K207" s="92">
        <v>1.0</v>
      </c>
      <c r="L207" s="104">
        <v>0.324140000000001</v>
      </c>
      <c r="M207" s="104">
        <v>0.9022</v>
      </c>
      <c r="N207" s="48">
        <f t="shared" si="2"/>
        <v>0.7722318934</v>
      </c>
      <c r="O207" s="48">
        <f t="shared" si="1"/>
        <v>82.1806874</v>
      </c>
      <c r="P207" s="104">
        <v>7392.969744</v>
      </c>
      <c r="Q207" s="104">
        <v>4.615777</v>
      </c>
      <c r="R207" s="104">
        <v>0.7575</v>
      </c>
      <c r="S207" s="104">
        <v>0.7595</v>
      </c>
      <c r="T207" s="104">
        <v>0.7245</v>
      </c>
      <c r="U207" s="104">
        <v>0.7729</v>
      </c>
      <c r="V207" s="104">
        <v>0.7595</v>
      </c>
      <c r="W207" s="104">
        <v>0.7575</v>
      </c>
      <c r="X207" s="104">
        <v>0.7382</v>
      </c>
      <c r="Y207" s="104">
        <v>0.7619</v>
      </c>
      <c r="Z207" s="104">
        <v>0.8052</v>
      </c>
      <c r="AA207" s="104">
        <v>0.5948</v>
      </c>
      <c r="AB207" s="104">
        <v>0.5909</v>
      </c>
      <c r="AC207" s="104">
        <v>0.5083</v>
      </c>
      <c r="AD207" s="104">
        <v>0.6401</v>
      </c>
      <c r="AE207" s="104">
        <v>0.5666</v>
      </c>
      <c r="AF207" s="104">
        <v>0.7422</v>
      </c>
      <c r="AG207" s="104">
        <v>0.8321</v>
      </c>
      <c r="AH207" s="104">
        <v>0.7398</v>
      </c>
      <c r="AI207" s="104">
        <v>0.7832</v>
      </c>
      <c r="AJ207" s="104">
        <v>0.7622</v>
      </c>
      <c r="AK207" s="104">
        <v>0.8333</v>
      </c>
      <c r="AL207" s="104">
        <v>0.8986</v>
      </c>
      <c r="AM207" s="104">
        <v>0.8647</v>
      </c>
      <c r="AN207" s="104">
        <v>0.9227</v>
      </c>
      <c r="AO207" s="49"/>
      <c r="AP207" s="49"/>
      <c r="AQ207" s="49"/>
    </row>
    <row r="208">
      <c r="A208" s="13"/>
      <c r="B208" s="91" t="s">
        <v>25</v>
      </c>
      <c r="C208" s="87">
        <v>1.0</v>
      </c>
      <c r="D208" s="104">
        <v>1.0</v>
      </c>
      <c r="E208" s="104">
        <v>1.0</v>
      </c>
      <c r="F208" s="104">
        <v>1.0</v>
      </c>
      <c r="G208" s="104">
        <v>0.6987</v>
      </c>
      <c r="H208" s="104">
        <v>0.776</v>
      </c>
      <c r="I208" s="104">
        <v>0.5631</v>
      </c>
      <c r="J208" s="104">
        <v>0.878</v>
      </c>
      <c r="K208" s="92">
        <v>1.0</v>
      </c>
      <c r="L208" s="104">
        <v>0.324140000000001</v>
      </c>
      <c r="M208" s="104">
        <v>0.7685</v>
      </c>
      <c r="N208" s="48">
        <f t="shared" si="2"/>
        <v>0.604524702</v>
      </c>
      <c r="O208" s="48">
        <f t="shared" si="1"/>
        <v>66.54355208</v>
      </c>
      <c r="P208" s="104">
        <v>9061.167077</v>
      </c>
      <c r="Q208" s="104">
        <v>4.171129</v>
      </c>
      <c r="R208" s="104">
        <v>0.5581</v>
      </c>
      <c r="S208" s="104">
        <v>0.5777</v>
      </c>
      <c r="T208" s="104">
        <v>0.552</v>
      </c>
      <c r="U208" s="104">
        <v>0.6662</v>
      </c>
      <c r="V208" s="104">
        <v>0.5777</v>
      </c>
      <c r="W208" s="104">
        <v>0.5581</v>
      </c>
      <c r="X208" s="104">
        <v>0.5098</v>
      </c>
      <c r="Y208" s="104">
        <v>0.556</v>
      </c>
      <c r="Z208" s="104">
        <v>0.631</v>
      </c>
      <c r="AA208" s="104">
        <v>0.3695</v>
      </c>
      <c r="AB208" s="104">
        <v>0.3245</v>
      </c>
      <c r="AC208" s="104">
        <v>0.3938</v>
      </c>
      <c r="AD208" s="104">
        <v>0.2924</v>
      </c>
      <c r="AE208" s="104">
        <v>0.3356</v>
      </c>
      <c r="AF208" s="104">
        <v>0.5143</v>
      </c>
      <c r="AG208" s="104">
        <v>0.8436</v>
      </c>
      <c r="AH208" s="104">
        <v>0.4781</v>
      </c>
      <c r="AI208" s="104">
        <v>0.6103</v>
      </c>
      <c r="AJ208" s="104">
        <v>0.6453</v>
      </c>
      <c r="AK208" s="104">
        <v>0.4187</v>
      </c>
      <c r="AL208" s="104">
        <v>0.9625</v>
      </c>
      <c r="AM208" s="104">
        <v>0.5835</v>
      </c>
      <c r="AN208" s="104">
        <v>0.757</v>
      </c>
      <c r="AO208" s="49"/>
      <c r="AP208" s="49"/>
      <c r="AQ208" s="49"/>
    </row>
    <row r="209">
      <c r="A209" s="13"/>
      <c r="B209" s="13"/>
      <c r="C209" s="87">
        <v>2.0</v>
      </c>
      <c r="D209" s="104">
        <v>1.0</v>
      </c>
      <c r="E209" s="104">
        <v>1.0</v>
      </c>
      <c r="F209" s="104">
        <v>1.0</v>
      </c>
      <c r="G209" s="104">
        <v>0.824</v>
      </c>
      <c r="H209" s="104">
        <v>0.8276</v>
      </c>
      <c r="I209" s="104">
        <v>0.5572</v>
      </c>
      <c r="J209" s="104">
        <v>0.935</v>
      </c>
      <c r="K209" s="92">
        <v>1.0</v>
      </c>
      <c r="L209" s="104">
        <v>0.324140000000001</v>
      </c>
      <c r="M209" s="104">
        <v>0.7851</v>
      </c>
      <c r="N209" s="48">
        <f t="shared" si="2"/>
        <v>0.6893910384</v>
      </c>
      <c r="O209" s="48">
        <f t="shared" si="1"/>
        <v>72.61885067</v>
      </c>
      <c r="P209" s="104">
        <v>9061.167077</v>
      </c>
      <c r="Q209" s="104">
        <v>4.482424</v>
      </c>
      <c r="R209" s="104">
        <v>0.6459</v>
      </c>
      <c r="S209" s="104">
        <v>0.6805</v>
      </c>
      <c r="T209" s="104">
        <v>0.6271</v>
      </c>
      <c r="U209" s="104">
        <v>0.7231</v>
      </c>
      <c r="V209" s="104">
        <v>0.6805</v>
      </c>
      <c r="W209" s="104">
        <v>0.6459</v>
      </c>
      <c r="X209" s="104">
        <v>0.6166</v>
      </c>
      <c r="Y209" s="104">
        <v>0.6454</v>
      </c>
      <c r="Z209" s="104">
        <v>0.7315</v>
      </c>
      <c r="AA209" s="104">
        <v>0.4855</v>
      </c>
      <c r="AB209" s="104">
        <v>0.4495</v>
      </c>
      <c r="AC209" s="104">
        <v>0.4884</v>
      </c>
      <c r="AD209" s="104">
        <v>0.4934</v>
      </c>
      <c r="AE209" s="104">
        <v>0.4909</v>
      </c>
      <c r="AF209" s="104">
        <v>0.6629</v>
      </c>
      <c r="AG209" s="104">
        <v>0.8737</v>
      </c>
      <c r="AH209" s="104">
        <v>0.5516</v>
      </c>
      <c r="AI209" s="104">
        <v>0.6763</v>
      </c>
      <c r="AJ209" s="104">
        <v>0.6987</v>
      </c>
      <c r="AK209" s="104">
        <v>0.519</v>
      </c>
      <c r="AL209" s="104">
        <v>0.9965</v>
      </c>
      <c r="AM209" s="104">
        <v>0.6826</v>
      </c>
      <c r="AN209" s="104">
        <v>0.8452</v>
      </c>
      <c r="AO209" s="49"/>
      <c r="AP209" s="49"/>
      <c r="AQ209" s="49"/>
    </row>
    <row r="210">
      <c r="A210" s="13"/>
      <c r="B210" s="13"/>
      <c r="C210" s="87">
        <v>3.0</v>
      </c>
      <c r="D210" s="104">
        <v>1.0</v>
      </c>
      <c r="E210" s="104">
        <v>1.0</v>
      </c>
      <c r="F210" s="104">
        <v>1.0</v>
      </c>
      <c r="G210" s="104">
        <v>0.9043</v>
      </c>
      <c r="H210" s="104">
        <v>0.8583</v>
      </c>
      <c r="I210" s="104">
        <v>0.6156</v>
      </c>
      <c r="J210" s="104">
        <v>0.9589</v>
      </c>
      <c r="K210" s="92">
        <v>1.0</v>
      </c>
      <c r="L210" s="104">
        <v>0.324140000000001</v>
      </c>
      <c r="M210" s="104">
        <v>0.8314</v>
      </c>
      <c r="N210" s="48">
        <f t="shared" si="2"/>
        <v>0.7460017408</v>
      </c>
      <c r="O210" s="48">
        <f t="shared" si="1"/>
        <v>77.90546293</v>
      </c>
      <c r="P210" s="104">
        <v>9061.167077</v>
      </c>
      <c r="Q210" s="104">
        <v>4.64431</v>
      </c>
      <c r="R210" s="104">
        <v>0.7006</v>
      </c>
      <c r="S210" s="104">
        <v>0.7545</v>
      </c>
      <c r="T210" s="104">
        <v>0.6769</v>
      </c>
      <c r="U210" s="104">
        <v>0.7572</v>
      </c>
      <c r="V210" s="104">
        <v>0.7545</v>
      </c>
      <c r="W210" s="104">
        <v>0.7006</v>
      </c>
      <c r="X210" s="104">
        <v>0.6877</v>
      </c>
      <c r="Y210" s="104">
        <v>0.6998</v>
      </c>
      <c r="Z210" s="104">
        <v>0.7928</v>
      </c>
      <c r="AA210" s="104">
        <v>0.5594</v>
      </c>
      <c r="AB210" s="104">
        <v>0.5311</v>
      </c>
      <c r="AC210" s="104">
        <v>0.5486</v>
      </c>
      <c r="AD210" s="104">
        <v>0.6703</v>
      </c>
      <c r="AE210" s="104">
        <v>0.6034</v>
      </c>
      <c r="AF210" s="104">
        <v>0.767</v>
      </c>
      <c r="AG210" s="104">
        <v>0.8825</v>
      </c>
      <c r="AH210" s="104">
        <v>0.5943</v>
      </c>
      <c r="AI210" s="104">
        <v>0.7102</v>
      </c>
      <c r="AJ210" s="104">
        <v>0.7257</v>
      </c>
      <c r="AK210" s="104">
        <v>0.5996</v>
      </c>
      <c r="AL210" s="104">
        <v>0.9988</v>
      </c>
      <c r="AM210" s="104">
        <v>0.7494</v>
      </c>
      <c r="AN210" s="104">
        <v>0.895</v>
      </c>
      <c r="AO210" s="49"/>
      <c r="AP210" s="49"/>
      <c r="AQ210" s="49"/>
    </row>
    <row r="211">
      <c r="A211" s="13"/>
      <c r="B211" s="16"/>
      <c r="C211" s="87">
        <v>4.0</v>
      </c>
      <c r="D211" s="104">
        <v>1.0</v>
      </c>
      <c r="E211" s="104">
        <v>1.0</v>
      </c>
      <c r="F211" s="104">
        <v>1.0</v>
      </c>
      <c r="G211" s="104">
        <v>0.8805</v>
      </c>
      <c r="H211" s="104">
        <v>0.8734</v>
      </c>
      <c r="I211" s="104">
        <v>0.6605</v>
      </c>
      <c r="J211" s="104">
        <v>0.9519</v>
      </c>
      <c r="K211" s="92">
        <v>1.0</v>
      </c>
      <c r="L211" s="104">
        <v>0.324140000000001</v>
      </c>
      <c r="M211" s="104">
        <v>0.8442</v>
      </c>
      <c r="N211" s="48">
        <f t="shared" si="2"/>
        <v>0.7740773014</v>
      </c>
      <c r="O211" s="48">
        <f t="shared" si="1"/>
        <v>80.1398894</v>
      </c>
      <c r="P211" s="104">
        <v>9061.167077</v>
      </c>
      <c r="Q211" s="104">
        <v>4.702744</v>
      </c>
      <c r="R211" s="104">
        <v>0.7302</v>
      </c>
      <c r="S211" s="104">
        <v>0.7894</v>
      </c>
      <c r="T211" s="104">
        <v>0.7037</v>
      </c>
      <c r="U211" s="104">
        <v>0.7762</v>
      </c>
      <c r="V211" s="104">
        <v>0.7894</v>
      </c>
      <c r="W211" s="104">
        <v>0.7302</v>
      </c>
      <c r="X211" s="104">
        <v>0.7228</v>
      </c>
      <c r="Y211" s="104">
        <v>0.7291</v>
      </c>
      <c r="Z211" s="104">
        <v>0.8199</v>
      </c>
      <c r="AA211" s="104">
        <v>0.5987</v>
      </c>
      <c r="AB211" s="104">
        <v>0.5744</v>
      </c>
      <c r="AC211" s="104">
        <v>0.5677</v>
      </c>
      <c r="AD211" s="104">
        <v>0.7474</v>
      </c>
      <c r="AE211" s="104">
        <v>0.6453</v>
      </c>
      <c r="AF211" s="104">
        <v>0.8072</v>
      </c>
      <c r="AG211" s="104">
        <v>0.8874</v>
      </c>
      <c r="AH211" s="104">
        <v>0.6214</v>
      </c>
      <c r="AI211" s="104">
        <v>0.7309</v>
      </c>
      <c r="AJ211" s="104">
        <v>0.7423</v>
      </c>
      <c r="AK211" s="104">
        <v>0.6561</v>
      </c>
      <c r="AL211" s="104">
        <v>0.9995</v>
      </c>
      <c r="AM211" s="104">
        <v>0.7922</v>
      </c>
      <c r="AN211" s="104">
        <v>0.9198</v>
      </c>
      <c r="AO211" s="49"/>
      <c r="AP211" s="49"/>
      <c r="AQ211" s="49"/>
    </row>
    <row r="212">
      <c r="A212" s="13"/>
      <c r="B212" s="91" t="s">
        <v>26</v>
      </c>
      <c r="C212" s="87">
        <v>1.0</v>
      </c>
      <c r="D212" s="104">
        <v>1.0</v>
      </c>
      <c r="E212" s="104">
        <v>1.0</v>
      </c>
      <c r="F212" s="104">
        <v>1.0</v>
      </c>
      <c r="G212" s="104">
        <v>0.8107</v>
      </c>
      <c r="H212" s="104">
        <v>0.8218</v>
      </c>
      <c r="I212" s="104">
        <v>0.4103</v>
      </c>
      <c r="J212" s="104">
        <v>0.8847</v>
      </c>
      <c r="K212" s="92">
        <v>1.0</v>
      </c>
      <c r="L212" s="104">
        <v>0.324140000000001</v>
      </c>
      <c r="M212" s="104">
        <v>0.7528</v>
      </c>
      <c r="N212" s="48">
        <f t="shared" si="2"/>
        <v>0.6064838074</v>
      </c>
      <c r="O212" s="48">
        <f t="shared" si="1"/>
        <v>66.12464755</v>
      </c>
      <c r="P212" s="104">
        <v>8193.024929</v>
      </c>
      <c r="Q212" s="104">
        <v>4.236992</v>
      </c>
      <c r="R212" s="104">
        <v>0.6057</v>
      </c>
      <c r="S212" s="104">
        <v>0.5609</v>
      </c>
      <c r="T212" s="104">
        <v>0.5609</v>
      </c>
      <c r="U212" s="104">
        <v>0.6578</v>
      </c>
      <c r="V212" s="104">
        <v>0.5609</v>
      </c>
      <c r="W212" s="104">
        <v>0.6057</v>
      </c>
      <c r="X212" s="104">
        <v>0.52</v>
      </c>
      <c r="Y212" s="104">
        <v>0.6015</v>
      </c>
      <c r="Z212" s="104">
        <v>0.6147</v>
      </c>
      <c r="AA212" s="104">
        <v>0.3742</v>
      </c>
      <c r="AB212" s="104">
        <v>0.3502</v>
      </c>
      <c r="AC212" s="104">
        <v>0.4425</v>
      </c>
      <c r="AD212" s="104">
        <v>0.2067</v>
      </c>
      <c r="AE212" s="104">
        <v>0.2818</v>
      </c>
      <c r="AF212" s="104">
        <v>0.4419</v>
      </c>
      <c r="AG212" s="104">
        <v>0.8111</v>
      </c>
      <c r="AH212" s="104">
        <v>0.6289</v>
      </c>
      <c r="AI212" s="104">
        <v>0.7085</v>
      </c>
      <c r="AJ212" s="104">
        <v>0.7035</v>
      </c>
      <c r="AK212" s="104">
        <v>0.4291</v>
      </c>
      <c r="AL212" s="104">
        <v>0.8471</v>
      </c>
      <c r="AM212" s="104">
        <v>0.5697</v>
      </c>
      <c r="AN212" s="104">
        <v>0.7471</v>
      </c>
      <c r="AO212" s="70"/>
      <c r="AP212" s="70"/>
      <c r="AQ212" s="70"/>
    </row>
    <row r="213">
      <c r="A213" s="13"/>
      <c r="B213" s="13"/>
      <c r="C213" s="87">
        <v>2.0</v>
      </c>
      <c r="D213" s="104">
        <v>1.0</v>
      </c>
      <c r="E213" s="104">
        <v>1.0</v>
      </c>
      <c r="F213" s="104">
        <v>1.0</v>
      </c>
      <c r="G213" s="104">
        <v>0.6447</v>
      </c>
      <c r="H213" s="104">
        <v>0.9134</v>
      </c>
      <c r="I213" s="104">
        <v>0.6745</v>
      </c>
      <c r="J213" s="104">
        <v>0.9026</v>
      </c>
      <c r="K213" s="92">
        <v>1.0</v>
      </c>
      <c r="L213" s="104">
        <v>0.324140000000001</v>
      </c>
      <c r="M213" s="104">
        <v>0.7939</v>
      </c>
      <c r="N213" s="48">
        <f t="shared" si="2"/>
        <v>0.6919143606</v>
      </c>
      <c r="O213" s="48">
        <f t="shared" si="1"/>
        <v>73.10342545</v>
      </c>
      <c r="P213" s="104">
        <v>8193.024929</v>
      </c>
      <c r="Q213" s="104">
        <v>4.542544</v>
      </c>
      <c r="R213" s="104">
        <v>0.7114</v>
      </c>
      <c r="S213" s="104">
        <v>0.6472</v>
      </c>
      <c r="T213" s="104">
        <v>0.6479</v>
      </c>
      <c r="U213" s="104">
        <v>0.7095</v>
      </c>
      <c r="V213" s="104">
        <v>0.6472</v>
      </c>
      <c r="W213" s="104">
        <v>0.7114</v>
      </c>
      <c r="X213" s="104">
        <v>0.6335</v>
      </c>
      <c r="Y213" s="104">
        <v>0.7019</v>
      </c>
      <c r="Z213" s="104">
        <v>0.7031</v>
      </c>
      <c r="AA213" s="104">
        <v>0.4981</v>
      </c>
      <c r="AB213" s="104">
        <v>0.4926</v>
      </c>
      <c r="AC213" s="104">
        <v>0.5291</v>
      </c>
      <c r="AD213" s="104">
        <v>0.3268</v>
      </c>
      <c r="AE213" s="104">
        <v>0.404</v>
      </c>
      <c r="AF213" s="104">
        <v>0.5538</v>
      </c>
      <c r="AG213" s="104">
        <v>0.8011</v>
      </c>
      <c r="AH213" s="104">
        <v>0.7735</v>
      </c>
      <c r="AI213" s="104">
        <v>0.7871</v>
      </c>
      <c r="AJ213" s="104">
        <v>0.7479</v>
      </c>
      <c r="AK213" s="104">
        <v>0.6135</v>
      </c>
      <c r="AL213" s="104">
        <v>0.8412</v>
      </c>
      <c r="AM213" s="104">
        <v>0.7095</v>
      </c>
      <c r="AN213" s="104">
        <v>0.8393</v>
      </c>
      <c r="AO213" s="70"/>
      <c r="AP213" s="70"/>
      <c r="AQ213" s="70"/>
    </row>
    <row r="214">
      <c r="A214" s="13"/>
      <c r="B214" s="13"/>
      <c r="C214" s="87">
        <v>3.0</v>
      </c>
      <c r="D214" s="104">
        <v>1.0</v>
      </c>
      <c r="E214" s="104">
        <v>1.0</v>
      </c>
      <c r="F214" s="104">
        <v>1.0</v>
      </c>
      <c r="G214" s="104">
        <v>0.6012</v>
      </c>
      <c r="H214" s="104">
        <v>0.9573</v>
      </c>
      <c r="I214" s="104">
        <v>0.6974</v>
      </c>
      <c r="J214" s="104">
        <v>0.894</v>
      </c>
      <c r="K214" s="92">
        <v>1.0</v>
      </c>
      <c r="L214" s="104">
        <v>0.324140000000001</v>
      </c>
      <c r="M214" s="104">
        <v>0.796</v>
      </c>
      <c r="N214" s="48">
        <f t="shared" si="2"/>
        <v>0.7402434917</v>
      </c>
      <c r="O214" s="48">
        <f t="shared" si="1"/>
        <v>76.20614377</v>
      </c>
      <c r="P214" s="104">
        <v>8193.024929</v>
      </c>
      <c r="Q214" s="104">
        <v>4.700892</v>
      </c>
      <c r="R214" s="104">
        <v>0.754</v>
      </c>
      <c r="S214" s="104">
        <v>0.702</v>
      </c>
      <c r="T214" s="104">
        <v>0.7069</v>
      </c>
      <c r="U214" s="104">
        <v>0.7466</v>
      </c>
      <c r="V214" s="104">
        <v>0.702</v>
      </c>
      <c r="W214" s="104">
        <v>0.754</v>
      </c>
      <c r="X214" s="104">
        <v>0.7006</v>
      </c>
      <c r="Y214" s="104">
        <v>0.7481</v>
      </c>
      <c r="Z214" s="104">
        <v>0.7543</v>
      </c>
      <c r="AA214" s="104">
        <v>0.5634</v>
      </c>
      <c r="AB214" s="104">
        <v>0.562</v>
      </c>
      <c r="AC214" s="104">
        <v>0.5758</v>
      </c>
      <c r="AD214" s="104">
        <v>0.4462</v>
      </c>
      <c r="AE214" s="104">
        <v>0.5028</v>
      </c>
      <c r="AF214" s="104">
        <v>0.6432</v>
      </c>
      <c r="AG214" s="104">
        <v>0.7997</v>
      </c>
      <c r="AH214" s="104">
        <v>0.8125</v>
      </c>
      <c r="AI214" s="104">
        <v>0.8061</v>
      </c>
      <c r="AJ214" s="104">
        <v>0.7582</v>
      </c>
      <c r="AK214" s="104">
        <v>0.7452</v>
      </c>
      <c r="AL214" s="104">
        <v>0.8474</v>
      </c>
      <c r="AM214" s="104">
        <v>0.793</v>
      </c>
      <c r="AN214" s="104">
        <v>0.8801</v>
      </c>
      <c r="AO214" s="70"/>
      <c r="AP214" s="70"/>
      <c r="AQ214" s="70"/>
    </row>
    <row r="215">
      <c r="A215" s="13"/>
      <c r="B215" s="16"/>
      <c r="C215" s="87">
        <v>4.0</v>
      </c>
      <c r="D215" s="104">
        <v>1.0</v>
      </c>
      <c r="E215" s="104">
        <v>1.0</v>
      </c>
      <c r="F215" s="104">
        <v>1.0</v>
      </c>
      <c r="G215" s="104">
        <v>0.5872</v>
      </c>
      <c r="H215" s="104">
        <v>0.975</v>
      </c>
      <c r="I215" s="104">
        <v>0.797</v>
      </c>
      <c r="J215" s="104">
        <v>0.8834</v>
      </c>
      <c r="K215" s="92">
        <v>1.0</v>
      </c>
      <c r="L215" s="104">
        <v>0.324140000000001</v>
      </c>
      <c r="M215" s="104">
        <v>0.8219</v>
      </c>
      <c r="N215" s="48">
        <f t="shared" si="2"/>
        <v>0.7576311913</v>
      </c>
      <c r="O215" s="48">
        <f t="shared" si="1"/>
        <v>78.27125545</v>
      </c>
      <c r="P215" s="104">
        <v>8193.024929</v>
      </c>
      <c r="Q215" s="104">
        <v>4.751143</v>
      </c>
      <c r="R215" s="104">
        <v>0.7687</v>
      </c>
      <c r="S215" s="104">
        <v>0.7217</v>
      </c>
      <c r="T215" s="104">
        <v>0.7314</v>
      </c>
      <c r="U215" s="104">
        <v>0.7626</v>
      </c>
      <c r="V215" s="104">
        <v>0.7217</v>
      </c>
      <c r="W215" s="104">
        <v>0.7687</v>
      </c>
      <c r="X215" s="104">
        <v>0.7253</v>
      </c>
      <c r="Y215" s="104">
        <v>0.7649</v>
      </c>
      <c r="Z215" s="104">
        <v>0.7706</v>
      </c>
      <c r="AA215" s="104">
        <v>0.5871</v>
      </c>
      <c r="AB215" s="104">
        <v>0.5864</v>
      </c>
      <c r="AC215" s="104">
        <v>0.5738</v>
      </c>
      <c r="AD215" s="104">
        <v>0.4906</v>
      </c>
      <c r="AE215" s="104">
        <v>0.5289</v>
      </c>
      <c r="AF215" s="104">
        <v>0.6711</v>
      </c>
      <c r="AG215" s="104">
        <v>0.7985</v>
      </c>
      <c r="AH215" s="104">
        <v>0.824</v>
      </c>
      <c r="AI215" s="104">
        <v>0.811</v>
      </c>
      <c r="AJ215" s="104">
        <v>0.7601</v>
      </c>
      <c r="AK215" s="104">
        <v>0.822</v>
      </c>
      <c r="AL215" s="104">
        <v>0.8505</v>
      </c>
      <c r="AM215" s="104">
        <v>0.836</v>
      </c>
      <c r="AN215" s="104">
        <v>0.897</v>
      </c>
      <c r="AO215" s="70"/>
      <c r="AP215" s="70"/>
      <c r="AQ215" s="70"/>
    </row>
    <row r="216">
      <c r="A216" s="13"/>
      <c r="B216" s="91" t="s">
        <v>27</v>
      </c>
      <c r="C216" s="87">
        <v>1.0</v>
      </c>
      <c r="D216" s="104">
        <v>1.0</v>
      </c>
      <c r="E216" s="104">
        <v>1.0</v>
      </c>
      <c r="F216" s="104">
        <v>1.0</v>
      </c>
      <c r="G216" s="104">
        <v>0.7959</v>
      </c>
      <c r="H216" s="104">
        <v>0.8732</v>
      </c>
      <c r="I216" s="104">
        <v>0.6084</v>
      </c>
      <c r="J216" s="104">
        <v>0.8522</v>
      </c>
      <c r="K216" s="92">
        <v>1.0</v>
      </c>
      <c r="L216" s="104">
        <v>0.324140000000001</v>
      </c>
      <c r="M216" s="104">
        <v>0.8153</v>
      </c>
      <c r="N216" s="48">
        <f t="shared" si="2"/>
        <v>0.6856889144</v>
      </c>
      <c r="O216" s="48">
        <f t="shared" si="1"/>
        <v>73.4857708</v>
      </c>
      <c r="P216" s="104">
        <v>11013.864941</v>
      </c>
      <c r="Q216" s="104">
        <v>4.452156</v>
      </c>
      <c r="R216" s="104">
        <v>0.6599</v>
      </c>
      <c r="S216" s="104">
        <v>0.6579</v>
      </c>
      <c r="T216" s="104">
        <v>0.6483</v>
      </c>
      <c r="U216" s="104">
        <v>0.7332</v>
      </c>
      <c r="V216" s="104">
        <v>0.6579</v>
      </c>
      <c r="W216" s="104">
        <v>0.6599</v>
      </c>
      <c r="X216" s="104">
        <v>0.6331</v>
      </c>
      <c r="Y216" s="104">
        <v>0.6816</v>
      </c>
      <c r="Z216" s="104">
        <v>0.7368</v>
      </c>
      <c r="AA216" s="104">
        <v>0.4649</v>
      </c>
      <c r="AB216" s="104">
        <v>0.4492</v>
      </c>
      <c r="AC216" s="104">
        <v>0.3454</v>
      </c>
      <c r="AD216" s="104">
        <v>0.6494</v>
      </c>
      <c r="AE216" s="104">
        <v>0.4509</v>
      </c>
      <c r="AF216" s="104">
        <v>0.6927</v>
      </c>
      <c r="AG216" s="104">
        <v>0.8359</v>
      </c>
      <c r="AH216" s="104">
        <v>0.6621</v>
      </c>
      <c r="AI216" s="104">
        <v>0.7389</v>
      </c>
      <c r="AJ216" s="104">
        <v>0.7327</v>
      </c>
      <c r="AK216" s="104">
        <v>0.7636</v>
      </c>
      <c r="AL216" s="104">
        <v>0.6623</v>
      </c>
      <c r="AM216" s="104">
        <v>0.7093</v>
      </c>
      <c r="AN216" s="104">
        <v>0.7882</v>
      </c>
      <c r="AO216" s="49"/>
      <c r="AP216" s="49"/>
      <c r="AQ216" s="49"/>
    </row>
    <row r="217">
      <c r="A217" s="13"/>
      <c r="B217" s="13"/>
      <c r="C217" s="87">
        <v>2.0</v>
      </c>
      <c r="D217" s="104">
        <v>1.0</v>
      </c>
      <c r="E217" s="104">
        <v>1.0</v>
      </c>
      <c r="F217" s="104">
        <v>1.0</v>
      </c>
      <c r="G217" s="104">
        <v>0.6375</v>
      </c>
      <c r="H217" s="104">
        <v>0.9863</v>
      </c>
      <c r="I217" s="104">
        <v>0.6832</v>
      </c>
      <c r="J217" s="104">
        <v>0.9045</v>
      </c>
      <c r="K217" s="92">
        <v>1.0</v>
      </c>
      <c r="L217" s="104">
        <v>0.324140000000001</v>
      </c>
      <c r="M217" s="104">
        <v>0.8096</v>
      </c>
      <c r="N217" s="48">
        <f t="shared" si="2"/>
        <v>0.7663348653</v>
      </c>
      <c r="O217" s="48">
        <f t="shared" si="1"/>
        <v>78.33563183</v>
      </c>
      <c r="P217" s="104">
        <v>11013.864941</v>
      </c>
      <c r="Q217" s="104">
        <v>4.765069</v>
      </c>
      <c r="R217" s="104">
        <v>0.7716</v>
      </c>
      <c r="S217" s="104">
        <v>0.7368</v>
      </c>
      <c r="T217" s="104">
        <v>0.7264</v>
      </c>
      <c r="U217" s="104">
        <v>0.7718</v>
      </c>
      <c r="V217" s="104">
        <v>0.7368</v>
      </c>
      <c r="W217" s="104">
        <v>0.7716</v>
      </c>
      <c r="X217" s="104">
        <v>0.7312</v>
      </c>
      <c r="Y217" s="104">
        <v>0.7714</v>
      </c>
      <c r="Z217" s="104">
        <v>0.7897</v>
      </c>
      <c r="AA217" s="104">
        <v>0.6003</v>
      </c>
      <c r="AB217" s="104">
        <v>0.6001</v>
      </c>
      <c r="AC217" s="104">
        <v>0.5559</v>
      </c>
      <c r="AD217" s="104">
        <v>0.5537</v>
      </c>
      <c r="AE217" s="104">
        <v>0.5548</v>
      </c>
      <c r="AF217" s="104">
        <v>0.7084</v>
      </c>
      <c r="AG217" s="104">
        <v>0.8254</v>
      </c>
      <c r="AH217" s="104">
        <v>0.8038</v>
      </c>
      <c r="AI217" s="104">
        <v>0.8145</v>
      </c>
      <c r="AJ217" s="104">
        <v>0.7789</v>
      </c>
      <c r="AK217" s="104">
        <v>0.7978</v>
      </c>
      <c r="AL217" s="104">
        <v>0.8528</v>
      </c>
      <c r="AM217" s="104">
        <v>0.8244</v>
      </c>
      <c r="AN217" s="104">
        <v>0.8923</v>
      </c>
      <c r="AO217" s="49"/>
      <c r="AP217" s="49"/>
      <c r="AQ217" s="49"/>
    </row>
    <row r="218">
      <c r="A218" s="13"/>
      <c r="B218" s="13"/>
      <c r="C218" s="87">
        <v>3.0</v>
      </c>
      <c r="D218" s="104">
        <v>1.0</v>
      </c>
      <c r="E218" s="104">
        <v>1.0</v>
      </c>
      <c r="F218" s="104">
        <v>1.0</v>
      </c>
      <c r="G218" s="104">
        <v>0.5827</v>
      </c>
      <c r="H218" s="104">
        <v>0.9599</v>
      </c>
      <c r="I218" s="104">
        <v>0.7236</v>
      </c>
      <c r="J218" s="104">
        <v>0.8848</v>
      </c>
      <c r="K218" s="92">
        <v>1.0</v>
      </c>
      <c r="L218" s="104">
        <v>0.324140000000001</v>
      </c>
      <c r="M218" s="104">
        <v>0.7976</v>
      </c>
      <c r="N218" s="48">
        <f t="shared" si="2"/>
        <v>0.792559141</v>
      </c>
      <c r="O218" s="48">
        <f t="shared" si="1"/>
        <v>79.45716503</v>
      </c>
      <c r="P218" s="104">
        <v>11013.864941</v>
      </c>
      <c r="Q218" s="104">
        <v>4.935583</v>
      </c>
      <c r="R218" s="104">
        <v>0.8042</v>
      </c>
      <c r="S218" s="104">
        <v>0.7587</v>
      </c>
      <c r="T218" s="104">
        <v>0.7785</v>
      </c>
      <c r="U218" s="104">
        <v>0.7993</v>
      </c>
      <c r="V218" s="104">
        <v>0.7587</v>
      </c>
      <c r="W218" s="104">
        <v>0.8042</v>
      </c>
      <c r="X218" s="104">
        <v>0.7647</v>
      </c>
      <c r="Y218" s="104">
        <v>0.7994</v>
      </c>
      <c r="Z218" s="104">
        <v>0.8031</v>
      </c>
      <c r="AA218" s="104">
        <v>0.6502</v>
      </c>
      <c r="AB218" s="104">
        <v>0.6485</v>
      </c>
      <c r="AC218" s="104">
        <v>0.6987</v>
      </c>
      <c r="AD218" s="104">
        <v>0.5405</v>
      </c>
      <c r="AE218" s="104">
        <v>0.6095</v>
      </c>
      <c r="AF218" s="104">
        <v>0.7159</v>
      </c>
      <c r="AG218" s="104">
        <v>0.8255</v>
      </c>
      <c r="AH218" s="104">
        <v>0.8561</v>
      </c>
      <c r="AI218" s="104">
        <v>0.8405</v>
      </c>
      <c r="AJ218" s="104">
        <v>0.7959</v>
      </c>
      <c r="AK218" s="104">
        <v>0.8113</v>
      </c>
      <c r="AL218" s="104">
        <v>0.8796</v>
      </c>
      <c r="AM218" s="104">
        <v>0.8441</v>
      </c>
      <c r="AN218" s="104">
        <v>0.9089</v>
      </c>
      <c r="AO218" s="49"/>
      <c r="AP218" s="49"/>
      <c r="AQ218" s="49"/>
    </row>
    <row r="219">
      <c r="A219" s="16"/>
      <c r="B219" s="16"/>
      <c r="C219" s="87">
        <v>4.0</v>
      </c>
      <c r="D219" s="104">
        <v>1.0</v>
      </c>
      <c r="E219" s="104">
        <v>1.0</v>
      </c>
      <c r="F219" s="104">
        <v>1.0</v>
      </c>
      <c r="G219" s="104">
        <v>0.5578</v>
      </c>
      <c r="H219" s="104">
        <v>0.9406</v>
      </c>
      <c r="I219" s="104">
        <v>0.7399</v>
      </c>
      <c r="J219" s="104">
        <v>0.8733</v>
      </c>
      <c r="K219" s="92">
        <v>1.0</v>
      </c>
      <c r="L219" s="104">
        <v>0.324140000000001</v>
      </c>
      <c r="M219" s="48">
        <f t="shared" ref="M219:N219" si="3">(R219*W219*((Z219+1)/2)*((AA219+1)/2))^(1/4)
</f>
        <v>0.843240843</v>
      </c>
      <c r="N219" s="48">
        <f t="shared" si="3"/>
        <v>0.8036964153</v>
      </c>
      <c r="O219" s="48">
        <f t="shared" si="1"/>
        <v>81.92866387</v>
      </c>
      <c r="P219" s="104">
        <v>11013.864941</v>
      </c>
      <c r="Q219" s="104">
        <v>4.996837</v>
      </c>
      <c r="R219" s="104">
        <v>0.8178</v>
      </c>
      <c r="S219" s="104">
        <v>0.7672</v>
      </c>
      <c r="T219" s="104">
        <v>0.8097</v>
      </c>
      <c r="U219" s="104">
        <v>0.816</v>
      </c>
      <c r="V219" s="104">
        <v>0.7672</v>
      </c>
      <c r="W219" s="104">
        <v>0.8178</v>
      </c>
      <c r="X219" s="104">
        <v>0.7791</v>
      </c>
      <c r="Y219" s="104">
        <v>0.8113</v>
      </c>
      <c r="Z219" s="104">
        <v>0.8076</v>
      </c>
      <c r="AA219" s="104">
        <v>0.6729</v>
      </c>
      <c r="AB219" s="104">
        <v>0.669</v>
      </c>
      <c r="AC219" s="104">
        <v>0.7911</v>
      </c>
      <c r="AD219" s="104">
        <v>0.5318</v>
      </c>
      <c r="AE219" s="104">
        <v>0.636</v>
      </c>
      <c r="AF219" s="104">
        <v>0.7176</v>
      </c>
      <c r="AG219" s="104">
        <v>0.8249</v>
      </c>
      <c r="AH219" s="104">
        <v>0.8786</v>
      </c>
      <c r="AI219" s="104">
        <v>0.8509</v>
      </c>
      <c r="AJ219" s="104">
        <v>0.8019</v>
      </c>
      <c r="AK219" s="104">
        <v>0.813</v>
      </c>
      <c r="AL219" s="104">
        <v>0.8912</v>
      </c>
      <c r="AM219" s="104">
        <v>0.8503</v>
      </c>
      <c r="AN219" s="104">
        <v>0.9152</v>
      </c>
      <c r="AO219" s="104"/>
      <c r="AP219" s="49"/>
      <c r="AQ219" s="49"/>
    </row>
    <row r="220">
      <c r="A220" s="96" t="s">
        <v>106</v>
      </c>
      <c r="B220" s="108" t="s">
        <v>22</v>
      </c>
      <c r="C220" s="46">
        <v>1.0</v>
      </c>
      <c r="D220" s="110">
        <v>1.0</v>
      </c>
      <c r="E220" s="110">
        <v>1.0</v>
      </c>
      <c r="F220" s="110">
        <v>1.0</v>
      </c>
      <c r="G220" s="110">
        <v>0.7888</v>
      </c>
      <c r="H220" s="110">
        <v>0.7786</v>
      </c>
      <c r="I220" s="110">
        <v>0.0</v>
      </c>
      <c r="J220" s="110">
        <v>0.7787</v>
      </c>
      <c r="K220" s="92">
        <v>1.0</v>
      </c>
      <c r="L220" s="104">
        <v>0.324140000000001</v>
      </c>
      <c r="M220" s="110">
        <v>0.0248</v>
      </c>
      <c r="N220" s="48">
        <f t="shared" ref="N220:N315" si="4">(S220*X220*((AA220+1)/2)*((AB220+1)/2))^(1/4)
</f>
        <v>0.765367105</v>
      </c>
      <c r="O220" s="48">
        <f t="shared" si="1"/>
        <v>19.41344224</v>
      </c>
      <c r="P220" s="110">
        <v>36.916138</v>
      </c>
      <c r="Q220" s="110">
        <v>1.704751</v>
      </c>
      <c r="R220" s="110">
        <v>0.7096</v>
      </c>
      <c r="S220" s="110">
        <v>0.7649</v>
      </c>
      <c r="T220" s="110">
        <v>0.7958</v>
      </c>
      <c r="U220" s="110">
        <v>0.8875</v>
      </c>
      <c r="V220" s="110">
        <v>0.7649</v>
      </c>
      <c r="W220" s="110">
        <v>0.7096</v>
      </c>
      <c r="X220" s="110">
        <v>0.7101</v>
      </c>
      <c r="Y220" s="110">
        <v>0.7423</v>
      </c>
      <c r="Z220" s="110">
        <v>0.8039</v>
      </c>
      <c r="AA220" s="110">
        <v>0.6223</v>
      </c>
      <c r="AB220" s="110">
        <v>0.5577</v>
      </c>
      <c r="AC220" s="110">
        <v>0.3875</v>
      </c>
      <c r="AD220" s="110">
        <v>1.0</v>
      </c>
      <c r="AE220" s="110">
        <v>0.5586</v>
      </c>
      <c r="AF220" s="110">
        <v>0.8027</v>
      </c>
      <c r="AG220" s="110">
        <v>1.0</v>
      </c>
      <c r="AH220" s="110">
        <v>0.6404</v>
      </c>
      <c r="AI220" s="110">
        <v>0.7808</v>
      </c>
      <c r="AJ220" s="110">
        <v>0.8002</v>
      </c>
      <c r="AK220" s="110">
        <v>1.0</v>
      </c>
      <c r="AL220" s="110">
        <v>0.6543</v>
      </c>
      <c r="AM220" s="110">
        <v>0.791</v>
      </c>
      <c r="AN220" s="110">
        <v>0.8089</v>
      </c>
      <c r="AO220" s="69"/>
      <c r="AP220" s="69"/>
      <c r="AQ220" s="69"/>
    </row>
    <row r="221">
      <c r="A221" s="13"/>
      <c r="B221" s="13"/>
      <c r="C221" s="46">
        <v>2.0</v>
      </c>
      <c r="D221" s="110">
        <v>1.0</v>
      </c>
      <c r="E221" s="110">
        <v>1.0</v>
      </c>
      <c r="F221" s="110">
        <v>1.0</v>
      </c>
      <c r="G221" s="110">
        <v>0.7377</v>
      </c>
      <c r="H221" s="110">
        <v>0.9202</v>
      </c>
      <c r="I221" s="110">
        <v>0.0</v>
      </c>
      <c r="J221" s="110">
        <v>0.9203</v>
      </c>
      <c r="K221" s="92">
        <v>1.0</v>
      </c>
      <c r="L221" s="104">
        <v>0.324140000000001</v>
      </c>
      <c r="M221" s="110">
        <v>0.0265</v>
      </c>
      <c r="N221" s="48">
        <f t="shared" si="4"/>
        <v>0.9212047765</v>
      </c>
      <c r="O221" s="48">
        <f t="shared" si="1"/>
        <v>22.27983952</v>
      </c>
      <c r="P221" s="110">
        <v>36.916138</v>
      </c>
      <c r="Q221" s="110">
        <v>1.719025</v>
      </c>
      <c r="R221" s="110">
        <v>0.9065</v>
      </c>
      <c r="S221" s="110">
        <v>0.9363</v>
      </c>
      <c r="T221" s="110">
        <v>0.8876</v>
      </c>
      <c r="U221" s="110">
        <v>0.938</v>
      </c>
      <c r="V221" s="110">
        <v>0.9363</v>
      </c>
      <c r="W221" s="110">
        <v>0.9065</v>
      </c>
      <c r="X221" s="110">
        <v>0.8986</v>
      </c>
      <c r="Y221" s="110">
        <v>0.9128</v>
      </c>
      <c r="Z221" s="110">
        <v>0.9473</v>
      </c>
      <c r="AA221" s="110">
        <v>0.8563</v>
      </c>
      <c r="AB221" s="110">
        <v>0.8444</v>
      </c>
      <c r="AC221" s="110">
        <v>0.6628</v>
      </c>
      <c r="AD221" s="110">
        <v>1.0</v>
      </c>
      <c r="AE221" s="110">
        <v>0.7972</v>
      </c>
      <c r="AF221" s="110">
        <v>0.941</v>
      </c>
      <c r="AG221" s="110">
        <v>1.0</v>
      </c>
      <c r="AH221" s="110">
        <v>0.8618</v>
      </c>
      <c r="AI221" s="110">
        <v>0.9258</v>
      </c>
      <c r="AJ221" s="110">
        <v>0.9283</v>
      </c>
      <c r="AK221" s="110">
        <v>1.0</v>
      </c>
      <c r="AL221" s="110">
        <v>0.9472</v>
      </c>
      <c r="AM221" s="110">
        <v>0.9729</v>
      </c>
      <c r="AN221" s="110">
        <v>0.9732</v>
      </c>
      <c r="AO221" s="69"/>
      <c r="AP221" s="69"/>
      <c r="AQ221" s="69"/>
    </row>
    <row r="222">
      <c r="A222" s="13"/>
      <c r="B222" s="13"/>
      <c r="C222" s="46">
        <v>3.0</v>
      </c>
      <c r="D222" s="110">
        <v>1.0</v>
      </c>
      <c r="E222" s="110">
        <v>1.0</v>
      </c>
      <c r="F222" s="110">
        <v>1.0</v>
      </c>
      <c r="G222" s="110">
        <v>0.6566</v>
      </c>
      <c r="H222" s="110">
        <v>0.9716</v>
      </c>
      <c r="I222" s="110">
        <v>0.0</v>
      </c>
      <c r="J222" s="110">
        <v>0.9717</v>
      </c>
      <c r="K222" s="92">
        <v>1.0</v>
      </c>
      <c r="L222" s="104">
        <v>0.324140000000001</v>
      </c>
      <c r="M222" s="110">
        <v>0.0269</v>
      </c>
      <c r="N222" s="48">
        <f t="shared" si="4"/>
        <v>0.9715453936</v>
      </c>
      <c r="O222" s="48">
        <f t="shared" si="1"/>
        <v>23.14082138</v>
      </c>
      <c r="P222" s="110">
        <v>36.916138</v>
      </c>
      <c r="Q222" s="110">
        <v>1.727978</v>
      </c>
      <c r="R222" s="110">
        <v>0.9682</v>
      </c>
      <c r="S222" s="110">
        <v>0.9781</v>
      </c>
      <c r="T222" s="110">
        <v>0.9508</v>
      </c>
      <c r="U222" s="110">
        <v>0.9729</v>
      </c>
      <c r="V222" s="110">
        <v>0.9781</v>
      </c>
      <c r="W222" s="110">
        <v>0.9682</v>
      </c>
      <c r="X222" s="110">
        <v>0.9623</v>
      </c>
      <c r="Y222" s="110">
        <v>0.9691</v>
      </c>
      <c r="Z222" s="110">
        <v>0.9824</v>
      </c>
      <c r="AA222" s="110">
        <v>0.9467</v>
      </c>
      <c r="AB222" s="110">
        <v>0.945</v>
      </c>
      <c r="AC222" s="110">
        <v>0.8526</v>
      </c>
      <c r="AD222" s="110">
        <v>1.0</v>
      </c>
      <c r="AE222" s="110">
        <v>0.9204</v>
      </c>
      <c r="AF222" s="110">
        <v>0.9803</v>
      </c>
      <c r="AG222" s="110">
        <v>1.0</v>
      </c>
      <c r="AH222" s="110">
        <v>0.9534</v>
      </c>
      <c r="AI222" s="110">
        <v>0.9761</v>
      </c>
      <c r="AJ222" s="110">
        <v>0.9764</v>
      </c>
      <c r="AK222" s="110">
        <v>1.0</v>
      </c>
      <c r="AL222" s="110">
        <v>0.9809</v>
      </c>
      <c r="AM222" s="110">
        <v>0.9904</v>
      </c>
      <c r="AN222" s="110">
        <v>0.9904</v>
      </c>
      <c r="AO222" s="69"/>
      <c r="AP222" s="69"/>
      <c r="AQ222" s="69"/>
    </row>
    <row r="223">
      <c r="A223" s="13"/>
      <c r="B223" s="16"/>
      <c r="C223" s="46">
        <v>4.0</v>
      </c>
      <c r="D223" s="110">
        <v>1.0</v>
      </c>
      <c r="E223" s="110">
        <v>1.0</v>
      </c>
      <c r="F223" s="110">
        <v>1.0</v>
      </c>
      <c r="G223" s="110">
        <v>0.7377</v>
      </c>
      <c r="H223" s="110">
        <v>0.9202</v>
      </c>
      <c r="I223" s="110">
        <v>0.0</v>
      </c>
      <c r="J223" s="110">
        <v>0.9203</v>
      </c>
      <c r="K223" s="92">
        <v>1.0</v>
      </c>
      <c r="L223" s="104">
        <v>0.324140000000001</v>
      </c>
      <c r="M223" s="110">
        <v>0.0265</v>
      </c>
      <c r="N223" s="48">
        <f t="shared" si="4"/>
        <v>0.9212047765</v>
      </c>
      <c r="O223" s="48">
        <f t="shared" si="1"/>
        <v>22.27983952</v>
      </c>
      <c r="P223" s="110">
        <v>36.916138</v>
      </c>
      <c r="Q223" s="110">
        <v>1.719025</v>
      </c>
      <c r="R223" s="110">
        <v>0.9065</v>
      </c>
      <c r="S223" s="110">
        <v>0.9363</v>
      </c>
      <c r="T223" s="110">
        <v>0.8876</v>
      </c>
      <c r="U223" s="110">
        <v>0.938</v>
      </c>
      <c r="V223" s="110">
        <v>0.9363</v>
      </c>
      <c r="W223" s="110">
        <v>0.9065</v>
      </c>
      <c r="X223" s="110">
        <v>0.8986</v>
      </c>
      <c r="Y223" s="110">
        <v>0.9128</v>
      </c>
      <c r="Z223" s="110">
        <v>0.9473</v>
      </c>
      <c r="AA223" s="110">
        <v>0.8563</v>
      </c>
      <c r="AB223" s="110">
        <v>0.8444</v>
      </c>
      <c r="AC223" s="110">
        <v>0.6628</v>
      </c>
      <c r="AD223" s="110">
        <v>1.0</v>
      </c>
      <c r="AE223" s="110">
        <v>0.7972</v>
      </c>
      <c r="AF223" s="110">
        <v>0.941</v>
      </c>
      <c r="AG223" s="110">
        <v>1.0</v>
      </c>
      <c r="AH223" s="110">
        <v>0.8618</v>
      </c>
      <c r="AI223" s="110">
        <v>0.9258</v>
      </c>
      <c r="AJ223" s="110">
        <v>0.9283</v>
      </c>
      <c r="AK223" s="110">
        <v>1.0</v>
      </c>
      <c r="AL223" s="110">
        <v>0.9472</v>
      </c>
      <c r="AM223" s="110">
        <v>0.9729</v>
      </c>
      <c r="AN223" s="110">
        <v>0.9732</v>
      </c>
      <c r="AO223" s="69"/>
      <c r="AP223" s="69"/>
      <c r="AQ223" s="69"/>
    </row>
    <row r="224">
      <c r="A224" s="13"/>
      <c r="B224" s="97" t="s">
        <v>23</v>
      </c>
      <c r="C224" s="46">
        <v>1.0</v>
      </c>
      <c r="D224" s="110">
        <v>1.0</v>
      </c>
      <c r="E224" s="110">
        <v>1.0</v>
      </c>
      <c r="F224" s="110">
        <v>1.0</v>
      </c>
      <c r="G224" s="110">
        <v>0.3286</v>
      </c>
      <c r="H224" s="110">
        <v>0.8458</v>
      </c>
      <c r="I224" s="110">
        <v>0.0129</v>
      </c>
      <c r="J224" s="110">
        <v>0.8457</v>
      </c>
      <c r="K224" s="92">
        <v>1.0</v>
      </c>
      <c r="L224" s="104">
        <v>0.324140000000001</v>
      </c>
      <c r="M224" s="110">
        <v>0.3134</v>
      </c>
      <c r="N224" s="48">
        <f t="shared" si="4"/>
        <v>0.760026206</v>
      </c>
      <c r="O224" s="48">
        <f t="shared" si="1"/>
        <v>53.32572113</v>
      </c>
      <c r="P224" s="110">
        <v>49.932312</v>
      </c>
      <c r="Q224" s="110">
        <v>0.651101</v>
      </c>
      <c r="R224" s="110">
        <v>0.8078</v>
      </c>
      <c r="S224" s="110">
        <v>0.6788</v>
      </c>
      <c r="T224" s="110">
        <v>0.9158</v>
      </c>
      <c r="U224" s="110">
        <v>0.8539</v>
      </c>
      <c r="V224" s="110">
        <v>0.6788</v>
      </c>
      <c r="W224" s="110">
        <v>0.8078</v>
      </c>
      <c r="X224" s="110">
        <v>0.7345</v>
      </c>
      <c r="Y224" s="110">
        <v>0.7878</v>
      </c>
      <c r="Z224" s="110">
        <v>0.7147</v>
      </c>
      <c r="AA224" s="110">
        <v>0.6626</v>
      </c>
      <c r="AB224" s="110">
        <v>0.6101</v>
      </c>
      <c r="AC224" s="110">
        <v>0.9928</v>
      </c>
      <c r="AD224" s="110">
        <v>0.3827</v>
      </c>
      <c r="AE224" s="110">
        <v>0.5525</v>
      </c>
      <c r="AF224" s="110">
        <v>0.6185</v>
      </c>
      <c r="AG224" s="110">
        <v>0.7546</v>
      </c>
      <c r="AH224" s="110">
        <v>0.9992</v>
      </c>
      <c r="AI224" s="110">
        <v>0.8598</v>
      </c>
      <c r="AJ224" s="110">
        <v>0.7297</v>
      </c>
      <c r="AK224" s="110">
        <v>1.0</v>
      </c>
      <c r="AL224" s="110">
        <v>0.6543</v>
      </c>
      <c r="AM224" s="110">
        <v>0.791</v>
      </c>
      <c r="AN224" s="110">
        <v>0.8089</v>
      </c>
      <c r="AO224" s="58"/>
      <c r="AP224" s="58"/>
      <c r="AQ224" s="58"/>
    </row>
    <row r="225">
      <c r="A225" s="13"/>
      <c r="B225" s="13"/>
      <c r="C225" s="46">
        <v>2.0</v>
      </c>
      <c r="D225" s="110">
        <v>1.0</v>
      </c>
      <c r="E225" s="110">
        <v>1.0</v>
      </c>
      <c r="F225" s="110">
        <v>1.0</v>
      </c>
      <c r="G225" s="110">
        <v>0.5046</v>
      </c>
      <c r="H225" s="110">
        <v>0.9342</v>
      </c>
      <c r="I225" s="110">
        <v>0.0</v>
      </c>
      <c r="J225" s="110">
        <v>0.9341</v>
      </c>
      <c r="K225" s="92">
        <v>1.0</v>
      </c>
      <c r="L225" s="104">
        <v>0.324140000000001</v>
      </c>
      <c r="M225" s="110">
        <v>0.0085</v>
      </c>
      <c r="N225" s="48">
        <f t="shared" si="4"/>
        <v>0.9099169168</v>
      </c>
      <c r="O225" s="48">
        <f t="shared" si="1"/>
        <v>14.0335845</v>
      </c>
      <c r="P225" s="110">
        <v>49.932312</v>
      </c>
      <c r="Q225" s="110">
        <v>0.717912</v>
      </c>
      <c r="R225" s="110">
        <v>0.9261</v>
      </c>
      <c r="S225" s="110">
        <v>0.8701</v>
      </c>
      <c r="T225" s="110">
        <v>0.9628</v>
      </c>
      <c r="U225" s="110">
        <v>0.9343</v>
      </c>
      <c r="V225" s="110">
        <v>0.8701</v>
      </c>
      <c r="W225" s="110">
        <v>0.9261</v>
      </c>
      <c r="X225" s="110">
        <v>0.9038</v>
      </c>
      <c r="Y225" s="110">
        <v>0.9219</v>
      </c>
      <c r="Z225" s="110">
        <v>0.8953</v>
      </c>
      <c r="AA225" s="110">
        <v>0.872</v>
      </c>
      <c r="AB225" s="110">
        <v>0.8626</v>
      </c>
      <c r="AC225" s="110">
        <v>0.9999</v>
      </c>
      <c r="AD225" s="110">
        <v>0.663</v>
      </c>
      <c r="AE225" s="110">
        <v>0.7973</v>
      </c>
      <c r="AF225" s="110">
        <v>0.8143</v>
      </c>
      <c r="AG225" s="110">
        <v>0.8887</v>
      </c>
      <c r="AH225" s="110">
        <v>1.0</v>
      </c>
      <c r="AI225" s="110">
        <v>0.941</v>
      </c>
      <c r="AJ225" s="110">
        <v>0.9055</v>
      </c>
      <c r="AK225" s="110">
        <v>1.0</v>
      </c>
      <c r="AL225" s="110">
        <v>0.9472</v>
      </c>
      <c r="AM225" s="110">
        <v>0.9729</v>
      </c>
      <c r="AN225" s="110">
        <v>0.9732</v>
      </c>
      <c r="AO225" s="58"/>
      <c r="AP225" s="58"/>
      <c r="AQ225" s="58"/>
    </row>
    <row r="226">
      <c r="A226" s="13"/>
      <c r="B226" s="13"/>
      <c r="C226" s="46">
        <v>3.0</v>
      </c>
      <c r="D226" s="110">
        <v>1.0</v>
      </c>
      <c r="E226" s="110">
        <v>1.0</v>
      </c>
      <c r="F226" s="110">
        <v>1.0</v>
      </c>
      <c r="G226" s="110">
        <v>0.581</v>
      </c>
      <c r="H226" s="110">
        <v>0.9808</v>
      </c>
      <c r="I226" s="110">
        <v>0.0</v>
      </c>
      <c r="J226" s="110">
        <v>0.9807</v>
      </c>
      <c r="K226" s="92">
        <v>1.0</v>
      </c>
      <c r="L226" s="104">
        <v>0.324140000000001</v>
      </c>
      <c r="M226" s="110">
        <v>0.0089</v>
      </c>
      <c r="N226" s="48">
        <f t="shared" si="4"/>
        <v>0.9729538344</v>
      </c>
      <c r="O226" s="48">
        <f t="shared" si="1"/>
        <v>14.88028821</v>
      </c>
      <c r="P226" s="110">
        <v>49.932312</v>
      </c>
      <c r="Q226" s="110">
        <v>0.812553</v>
      </c>
      <c r="R226" s="110">
        <v>0.9771</v>
      </c>
      <c r="S226" s="110">
        <v>0.9599</v>
      </c>
      <c r="T226" s="110">
        <v>0.9875</v>
      </c>
      <c r="U226" s="110">
        <v>0.9779</v>
      </c>
      <c r="V226" s="110">
        <v>0.9599</v>
      </c>
      <c r="W226" s="110">
        <v>0.9771</v>
      </c>
      <c r="X226" s="110">
        <v>0.9727</v>
      </c>
      <c r="Y226" s="110">
        <v>0.9768</v>
      </c>
      <c r="Z226" s="110">
        <v>0.9699</v>
      </c>
      <c r="AA226" s="110">
        <v>0.9598</v>
      </c>
      <c r="AB226" s="110">
        <v>0.9589</v>
      </c>
      <c r="AC226" s="110">
        <v>1.0</v>
      </c>
      <c r="AD226" s="110">
        <v>0.8987</v>
      </c>
      <c r="AE226" s="110">
        <v>0.9466</v>
      </c>
      <c r="AF226" s="110">
        <v>0.948</v>
      </c>
      <c r="AG226" s="110">
        <v>0.9626</v>
      </c>
      <c r="AH226" s="110">
        <v>1.0</v>
      </c>
      <c r="AI226" s="110">
        <v>0.9809</v>
      </c>
      <c r="AJ226" s="110">
        <v>0.9717</v>
      </c>
      <c r="AK226" s="110">
        <v>1.0</v>
      </c>
      <c r="AL226" s="110">
        <v>0.981</v>
      </c>
      <c r="AM226" s="110">
        <v>0.9904</v>
      </c>
      <c r="AN226" s="110">
        <v>0.9904</v>
      </c>
      <c r="AO226" s="58"/>
      <c r="AP226" s="58"/>
      <c r="AQ226" s="58"/>
    </row>
    <row r="227">
      <c r="A227" s="13"/>
      <c r="B227" s="16"/>
      <c r="C227" s="46">
        <v>4.0</v>
      </c>
      <c r="D227" s="110">
        <v>1.0</v>
      </c>
      <c r="E227" s="110">
        <v>1.0</v>
      </c>
      <c r="F227" s="110">
        <v>1.0</v>
      </c>
      <c r="G227" s="110">
        <v>0.5046</v>
      </c>
      <c r="H227" s="110">
        <v>0.9342</v>
      </c>
      <c r="I227" s="110">
        <v>0.0</v>
      </c>
      <c r="J227" s="110">
        <v>0.9341</v>
      </c>
      <c r="K227" s="92">
        <v>1.0</v>
      </c>
      <c r="L227" s="104">
        <v>0.324140000000001</v>
      </c>
      <c r="M227" s="110">
        <v>0.0085</v>
      </c>
      <c r="N227" s="48">
        <f t="shared" si="4"/>
        <v>0.9099169168</v>
      </c>
      <c r="O227" s="48">
        <f t="shared" si="1"/>
        <v>14.0335845</v>
      </c>
      <c r="P227" s="110">
        <v>49.932312</v>
      </c>
      <c r="Q227" s="110">
        <v>0.717912</v>
      </c>
      <c r="R227" s="110">
        <v>0.9261</v>
      </c>
      <c r="S227" s="110">
        <v>0.8701</v>
      </c>
      <c r="T227" s="110">
        <v>0.9628</v>
      </c>
      <c r="U227" s="110">
        <v>0.9343</v>
      </c>
      <c r="V227" s="110">
        <v>0.8701</v>
      </c>
      <c r="W227" s="110">
        <v>0.9261</v>
      </c>
      <c r="X227" s="110">
        <v>0.9038</v>
      </c>
      <c r="Y227" s="110">
        <v>0.9219</v>
      </c>
      <c r="Z227" s="110">
        <v>0.8953</v>
      </c>
      <c r="AA227" s="110">
        <v>0.872</v>
      </c>
      <c r="AB227" s="110">
        <v>0.8626</v>
      </c>
      <c r="AC227" s="110">
        <v>0.9999</v>
      </c>
      <c r="AD227" s="110">
        <v>0.663</v>
      </c>
      <c r="AE227" s="110">
        <v>0.7973</v>
      </c>
      <c r="AF227" s="110">
        <v>0.8143</v>
      </c>
      <c r="AG227" s="110">
        <v>0.8887</v>
      </c>
      <c r="AH227" s="110">
        <v>1.0</v>
      </c>
      <c r="AI227" s="110">
        <v>0.941</v>
      </c>
      <c r="AJ227" s="110">
        <v>0.9055</v>
      </c>
      <c r="AK227" s="110">
        <v>1.0</v>
      </c>
      <c r="AL227" s="110">
        <v>0.9472</v>
      </c>
      <c r="AM227" s="110">
        <v>0.9729</v>
      </c>
      <c r="AN227" s="110">
        <v>0.9732</v>
      </c>
      <c r="AO227" s="58"/>
      <c r="AP227" s="58"/>
      <c r="AQ227" s="58"/>
    </row>
    <row r="228">
      <c r="A228" s="13"/>
      <c r="B228" s="97" t="s">
        <v>24</v>
      </c>
      <c r="C228" s="46">
        <v>1.0</v>
      </c>
      <c r="D228" s="110">
        <v>1.0</v>
      </c>
      <c r="E228" s="110">
        <v>1.0</v>
      </c>
      <c r="F228" s="110">
        <v>1.0</v>
      </c>
      <c r="G228" s="110">
        <v>0.7104</v>
      </c>
      <c r="H228" s="110">
        <v>0.7148</v>
      </c>
      <c r="I228" s="110">
        <v>0.8964</v>
      </c>
      <c r="J228" s="110">
        <v>0.7147</v>
      </c>
      <c r="K228" s="92">
        <v>1.0</v>
      </c>
      <c r="L228" s="104">
        <v>0.324140000000001</v>
      </c>
      <c r="M228" s="110">
        <v>0.7988</v>
      </c>
      <c r="N228" s="48">
        <f t="shared" si="4"/>
        <v>0.434234908</v>
      </c>
      <c r="O228" s="48">
        <f t="shared" si="1"/>
        <v>55.41279578</v>
      </c>
      <c r="P228" s="110">
        <v>5907.890834</v>
      </c>
      <c r="Q228" s="110">
        <v>5.073254</v>
      </c>
      <c r="R228" s="110">
        <v>0.4668</v>
      </c>
      <c r="S228" s="110">
        <v>0.3705</v>
      </c>
      <c r="T228" s="110">
        <v>0.4999</v>
      </c>
      <c r="U228" s="110">
        <v>0.5557</v>
      </c>
      <c r="V228" s="110">
        <v>0.3705</v>
      </c>
      <c r="W228" s="110">
        <v>0.4668</v>
      </c>
      <c r="X228" s="110">
        <v>0.3241</v>
      </c>
      <c r="Y228" s="110">
        <v>0.4472</v>
      </c>
      <c r="Z228" s="110">
        <v>0.2945</v>
      </c>
      <c r="AA228" s="110">
        <v>0.0922</v>
      </c>
      <c r="AB228" s="110">
        <v>0.0844</v>
      </c>
      <c r="AC228" s="110">
        <v>0.5897</v>
      </c>
      <c r="AD228" s="110">
        <v>0.007</v>
      </c>
      <c r="AE228" s="110">
        <v>0.0138</v>
      </c>
      <c r="AF228" s="110">
        <v>0.0836</v>
      </c>
      <c r="AG228" s="110">
        <v>0.664</v>
      </c>
      <c r="AH228" s="110">
        <v>0.5927</v>
      </c>
      <c r="AI228" s="110">
        <v>0.6263</v>
      </c>
      <c r="AJ228" s="110">
        <v>0.5807</v>
      </c>
      <c r="AK228" s="110">
        <v>0.246</v>
      </c>
      <c r="AL228" s="110">
        <v>0.5118</v>
      </c>
      <c r="AM228" s="110">
        <v>0.3322</v>
      </c>
      <c r="AN228" s="110">
        <v>0.5259</v>
      </c>
      <c r="AO228" s="58"/>
      <c r="AP228" s="58"/>
      <c r="AQ228" s="58"/>
    </row>
    <row r="229">
      <c r="A229" s="13"/>
      <c r="B229" s="13"/>
      <c r="C229" s="46">
        <v>2.0</v>
      </c>
      <c r="D229" s="110">
        <v>1.0</v>
      </c>
      <c r="E229" s="110">
        <v>1.0</v>
      </c>
      <c r="F229" s="110">
        <v>1.0</v>
      </c>
      <c r="G229" s="110">
        <v>0.3548</v>
      </c>
      <c r="H229" s="110">
        <v>0.7676</v>
      </c>
      <c r="I229" s="110">
        <v>0.7652</v>
      </c>
      <c r="J229" s="110">
        <v>0.7675</v>
      </c>
      <c r="K229" s="92">
        <v>1.0</v>
      </c>
      <c r="L229" s="104">
        <v>0.324140000000001</v>
      </c>
      <c r="M229" s="110">
        <v>0.6931</v>
      </c>
      <c r="N229" s="48">
        <f t="shared" si="4"/>
        <v>0.4253029244</v>
      </c>
      <c r="O229" s="48">
        <f t="shared" si="1"/>
        <v>51.70557605</v>
      </c>
      <c r="P229" s="110">
        <v>5907.890834</v>
      </c>
      <c r="Q229" s="110">
        <v>5.115658</v>
      </c>
      <c r="R229" s="110">
        <v>0.5325</v>
      </c>
      <c r="S229" s="110">
        <v>0.3537</v>
      </c>
      <c r="T229" s="110">
        <v>0.4932</v>
      </c>
      <c r="U229" s="110">
        <v>0.5347</v>
      </c>
      <c r="V229" s="110">
        <v>0.3537</v>
      </c>
      <c r="W229" s="110">
        <v>0.5325</v>
      </c>
      <c r="X229" s="110">
        <v>0.3286</v>
      </c>
      <c r="Y229" s="110">
        <v>0.4765</v>
      </c>
      <c r="Z229" s="110">
        <v>0.3307</v>
      </c>
      <c r="AA229" s="110">
        <v>0.0638</v>
      </c>
      <c r="AB229" s="110">
        <v>0.0585</v>
      </c>
      <c r="AC229" s="110">
        <v>0.6348</v>
      </c>
      <c r="AD229" s="110">
        <v>0.0316</v>
      </c>
      <c r="AE229" s="110">
        <v>0.0603</v>
      </c>
      <c r="AF229" s="110">
        <v>0.1775</v>
      </c>
      <c r="AG229" s="110">
        <v>0.624</v>
      </c>
      <c r="AH229" s="110">
        <v>0.8079</v>
      </c>
      <c r="AI229" s="110">
        <v>0.7042</v>
      </c>
      <c r="AJ229" s="110">
        <v>0.4926</v>
      </c>
      <c r="AK229" s="110">
        <v>0.2209</v>
      </c>
      <c r="AL229" s="110">
        <v>0.2217</v>
      </c>
      <c r="AM229" s="110">
        <v>0.2213</v>
      </c>
      <c r="AN229" s="110">
        <v>0.4134</v>
      </c>
      <c r="AO229" s="58"/>
      <c r="AP229" s="58"/>
      <c r="AQ229" s="58"/>
    </row>
    <row r="230">
      <c r="A230" s="13"/>
      <c r="B230" s="13"/>
      <c r="C230" s="46">
        <v>3.0</v>
      </c>
      <c r="D230" s="110">
        <v>1.0</v>
      </c>
      <c r="E230" s="110">
        <v>1.0</v>
      </c>
      <c r="F230" s="110">
        <v>1.0</v>
      </c>
      <c r="G230" s="110">
        <v>0.2256</v>
      </c>
      <c r="H230" s="110">
        <v>0.7706</v>
      </c>
      <c r="I230" s="110">
        <v>0.6819</v>
      </c>
      <c r="J230" s="110">
        <v>0.7705</v>
      </c>
      <c r="K230" s="92">
        <v>1.0</v>
      </c>
      <c r="L230" s="104">
        <v>0.324140000000001</v>
      </c>
      <c r="M230" s="110">
        <v>0.6196</v>
      </c>
      <c r="N230" s="48">
        <f t="shared" si="4"/>
        <v>0.4676003452</v>
      </c>
      <c r="O230" s="48">
        <f t="shared" si="1"/>
        <v>52.33225603</v>
      </c>
      <c r="P230" s="110">
        <v>5907.890834</v>
      </c>
      <c r="Q230" s="110">
        <v>5.124961</v>
      </c>
      <c r="R230" s="110">
        <v>0.5874</v>
      </c>
      <c r="S230" s="110">
        <v>0.3935</v>
      </c>
      <c r="T230" s="110">
        <v>0.5534</v>
      </c>
      <c r="U230" s="110">
        <v>0.5713</v>
      </c>
      <c r="V230" s="110">
        <v>0.3935</v>
      </c>
      <c r="W230" s="110">
        <v>0.5874</v>
      </c>
      <c r="X230" s="110">
        <v>0.3829</v>
      </c>
      <c r="Y230" s="110">
        <v>0.5185</v>
      </c>
      <c r="Z230" s="110">
        <v>0.3827</v>
      </c>
      <c r="AA230" s="110">
        <v>0.1386</v>
      </c>
      <c r="AB230" s="110">
        <v>0.1147</v>
      </c>
      <c r="AC230" s="110">
        <v>0.6964</v>
      </c>
      <c r="AD230" s="110">
        <v>0.0991</v>
      </c>
      <c r="AE230" s="110">
        <v>0.1736</v>
      </c>
      <c r="AF230" s="110">
        <v>0.3133</v>
      </c>
      <c r="AG230" s="110">
        <v>0.6197</v>
      </c>
      <c r="AH230" s="110">
        <v>0.8927</v>
      </c>
      <c r="AI230" s="110">
        <v>0.7316</v>
      </c>
      <c r="AJ230" s="110">
        <v>0.4354</v>
      </c>
      <c r="AK230" s="110">
        <v>0.344</v>
      </c>
      <c r="AL230" s="110">
        <v>0.1887</v>
      </c>
      <c r="AM230" s="110">
        <v>0.2437</v>
      </c>
      <c r="AN230" s="110">
        <v>0.4108</v>
      </c>
      <c r="AO230" s="58"/>
      <c r="AP230" s="58"/>
      <c r="AQ230" s="58"/>
    </row>
    <row r="231">
      <c r="A231" s="13"/>
      <c r="B231" s="16"/>
      <c r="C231" s="46">
        <v>4.0</v>
      </c>
      <c r="D231" s="110">
        <v>1.0</v>
      </c>
      <c r="E231" s="110">
        <v>1.0</v>
      </c>
      <c r="F231" s="110">
        <v>1.0</v>
      </c>
      <c r="G231" s="110">
        <v>0.1638</v>
      </c>
      <c r="H231" s="110">
        <v>0.7482</v>
      </c>
      <c r="I231" s="110">
        <v>0.6547</v>
      </c>
      <c r="J231" s="110">
        <v>0.7481</v>
      </c>
      <c r="K231" s="92">
        <v>1.0</v>
      </c>
      <c r="L231" s="104">
        <v>0.324140000000001</v>
      </c>
      <c r="M231" s="110">
        <v>0.5697</v>
      </c>
      <c r="N231" s="48">
        <f t="shared" si="4"/>
        <v>0.4914413217</v>
      </c>
      <c r="O231" s="48">
        <f t="shared" si="1"/>
        <v>52.13645402</v>
      </c>
      <c r="P231" s="110">
        <v>5907.890834</v>
      </c>
      <c r="Q231" s="110">
        <v>5.014474</v>
      </c>
      <c r="R231" s="110">
        <v>0.6155</v>
      </c>
      <c r="S231" s="110">
        <v>0.4138</v>
      </c>
      <c r="T231" s="110">
        <v>0.6173</v>
      </c>
      <c r="U231" s="110">
        <v>0.614</v>
      </c>
      <c r="V231" s="110">
        <v>0.4138</v>
      </c>
      <c r="W231" s="110">
        <v>0.6155</v>
      </c>
      <c r="X231" s="110">
        <v>0.4097</v>
      </c>
      <c r="Y231" s="110">
        <v>0.5396</v>
      </c>
      <c r="Z231" s="110">
        <v>0.3903</v>
      </c>
      <c r="AA231" s="110">
        <v>0.1987</v>
      </c>
      <c r="AB231" s="110">
        <v>0.1481</v>
      </c>
      <c r="AC231" s="110">
        <v>0.7151</v>
      </c>
      <c r="AD231" s="110">
        <v>0.1352</v>
      </c>
      <c r="AE231" s="110">
        <v>0.2274</v>
      </c>
      <c r="AF231" s="110">
        <v>0.3655</v>
      </c>
      <c r="AG231" s="110">
        <v>0.6198</v>
      </c>
      <c r="AH231" s="110">
        <v>0.9362</v>
      </c>
      <c r="AI231" s="110">
        <v>0.7458</v>
      </c>
      <c r="AJ231" s="110">
        <v>0.4042</v>
      </c>
      <c r="AK231" s="110">
        <v>0.5171</v>
      </c>
      <c r="AL231" s="110">
        <v>0.1699</v>
      </c>
      <c r="AM231" s="110">
        <v>0.2558</v>
      </c>
      <c r="AN231" s="110">
        <v>0.4025</v>
      </c>
      <c r="AO231" s="58"/>
      <c r="AP231" s="58"/>
      <c r="AQ231" s="58"/>
    </row>
    <row r="232">
      <c r="A232" s="13"/>
      <c r="B232" s="97" t="s">
        <v>25</v>
      </c>
      <c r="C232" s="46">
        <v>1.0</v>
      </c>
      <c r="D232" s="110">
        <v>1.0</v>
      </c>
      <c r="E232" s="110">
        <v>1.0</v>
      </c>
      <c r="F232" s="110">
        <v>1.0</v>
      </c>
      <c r="G232" s="110">
        <v>0.7247</v>
      </c>
      <c r="H232" s="110">
        <v>0.7592</v>
      </c>
      <c r="I232" s="110">
        <v>0.7375</v>
      </c>
      <c r="J232" s="110">
        <v>0.7591</v>
      </c>
      <c r="K232" s="92">
        <v>1.0</v>
      </c>
      <c r="L232" s="104">
        <v>0.324140000000001</v>
      </c>
      <c r="M232" s="110">
        <v>0.7902</v>
      </c>
      <c r="N232" s="48">
        <f t="shared" si="4"/>
        <v>0.5388316788</v>
      </c>
      <c r="O232" s="48">
        <f t="shared" si="1"/>
        <v>62.80101783</v>
      </c>
      <c r="P232" s="110">
        <v>6752.78376</v>
      </c>
      <c r="Q232" s="110">
        <v>5.080674</v>
      </c>
      <c r="R232" s="110">
        <v>0.5307</v>
      </c>
      <c r="S232" s="110">
        <v>0.4823</v>
      </c>
      <c r="T232" s="110">
        <v>0.5723</v>
      </c>
      <c r="U232" s="110">
        <v>0.6426</v>
      </c>
      <c r="V232" s="110">
        <v>0.4823</v>
      </c>
      <c r="W232" s="110">
        <v>0.5307</v>
      </c>
      <c r="X232" s="110">
        <v>0.4466</v>
      </c>
      <c r="Y232" s="110">
        <v>0.533</v>
      </c>
      <c r="Z232" s="110">
        <v>0.5399</v>
      </c>
      <c r="AA232" s="110">
        <v>0.2649</v>
      </c>
      <c r="AB232" s="110">
        <v>0.2376</v>
      </c>
      <c r="AC232" s="110">
        <v>0.6274</v>
      </c>
      <c r="AD232" s="110">
        <v>0.1477</v>
      </c>
      <c r="AE232" s="110">
        <v>0.2391</v>
      </c>
      <c r="AF232" s="110">
        <v>0.3805</v>
      </c>
      <c r="AG232" s="110">
        <v>0.7725</v>
      </c>
      <c r="AH232" s="110">
        <v>0.5762</v>
      </c>
      <c r="AI232" s="110">
        <v>0.66</v>
      </c>
      <c r="AJ232" s="110">
        <v>0.66</v>
      </c>
      <c r="AK232" s="110">
        <v>0.3169</v>
      </c>
      <c r="AL232" s="110">
        <v>0.7229</v>
      </c>
      <c r="AM232" s="110">
        <v>0.4406</v>
      </c>
      <c r="AN232" s="110">
        <v>0.6268</v>
      </c>
      <c r="AO232" s="58"/>
      <c r="AP232" s="58"/>
      <c r="AQ232" s="58"/>
    </row>
    <row r="233">
      <c r="A233" s="13"/>
      <c r="B233" s="13"/>
      <c r="C233" s="46">
        <v>2.0</v>
      </c>
      <c r="D233" s="110">
        <v>1.0</v>
      </c>
      <c r="E233" s="110">
        <v>1.0</v>
      </c>
      <c r="F233" s="110">
        <v>1.0</v>
      </c>
      <c r="G233" s="110">
        <v>0.5946</v>
      </c>
      <c r="H233" s="110">
        <v>0.8718</v>
      </c>
      <c r="I233" s="110">
        <v>0.8296</v>
      </c>
      <c r="J233" s="110">
        <v>0.8717</v>
      </c>
      <c r="K233" s="92">
        <v>1.0</v>
      </c>
      <c r="L233" s="104">
        <v>0.324140000000001</v>
      </c>
      <c r="M233" s="110">
        <v>0.8218</v>
      </c>
      <c r="N233" s="48">
        <f t="shared" si="4"/>
        <v>0.6010600041</v>
      </c>
      <c r="O233" s="48">
        <f t="shared" si="1"/>
        <v>68.11725726</v>
      </c>
      <c r="P233" s="110">
        <v>6752.78376</v>
      </c>
      <c r="Q233" s="110">
        <v>5.061854</v>
      </c>
      <c r="R233" s="110">
        <v>0.6286</v>
      </c>
      <c r="S233" s="110">
        <v>0.5379</v>
      </c>
      <c r="T233" s="110">
        <v>0.6189</v>
      </c>
      <c r="U233" s="110">
        <v>0.6589</v>
      </c>
      <c r="V233" s="110">
        <v>0.5379</v>
      </c>
      <c r="W233" s="110">
        <v>0.6286</v>
      </c>
      <c r="X233" s="110">
        <v>0.5428</v>
      </c>
      <c r="Y233" s="110">
        <v>0.6235</v>
      </c>
      <c r="Z233" s="110">
        <v>0.6183</v>
      </c>
      <c r="AA233" s="110">
        <v>0.3406</v>
      </c>
      <c r="AB233" s="110">
        <v>0.3338</v>
      </c>
      <c r="AC233" s="110">
        <v>0.7171</v>
      </c>
      <c r="AD233" s="110">
        <v>0.2873</v>
      </c>
      <c r="AE233" s="110">
        <v>0.4103</v>
      </c>
      <c r="AF233" s="110">
        <v>0.5292</v>
      </c>
      <c r="AG233" s="110">
        <v>0.7408</v>
      </c>
      <c r="AH233" s="110">
        <v>0.7583</v>
      </c>
      <c r="AI233" s="110">
        <v>0.7494</v>
      </c>
      <c r="AJ233" s="110">
        <v>0.6849</v>
      </c>
      <c r="AK233" s="110">
        <v>0.3987</v>
      </c>
      <c r="AL233" s="110">
        <v>0.568</v>
      </c>
      <c r="AM233" s="110">
        <v>0.4686</v>
      </c>
      <c r="AN233" s="110">
        <v>0.6523</v>
      </c>
      <c r="AO233" s="58"/>
      <c r="AP233" s="58"/>
      <c r="AQ233" s="58"/>
    </row>
    <row r="234">
      <c r="A234" s="13"/>
      <c r="B234" s="13"/>
      <c r="C234" s="46">
        <v>3.0</v>
      </c>
      <c r="D234" s="110">
        <v>1.0</v>
      </c>
      <c r="E234" s="110">
        <v>1.0</v>
      </c>
      <c r="F234" s="110">
        <v>1.0</v>
      </c>
      <c r="G234" s="110">
        <v>0.4994</v>
      </c>
      <c r="H234" s="110">
        <v>0.9187</v>
      </c>
      <c r="I234" s="110">
        <v>0.744</v>
      </c>
      <c r="J234" s="110">
        <v>0.9186</v>
      </c>
      <c r="K234" s="92">
        <v>1.0</v>
      </c>
      <c r="L234" s="104">
        <v>0.324140000000001</v>
      </c>
      <c r="M234" s="110">
        <v>0.793</v>
      </c>
      <c r="N234" s="48">
        <f t="shared" si="4"/>
        <v>0.6579644305</v>
      </c>
      <c r="O234" s="48">
        <f t="shared" si="1"/>
        <v>70.89746791</v>
      </c>
      <c r="P234" s="110">
        <v>6752.78376</v>
      </c>
      <c r="Q234" s="110">
        <v>5.059917</v>
      </c>
      <c r="R234" s="110">
        <v>0.6908</v>
      </c>
      <c r="S234" s="110">
        <v>0.5971</v>
      </c>
      <c r="T234" s="110">
        <v>0.6685</v>
      </c>
      <c r="U234" s="110">
        <v>0.6908</v>
      </c>
      <c r="V234" s="110">
        <v>0.5971</v>
      </c>
      <c r="W234" s="110">
        <v>0.6908</v>
      </c>
      <c r="X234" s="110">
        <v>0.6176</v>
      </c>
      <c r="Y234" s="110">
        <v>0.6812</v>
      </c>
      <c r="Z234" s="110">
        <v>0.6693</v>
      </c>
      <c r="AA234" s="110">
        <v>0.4288</v>
      </c>
      <c r="AB234" s="110">
        <v>0.4228</v>
      </c>
      <c r="AC234" s="110">
        <v>0.7339</v>
      </c>
      <c r="AD234" s="110">
        <v>0.4199</v>
      </c>
      <c r="AE234" s="110">
        <v>0.5342</v>
      </c>
      <c r="AF234" s="110">
        <v>0.6368</v>
      </c>
      <c r="AG234" s="110">
        <v>0.7376</v>
      </c>
      <c r="AH234" s="110">
        <v>0.8343</v>
      </c>
      <c r="AI234" s="110">
        <v>0.7829</v>
      </c>
      <c r="AJ234" s="110">
        <v>0.6916</v>
      </c>
      <c r="AK234" s="110">
        <v>0.5341</v>
      </c>
      <c r="AL234" s="110">
        <v>0.5371</v>
      </c>
      <c r="AM234" s="110">
        <v>0.5356</v>
      </c>
      <c r="AN234" s="110">
        <v>0.6807</v>
      </c>
      <c r="AO234" s="58"/>
      <c r="AP234" s="58"/>
      <c r="AQ234" s="58"/>
    </row>
    <row r="235">
      <c r="A235" s="13"/>
      <c r="B235" s="16"/>
      <c r="C235" s="46">
        <v>4.0</v>
      </c>
      <c r="D235" s="110">
        <v>1.0</v>
      </c>
      <c r="E235" s="110">
        <v>1.0</v>
      </c>
      <c r="F235" s="110">
        <v>1.0</v>
      </c>
      <c r="G235" s="110">
        <v>0.4554</v>
      </c>
      <c r="H235" s="110">
        <v>0.9182</v>
      </c>
      <c r="I235" s="110">
        <v>0.7109</v>
      </c>
      <c r="J235" s="110">
        <v>0.9182</v>
      </c>
      <c r="K235" s="92">
        <v>1.0</v>
      </c>
      <c r="L235" s="104">
        <v>0.324140000000001</v>
      </c>
      <c r="M235" s="110">
        <v>0.7713</v>
      </c>
      <c r="N235" s="48">
        <f t="shared" si="4"/>
        <v>0.6848775388</v>
      </c>
      <c r="O235" s="48">
        <f t="shared" si="1"/>
        <v>71.82193252</v>
      </c>
      <c r="P235" s="110">
        <v>6752.78376</v>
      </c>
      <c r="Q235" s="110">
        <v>5.149526</v>
      </c>
      <c r="R235" s="110">
        <v>0.7193</v>
      </c>
      <c r="S235" s="110">
        <v>0.624</v>
      </c>
      <c r="T235" s="110">
        <v>0.7051</v>
      </c>
      <c r="U235" s="110">
        <v>0.7152</v>
      </c>
      <c r="V235" s="110">
        <v>0.624</v>
      </c>
      <c r="W235" s="110">
        <v>0.7193</v>
      </c>
      <c r="X235" s="110">
        <v>0.6517</v>
      </c>
      <c r="Y235" s="110">
        <v>0.7077</v>
      </c>
      <c r="Z235" s="110">
        <v>0.688</v>
      </c>
      <c r="AA235" s="110">
        <v>0.4761</v>
      </c>
      <c r="AB235" s="110">
        <v>0.4661</v>
      </c>
      <c r="AC235" s="110">
        <v>0.7348</v>
      </c>
      <c r="AD235" s="110">
        <v>0.4815</v>
      </c>
      <c r="AE235" s="110">
        <v>0.5818</v>
      </c>
      <c r="AF235" s="110">
        <v>0.6802</v>
      </c>
      <c r="AG235" s="110">
        <v>0.7365</v>
      </c>
      <c r="AH235" s="110">
        <v>0.8698</v>
      </c>
      <c r="AI235" s="110">
        <v>0.7976</v>
      </c>
      <c r="AJ235" s="110">
        <v>0.6934</v>
      </c>
      <c r="AK235" s="110">
        <v>0.6439</v>
      </c>
      <c r="AL235" s="110">
        <v>0.5207</v>
      </c>
      <c r="AM235" s="110">
        <v>0.5758</v>
      </c>
      <c r="AN235" s="110">
        <v>0.6905</v>
      </c>
      <c r="AO235" s="58"/>
      <c r="AP235" s="58"/>
      <c r="AQ235" s="58"/>
    </row>
    <row r="236">
      <c r="A236" s="13"/>
      <c r="B236" s="97" t="s">
        <v>26</v>
      </c>
      <c r="C236" s="46">
        <v>1.0</v>
      </c>
      <c r="D236" s="110">
        <v>1.0</v>
      </c>
      <c r="E236" s="110">
        <v>1.0</v>
      </c>
      <c r="F236" s="110">
        <v>1.0</v>
      </c>
      <c r="G236" s="110">
        <v>0.7738</v>
      </c>
      <c r="H236" s="110">
        <v>0.7717</v>
      </c>
      <c r="I236" s="110">
        <v>0.6508</v>
      </c>
      <c r="J236" s="110">
        <v>0.7716</v>
      </c>
      <c r="K236" s="92">
        <v>1.0</v>
      </c>
      <c r="L236" s="104">
        <v>0.324140000000001</v>
      </c>
      <c r="M236" s="110">
        <v>0.786</v>
      </c>
      <c r="N236" s="48">
        <f t="shared" si="4"/>
        <v>0.5234108482</v>
      </c>
      <c r="O236" s="48">
        <f t="shared" si="1"/>
        <v>61.58495808</v>
      </c>
      <c r="P236" s="110">
        <v>6988.619101</v>
      </c>
      <c r="Q236" s="110">
        <v>6988.619101</v>
      </c>
      <c r="R236" s="110">
        <v>0.5252</v>
      </c>
      <c r="S236" s="110">
        <v>0.461</v>
      </c>
      <c r="T236" s="110">
        <v>0.5723</v>
      </c>
      <c r="U236" s="110">
        <v>0.6302</v>
      </c>
      <c r="V236" s="110">
        <v>0.461</v>
      </c>
      <c r="W236" s="110">
        <v>0.5252</v>
      </c>
      <c r="X236" s="110">
        <v>0.4367</v>
      </c>
      <c r="Y236" s="110">
        <v>0.5279</v>
      </c>
      <c r="Z236" s="110">
        <v>0.5277</v>
      </c>
      <c r="AA236" s="110">
        <v>0.2308</v>
      </c>
      <c r="AB236" s="110">
        <v>0.2116</v>
      </c>
      <c r="AC236" s="110">
        <v>0.6751</v>
      </c>
      <c r="AD236" s="110">
        <v>0.1456</v>
      </c>
      <c r="AE236" s="110">
        <v>0.2396</v>
      </c>
      <c r="AF236" s="110">
        <v>0.3786</v>
      </c>
      <c r="AG236" s="110">
        <v>0.7439</v>
      </c>
      <c r="AH236" s="110">
        <v>0.6007</v>
      </c>
      <c r="AI236" s="110">
        <v>0.6647</v>
      </c>
      <c r="AJ236" s="110">
        <v>0.6497</v>
      </c>
      <c r="AK236" s="110">
        <v>0.2979</v>
      </c>
      <c r="AL236" s="110">
        <v>0.6365</v>
      </c>
      <c r="AM236" s="110">
        <v>0.4059</v>
      </c>
      <c r="AN236" s="110">
        <v>0.5973</v>
      </c>
      <c r="AO236" s="69"/>
      <c r="AP236" s="69"/>
      <c r="AQ236" s="69"/>
    </row>
    <row r="237">
      <c r="A237" s="13"/>
      <c r="B237" s="13"/>
      <c r="C237" s="46">
        <v>2.0</v>
      </c>
      <c r="D237" s="110">
        <v>1.0</v>
      </c>
      <c r="E237" s="110">
        <v>1.0</v>
      </c>
      <c r="F237" s="110">
        <v>1.0</v>
      </c>
      <c r="G237" s="110">
        <v>0.526</v>
      </c>
      <c r="H237" s="110">
        <v>0.9032</v>
      </c>
      <c r="I237" s="110">
        <v>0.8969</v>
      </c>
      <c r="J237" s="110">
        <v>0.9031</v>
      </c>
      <c r="K237" s="92">
        <v>1.0</v>
      </c>
      <c r="L237" s="104">
        <v>0.324140000000001</v>
      </c>
      <c r="M237" s="110">
        <v>0.8261</v>
      </c>
      <c r="N237" s="48">
        <f t="shared" si="4"/>
        <v>0.5741009449</v>
      </c>
      <c r="O237" s="48">
        <f t="shared" si="1"/>
        <v>66.4057989</v>
      </c>
      <c r="P237" s="110">
        <v>6988.619101</v>
      </c>
      <c r="Q237" s="110">
        <v>5.936947</v>
      </c>
      <c r="R237" s="110">
        <v>0.6141</v>
      </c>
      <c r="S237" s="110">
        <v>0.5044</v>
      </c>
      <c r="T237" s="110">
        <v>0.5713</v>
      </c>
      <c r="U237" s="110">
        <v>0.6195</v>
      </c>
      <c r="V237" s="110">
        <v>0.5044</v>
      </c>
      <c r="W237" s="110">
        <v>0.6141</v>
      </c>
      <c r="X237" s="110">
        <v>0.5182</v>
      </c>
      <c r="Y237" s="110">
        <v>0.6051</v>
      </c>
      <c r="Z237" s="110">
        <v>0.5896</v>
      </c>
      <c r="AA237" s="110">
        <v>0.2914</v>
      </c>
      <c r="AB237" s="110">
        <v>0.2873</v>
      </c>
      <c r="AC237" s="110">
        <v>0.6429</v>
      </c>
      <c r="AD237" s="110">
        <v>0.3167</v>
      </c>
      <c r="AE237" s="110">
        <v>0.4244</v>
      </c>
      <c r="AF237" s="110">
        <v>0.5515</v>
      </c>
      <c r="AG237" s="110">
        <v>0.7123</v>
      </c>
      <c r="AH237" s="110">
        <v>0.7843</v>
      </c>
      <c r="AI237" s="110">
        <v>0.7466</v>
      </c>
      <c r="AJ237" s="110">
        <v>0.6536</v>
      </c>
      <c r="AK237" s="110">
        <v>0.3589</v>
      </c>
      <c r="AL237" s="110">
        <v>0.412</v>
      </c>
      <c r="AM237" s="110">
        <v>0.3836</v>
      </c>
      <c r="AN237" s="110">
        <v>0.5685</v>
      </c>
      <c r="AO237" s="69"/>
      <c r="AP237" s="69"/>
      <c r="AQ237" s="69"/>
    </row>
    <row r="238">
      <c r="A238" s="13"/>
      <c r="B238" s="13"/>
      <c r="C238" s="46">
        <v>3.0</v>
      </c>
      <c r="D238" s="110">
        <v>1.0</v>
      </c>
      <c r="E238" s="110">
        <v>1.0</v>
      </c>
      <c r="F238" s="110">
        <v>1.0</v>
      </c>
      <c r="G238" s="110">
        <v>0.4427</v>
      </c>
      <c r="H238" s="110">
        <v>0.9147</v>
      </c>
      <c r="I238" s="110">
        <v>0.8127</v>
      </c>
      <c r="J238" s="110">
        <v>0.9146</v>
      </c>
      <c r="K238" s="92">
        <v>1.0</v>
      </c>
      <c r="L238" s="104">
        <v>0.324140000000001</v>
      </c>
      <c r="M238" s="110">
        <v>0.7865</v>
      </c>
      <c r="N238" s="48">
        <f t="shared" si="4"/>
        <v>0.6372127997</v>
      </c>
      <c r="O238" s="48">
        <f t="shared" si="1"/>
        <v>69.31866424</v>
      </c>
      <c r="P238" s="110">
        <v>6988.619101</v>
      </c>
      <c r="Q238" s="110">
        <v>5.993452</v>
      </c>
      <c r="R238" s="110">
        <v>0.6789</v>
      </c>
      <c r="S238" s="110">
        <v>0.5731</v>
      </c>
      <c r="T238" s="110">
        <v>0.6384</v>
      </c>
      <c r="U238" s="110">
        <v>0.6649</v>
      </c>
      <c r="V238" s="110">
        <v>0.5731</v>
      </c>
      <c r="W238" s="110">
        <v>0.6789</v>
      </c>
      <c r="X238" s="110">
        <v>0.5946</v>
      </c>
      <c r="Y238" s="110">
        <v>0.6627</v>
      </c>
      <c r="Z238" s="110">
        <v>0.6398</v>
      </c>
      <c r="AA238" s="110">
        <v>0.396</v>
      </c>
      <c r="AB238" s="110">
        <v>0.3863</v>
      </c>
      <c r="AC238" s="110">
        <v>0.6657</v>
      </c>
      <c r="AD238" s="110">
        <v>0.4836</v>
      </c>
      <c r="AE238" s="110">
        <v>0.5602</v>
      </c>
      <c r="AF238" s="110">
        <v>0.6761</v>
      </c>
      <c r="AG238" s="110">
        <v>0.7144</v>
      </c>
      <c r="AH238" s="110">
        <v>0.8539</v>
      </c>
      <c r="AI238" s="110">
        <v>0.7779</v>
      </c>
      <c r="AJ238" s="110">
        <v>0.6595</v>
      </c>
      <c r="AK238" s="110">
        <v>0.5352</v>
      </c>
      <c r="AL238" s="110">
        <v>0.382</v>
      </c>
      <c r="AM238" s="110">
        <v>0.4458</v>
      </c>
      <c r="AN238" s="110">
        <v>0.5872</v>
      </c>
      <c r="AO238" s="69"/>
      <c r="AP238" s="69"/>
      <c r="AQ238" s="69"/>
    </row>
    <row r="239">
      <c r="A239" s="13"/>
      <c r="B239" s="16"/>
      <c r="C239" s="46">
        <v>4.0</v>
      </c>
      <c r="D239" s="110">
        <v>1.0</v>
      </c>
      <c r="E239" s="110">
        <v>1.0</v>
      </c>
      <c r="F239" s="110">
        <v>1.0</v>
      </c>
      <c r="G239" s="110">
        <v>0.4018</v>
      </c>
      <c r="H239" s="110">
        <v>0.8819</v>
      </c>
      <c r="I239" s="110">
        <v>0.8127</v>
      </c>
      <c r="J239" s="110">
        <v>0.8819</v>
      </c>
      <c r="K239" s="92">
        <v>1.0</v>
      </c>
      <c r="L239" s="104">
        <v>0.324140000000001</v>
      </c>
      <c r="M239" s="110">
        <v>0.7602</v>
      </c>
      <c r="N239" s="48">
        <f t="shared" si="4"/>
        <v>0.6656425876</v>
      </c>
      <c r="O239" s="48">
        <f t="shared" si="1"/>
        <v>70.19655616</v>
      </c>
      <c r="P239" s="110">
        <v>6988.619101</v>
      </c>
      <c r="Q239" s="110">
        <v>5.865146</v>
      </c>
      <c r="R239" s="110">
        <v>0.708</v>
      </c>
      <c r="S239" s="110">
        <v>0.6025</v>
      </c>
      <c r="T239" s="110">
        <v>0.7005</v>
      </c>
      <c r="U239" s="110">
        <v>0.7072</v>
      </c>
      <c r="V239" s="110">
        <v>0.6025</v>
      </c>
      <c r="W239" s="110">
        <v>0.708</v>
      </c>
      <c r="X239" s="110">
        <v>0.6271</v>
      </c>
      <c r="Y239" s="110">
        <v>0.6879</v>
      </c>
      <c r="Z239" s="110">
        <v>0.6554</v>
      </c>
      <c r="AA239" s="110">
        <v>0.4513</v>
      </c>
      <c r="AB239" s="110">
        <v>0.4321</v>
      </c>
      <c r="AC239" s="110">
        <v>0.6655</v>
      </c>
      <c r="AD239" s="110">
        <v>0.5564</v>
      </c>
      <c r="AE239" s="110">
        <v>0.6061</v>
      </c>
      <c r="AF239" s="110">
        <v>0.7221</v>
      </c>
      <c r="AG239" s="110">
        <v>0.7149</v>
      </c>
      <c r="AH239" s="110">
        <v>0.8876</v>
      </c>
      <c r="AI239" s="110">
        <v>0.792</v>
      </c>
      <c r="AJ239" s="110">
        <v>0.6604</v>
      </c>
      <c r="AK239" s="110">
        <v>0.721</v>
      </c>
      <c r="AL239" s="110">
        <v>0.3635</v>
      </c>
      <c r="AM239" s="110">
        <v>0.4834</v>
      </c>
      <c r="AN239" s="110">
        <v>0.5904</v>
      </c>
      <c r="AO239" s="69"/>
      <c r="AP239" s="69"/>
      <c r="AQ239" s="69"/>
    </row>
    <row r="240">
      <c r="A240" s="13"/>
      <c r="B240" s="97" t="s">
        <v>27</v>
      </c>
      <c r="C240" s="46">
        <v>1.0</v>
      </c>
      <c r="D240" s="110">
        <v>1.0</v>
      </c>
      <c r="E240" s="110">
        <v>1.0</v>
      </c>
      <c r="F240" s="110">
        <v>1.0</v>
      </c>
      <c r="G240" s="110">
        <v>0.7446</v>
      </c>
      <c r="H240" s="110">
        <v>0.7382</v>
      </c>
      <c r="I240" s="110">
        <v>0.8662</v>
      </c>
      <c r="J240" s="110">
        <v>0.7381</v>
      </c>
      <c r="K240" s="92">
        <v>1.0</v>
      </c>
      <c r="L240" s="104">
        <v>0.324140000000001</v>
      </c>
      <c r="M240" s="110">
        <v>0.8113</v>
      </c>
      <c r="N240" s="48">
        <f t="shared" si="4"/>
        <v>0.4828773361</v>
      </c>
      <c r="O240" s="48">
        <f t="shared" si="1"/>
        <v>59.42575167</v>
      </c>
      <c r="P240" s="110">
        <v>7648.612582</v>
      </c>
      <c r="Q240" s="110">
        <v>5.252817</v>
      </c>
      <c r="R240" s="110">
        <v>0.5017</v>
      </c>
      <c r="S240" s="110">
        <v>0.4194</v>
      </c>
      <c r="T240" s="110">
        <v>0.606</v>
      </c>
      <c r="U240" s="110">
        <v>0.6331</v>
      </c>
      <c r="V240" s="110">
        <v>0.4194</v>
      </c>
      <c r="W240" s="110">
        <v>0.5017</v>
      </c>
      <c r="X240" s="110">
        <v>0.3824</v>
      </c>
      <c r="Y240" s="110">
        <v>0.4915</v>
      </c>
      <c r="Z240" s="110">
        <v>0.4468</v>
      </c>
      <c r="AA240" s="110">
        <v>0.172</v>
      </c>
      <c r="AB240" s="110">
        <v>0.157</v>
      </c>
      <c r="AC240" s="110">
        <v>0.8334</v>
      </c>
      <c r="AD240" s="110">
        <v>0.0635</v>
      </c>
      <c r="AE240" s="110">
        <v>0.118</v>
      </c>
      <c r="AF240" s="110">
        <v>0.2516</v>
      </c>
      <c r="AG240" s="110">
        <v>0.7074</v>
      </c>
      <c r="AH240" s="110">
        <v>0.604</v>
      </c>
      <c r="AI240" s="110">
        <v>0.6516</v>
      </c>
      <c r="AJ240" s="110">
        <v>0.6222</v>
      </c>
      <c r="AK240" s="110">
        <v>0.2774</v>
      </c>
      <c r="AL240" s="110">
        <v>0.5906</v>
      </c>
      <c r="AM240" s="110">
        <v>0.3774</v>
      </c>
      <c r="AN240" s="110">
        <v>0.5695</v>
      </c>
      <c r="AO240" s="69"/>
      <c r="AP240" s="69"/>
      <c r="AQ240" s="69"/>
    </row>
    <row r="241">
      <c r="A241" s="13"/>
      <c r="B241" s="13"/>
      <c r="C241" s="46">
        <v>2.0</v>
      </c>
      <c r="D241" s="110">
        <v>1.0</v>
      </c>
      <c r="E241" s="110">
        <v>1.0</v>
      </c>
      <c r="F241" s="110">
        <v>1.0</v>
      </c>
      <c r="G241" s="110">
        <v>0.422</v>
      </c>
      <c r="H241" s="110">
        <v>0.8342</v>
      </c>
      <c r="I241" s="110">
        <v>0.6246</v>
      </c>
      <c r="J241" s="110">
        <v>0.8341</v>
      </c>
      <c r="K241" s="92">
        <v>1.0</v>
      </c>
      <c r="L241" s="104">
        <v>0.324140000000001</v>
      </c>
      <c r="M241" s="110">
        <v>0.7123</v>
      </c>
      <c r="N241" s="48">
        <f t="shared" si="4"/>
        <v>0.5101723989</v>
      </c>
      <c r="O241" s="48">
        <f t="shared" si="1"/>
        <v>58.30359754</v>
      </c>
      <c r="P241" s="110">
        <v>7648.612582</v>
      </c>
      <c r="Q241" s="110">
        <v>5.322006</v>
      </c>
      <c r="R241" s="110">
        <v>0.5828</v>
      </c>
      <c r="S241" s="110">
        <v>0.4329</v>
      </c>
      <c r="T241" s="110">
        <v>0.5763</v>
      </c>
      <c r="U241" s="110">
        <v>0.6017</v>
      </c>
      <c r="V241" s="110">
        <v>0.4329</v>
      </c>
      <c r="W241" s="110">
        <v>0.5828</v>
      </c>
      <c r="X241" s="110">
        <v>0.4397</v>
      </c>
      <c r="Y241" s="110">
        <v>0.5535</v>
      </c>
      <c r="Z241" s="110">
        <v>0.4921</v>
      </c>
      <c r="AA241" s="110">
        <v>0.1977</v>
      </c>
      <c r="AB241" s="110">
        <v>0.1886</v>
      </c>
      <c r="AC241" s="110">
        <v>0.7671</v>
      </c>
      <c r="AD241" s="110">
        <v>0.1736</v>
      </c>
      <c r="AE241" s="110">
        <v>0.2831</v>
      </c>
      <c r="AF241" s="110">
        <v>0.4141</v>
      </c>
      <c r="AG241" s="110">
        <v>0.6688</v>
      </c>
      <c r="AH241" s="110">
        <v>0.815</v>
      </c>
      <c r="AI241" s="110">
        <v>0.7347</v>
      </c>
      <c r="AJ241" s="110">
        <v>0.5849</v>
      </c>
      <c r="AK241" s="110">
        <v>0.2929</v>
      </c>
      <c r="AL241" s="110">
        <v>0.31</v>
      </c>
      <c r="AM241" s="110">
        <v>0.3012</v>
      </c>
      <c r="AN241" s="110">
        <v>0.492</v>
      </c>
      <c r="AO241" s="58"/>
      <c r="AP241" s="58"/>
      <c r="AQ241" s="58"/>
    </row>
    <row r="242">
      <c r="A242" s="13"/>
      <c r="B242" s="13"/>
      <c r="C242" s="46">
        <v>3.0</v>
      </c>
      <c r="D242" s="110">
        <v>1.0</v>
      </c>
      <c r="E242" s="110">
        <v>1.0</v>
      </c>
      <c r="F242" s="110">
        <v>1.0</v>
      </c>
      <c r="G242" s="110">
        <v>0.3096</v>
      </c>
      <c r="H242" s="110">
        <v>0.8377</v>
      </c>
      <c r="I242" s="110">
        <v>0.5897</v>
      </c>
      <c r="J242" s="110">
        <v>0.8377</v>
      </c>
      <c r="K242" s="92">
        <v>1.0</v>
      </c>
      <c r="L242" s="104">
        <v>0.324140000000001</v>
      </c>
      <c r="M242" s="110">
        <v>0.663</v>
      </c>
      <c r="N242" s="48">
        <f t="shared" si="4"/>
        <v>0.5697797384</v>
      </c>
      <c r="O242" s="48">
        <f t="shared" si="1"/>
        <v>60.53821512</v>
      </c>
      <c r="P242" s="110">
        <v>7648.612582</v>
      </c>
      <c r="Q242" s="111">
        <v>5.232949</v>
      </c>
      <c r="R242" s="110">
        <v>0.6477</v>
      </c>
      <c r="S242" s="110">
        <v>0.491</v>
      </c>
      <c r="T242" s="110">
        <v>0.6344</v>
      </c>
      <c r="U242" s="110">
        <v>0.6408</v>
      </c>
      <c r="V242" s="110">
        <v>0.491</v>
      </c>
      <c r="W242" s="110">
        <v>0.6477</v>
      </c>
      <c r="X242" s="110">
        <v>0.514</v>
      </c>
      <c r="Y242" s="110">
        <v>0.6095</v>
      </c>
      <c r="Z242" s="110">
        <v>0.5353</v>
      </c>
      <c r="AA242" s="110">
        <v>0.3066</v>
      </c>
      <c r="AB242" s="110">
        <v>0.2785</v>
      </c>
      <c r="AC242" s="110">
        <v>0.7738</v>
      </c>
      <c r="AD242" s="110">
        <v>0.297</v>
      </c>
      <c r="AE242" s="110">
        <v>0.4293</v>
      </c>
      <c r="AF242" s="110">
        <v>0.5397</v>
      </c>
      <c r="AG242" s="110">
        <v>0.6685</v>
      </c>
      <c r="AH242" s="110">
        <v>0.8996</v>
      </c>
      <c r="AI242" s="110">
        <v>0.767</v>
      </c>
      <c r="AJ242" s="110">
        <v>0.568</v>
      </c>
      <c r="AK242" s="110">
        <v>0.4611</v>
      </c>
      <c r="AL242" s="110">
        <v>0.2765</v>
      </c>
      <c r="AM242" s="110">
        <v>0.3457</v>
      </c>
      <c r="AN242" s="110">
        <v>0.5003</v>
      </c>
      <c r="AO242" s="58"/>
      <c r="AP242" s="58"/>
      <c r="AQ242" s="58"/>
    </row>
    <row r="243">
      <c r="A243" s="16"/>
      <c r="B243" s="16"/>
      <c r="C243" s="46">
        <v>4.0</v>
      </c>
      <c r="D243" s="110">
        <v>1.0</v>
      </c>
      <c r="E243" s="110">
        <v>1.0</v>
      </c>
      <c r="F243" s="110">
        <v>1.0</v>
      </c>
      <c r="G243" s="110">
        <v>0.2575</v>
      </c>
      <c r="H243" s="110">
        <v>0.8113</v>
      </c>
      <c r="I243" s="110">
        <v>0.577</v>
      </c>
      <c r="J243" s="110">
        <v>0.8112</v>
      </c>
      <c r="K243" s="92">
        <v>1.0</v>
      </c>
      <c r="L243" s="104">
        <v>0.324140000000001</v>
      </c>
      <c r="M243" s="110">
        <v>0.6281</v>
      </c>
      <c r="N243" s="48">
        <f t="shared" si="4"/>
        <v>0.5989814124</v>
      </c>
      <c r="O243" s="48">
        <f t="shared" si="1"/>
        <v>61.04632503</v>
      </c>
      <c r="P243" s="110">
        <v>7648.612582</v>
      </c>
      <c r="Q243" s="110">
        <v>5.623129</v>
      </c>
      <c r="R243" s="110">
        <v>0.6778</v>
      </c>
      <c r="S243" s="110">
        <v>0.5177</v>
      </c>
      <c r="T243" s="110">
        <v>0.7037</v>
      </c>
      <c r="U243" s="110">
        <v>0.6885</v>
      </c>
      <c r="V243" s="110">
        <v>0.5177</v>
      </c>
      <c r="W243" s="110">
        <v>0.6778</v>
      </c>
      <c r="X243" s="110">
        <v>0.5468</v>
      </c>
      <c r="Y243" s="110">
        <v>0.6346</v>
      </c>
      <c r="Z243" s="110">
        <v>0.5472</v>
      </c>
      <c r="AA243" s="110">
        <v>0.3742</v>
      </c>
      <c r="AB243" s="110">
        <v>0.3236</v>
      </c>
      <c r="AC243" s="110">
        <v>0.7621</v>
      </c>
      <c r="AD243" s="110">
        <v>0.3562</v>
      </c>
      <c r="AE243" s="110">
        <v>0.4854</v>
      </c>
      <c r="AF243" s="110">
        <v>0.5893</v>
      </c>
      <c r="AG243" s="110">
        <v>0.6689</v>
      </c>
      <c r="AH243" s="110">
        <v>0.9395</v>
      </c>
      <c r="AI243" s="110">
        <v>0.7814</v>
      </c>
      <c r="AJ243" s="110">
        <v>0.558</v>
      </c>
      <c r="AK243" s="110">
        <v>0.68</v>
      </c>
      <c r="AL243" s="110">
        <v>0.2575</v>
      </c>
      <c r="AM243" s="110">
        <v>0.3736</v>
      </c>
      <c r="AN243" s="110">
        <v>0.4984</v>
      </c>
      <c r="AO243" s="58"/>
      <c r="AP243" s="58"/>
      <c r="AQ243" s="58"/>
    </row>
    <row r="244">
      <c r="A244" s="85" t="s">
        <v>107</v>
      </c>
      <c r="B244" s="109" t="s">
        <v>22</v>
      </c>
      <c r="C244" s="54">
        <v>1.0</v>
      </c>
      <c r="D244" s="112">
        <v>1.0</v>
      </c>
      <c r="E244" s="112">
        <v>1.0</v>
      </c>
      <c r="F244" s="112">
        <v>1.0</v>
      </c>
      <c r="G244" s="112">
        <v>0.7888</v>
      </c>
      <c r="H244" s="112">
        <v>0.7786</v>
      </c>
      <c r="I244" s="112">
        <v>0.0</v>
      </c>
      <c r="J244" s="112">
        <v>0.7788</v>
      </c>
      <c r="K244" s="100">
        <v>1.0</v>
      </c>
      <c r="L244" s="99">
        <v>0.324140000000001</v>
      </c>
      <c r="M244" s="112">
        <v>0.027</v>
      </c>
      <c r="N244" s="57">
        <f t="shared" si="4"/>
        <v>0.765367105</v>
      </c>
      <c r="O244" s="57">
        <f t="shared" si="1"/>
        <v>20.08479398</v>
      </c>
      <c r="P244" s="112">
        <v>33.126443</v>
      </c>
      <c r="Q244" s="112">
        <v>1.519747</v>
      </c>
      <c r="R244" s="112">
        <v>0.7096</v>
      </c>
      <c r="S244" s="112">
        <v>0.7649</v>
      </c>
      <c r="T244" s="112">
        <v>0.7958</v>
      </c>
      <c r="U244" s="112">
        <v>0.8875</v>
      </c>
      <c r="V244" s="112">
        <v>0.7649</v>
      </c>
      <c r="W244" s="112">
        <v>0.7096</v>
      </c>
      <c r="X244" s="112">
        <v>0.7101</v>
      </c>
      <c r="Y244" s="112">
        <v>0.7423</v>
      </c>
      <c r="Z244" s="112">
        <v>0.8039</v>
      </c>
      <c r="AA244" s="112">
        <v>0.6223</v>
      </c>
      <c r="AB244" s="112">
        <v>0.5577</v>
      </c>
      <c r="AC244" s="112">
        <v>0.3875</v>
      </c>
      <c r="AD244" s="112">
        <v>1.0</v>
      </c>
      <c r="AE244" s="112">
        <v>0.5586</v>
      </c>
      <c r="AF244" s="112">
        <v>0.8026</v>
      </c>
      <c r="AG244" s="112">
        <v>1.0</v>
      </c>
      <c r="AH244" s="112">
        <v>0.6404</v>
      </c>
      <c r="AI244" s="112">
        <v>0.7808</v>
      </c>
      <c r="AJ244" s="112">
        <v>0.8002</v>
      </c>
      <c r="AK244" s="112">
        <v>1.0</v>
      </c>
      <c r="AL244" s="112">
        <v>0.6543</v>
      </c>
      <c r="AM244" s="112">
        <v>0.791</v>
      </c>
      <c r="AN244" s="112">
        <v>0.8089</v>
      </c>
      <c r="AO244" s="64"/>
      <c r="AP244" s="64"/>
      <c r="AQ244" s="64"/>
    </row>
    <row r="245">
      <c r="A245" s="13"/>
      <c r="B245" s="13"/>
      <c r="C245" s="54">
        <v>2.0</v>
      </c>
      <c r="D245" s="112">
        <v>1.0</v>
      </c>
      <c r="E245" s="112">
        <v>1.0</v>
      </c>
      <c r="F245" s="112">
        <v>1.0</v>
      </c>
      <c r="G245" s="112">
        <v>0.7377</v>
      </c>
      <c r="H245" s="112">
        <v>0.9202</v>
      </c>
      <c r="I245" s="112">
        <v>0.0</v>
      </c>
      <c r="J245" s="112">
        <v>0.9204</v>
      </c>
      <c r="K245" s="100">
        <v>1.0</v>
      </c>
      <c r="L245" s="99">
        <v>0.324140000000001</v>
      </c>
      <c r="M245" s="112">
        <v>0.026</v>
      </c>
      <c r="N245" s="57">
        <f t="shared" si="4"/>
        <v>0.9212047765</v>
      </c>
      <c r="O245" s="57">
        <f t="shared" si="1"/>
        <v>22.1107283</v>
      </c>
      <c r="P245" s="112">
        <v>33.126443</v>
      </c>
      <c r="Q245" s="112">
        <v>1.552902</v>
      </c>
      <c r="R245" s="112">
        <v>0.9065</v>
      </c>
      <c r="S245" s="112">
        <v>0.9363</v>
      </c>
      <c r="T245" s="112">
        <v>0.8876</v>
      </c>
      <c r="U245" s="112">
        <v>0.938</v>
      </c>
      <c r="V245" s="112">
        <v>0.9363</v>
      </c>
      <c r="W245" s="112">
        <v>0.9065</v>
      </c>
      <c r="X245" s="112">
        <v>0.8986</v>
      </c>
      <c r="Y245" s="112">
        <v>0.9128</v>
      </c>
      <c r="Z245" s="112">
        <v>0.9473</v>
      </c>
      <c r="AA245" s="112">
        <v>0.8563</v>
      </c>
      <c r="AB245" s="112">
        <v>0.8444</v>
      </c>
      <c r="AC245" s="112">
        <v>0.6628</v>
      </c>
      <c r="AD245" s="112">
        <v>1.0</v>
      </c>
      <c r="AE245" s="112">
        <v>0.7972</v>
      </c>
      <c r="AF245" s="112">
        <v>0.941</v>
      </c>
      <c r="AG245" s="112">
        <v>1.0</v>
      </c>
      <c r="AH245" s="112">
        <v>0.8618</v>
      </c>
      <c r="AI245" s="112">
        <v>0.9258</v>
      </c>
      <c r="AJ245" s="112">
        <v>0.9283</v>
      </c>
      <c r="AK245" s="112">
        <v>1.0</v>
      </c>
      <c r="AL245" s="112">
        <v>0.9472</v>
      </c>
      <c r="AM245" s="112">
        <v>0.9729</v>
      </c>
      <c r="AN245" s="112">
        <v>0.9732</v>
      </c>
      <c r="AO245" s="64"/>
      <c r="AP245" s="64"/>
      <c r="AQ245" s="64"/>
    </row>
    <row r="246">
      <c r="A246" s="13"/>
      <c r="B246" s="13"/>
      <c r="C246" s="54">
        <v>3.0</v>
      </c>
      <c r="D246" s="112">
        <v>1.0</v>
      </c>
      <c r="E246" s="112">
        <v>1.0</v>
      </c>
      <c r="F246" s="112">
        <v>1.0</v>
      </c>
      <c r="G246" s="112">
        <v>0.6566</v>
      </c>
      <c r="H246" s="112">
        <v>0.9716</v>
      </c>
      <c r="I246" s="112">
        <v>0.0</v>
      </c>
      <c r="J246" s="112">
        <v>0.9718</v>
      </c>
      <c r="K246" s="100">
        <v>1.0</v>
      </c>
      <c r="L246" s="99">
        <v>0.324140000000001</v>
      </c>
      <c r="M246" s="112">
        <v>0.0249</v>
      </c>
      <c r="N246" s="57">
        <f t="shared" si="4"/>
        <v>0.9715578811</v>
      </c>
      <c r="O246" s="57">
        <f t="shared" si="1"/>
        <v>22.43680153</v>
      </c>
      <c r="P246" s="112">
        <v>33.126443</v>
      </c>
      <c r="Q246" s="112">
        <v>1.571675</v>
      </c>
      <c r="R246" s="112">
        <v>0.9682</v>
      </c>
      <c r="S246" s="112">
        <v>0.9781</v>
      </c>
      <c r="T246" s="112">
        <v>0.9508</v>
      </c>
      <c r="U246" s="112">
        <v>0.9729</v>
      </c>
      <c r="V246" s="112">
        <v>0.9781</v>
      </c>
      <c r="W246" s="112">
        <v>0.9682</v>
      </c>
      <c r="X246" s="112">
        <v>0.9623</v>
      </c>
      <c r="Y246" s="112">
        <v>0.9691</v>
      </c>
      <c r="Z246" s="112">
        <v>0.9824</v>
      </c>
      <c r="AA246" s="112">
        <v>0.9467</v>
      </c>
      <c r="AB246" s="112">
        <v>0.9451</v>
      </c>
      <c r="AC246" s="112">
        <v>0.8526</v>
      </c>
      <c r="AD246" s="112">
        <v>1.0</v>
      </c>
      <c r="AE246" s="112">
        <v>0.9204</v>
      </c>
      <c r="AF246" s="112">
        <v>0.9803</v>
      </c>
      <c r="AG246" s="112">
        <v>1.0</v>
      </c>
      <c r="AH246" s="112">
        <v>0.9534</v>
      </c>
      <c r="AI246" s="112">
        <v>0.9762</v>
      </c>
      <c r="AJ246" s="112">
        <v>0.9764</v>
      </c>
      <c r="AK246" s="112">
        <v>1.0</v>
      </c>
      <c r="AL246" s="112">
        <v>0.981</v>
      </c>
      <c r="AM246" s="112">
        <v>0.9904</v>
      </c>
      <c r="AN246" s="112">
        <v>0.9904</v>
      </c>
      <c r="AO246" s="64"/>
      <c r="AP246" s="64"/>
      <c r="AQ246" s="64"/>
    </row>
    <row r="247">
      <c r="A247" s="13"/>
      <c r="B247" s="16"/>
      <c r="C247" s="54">
        <v>4.0</v>
      </c>
      <c r="D247" s="112">
        <v>1.0</v>
      </c>
      <c r="E247" s="112">
        <v>1.0</v>
      </c>
      <c r="F247" s="112">
        <v>1.0</v>
      </c>
      <c r="G247" s="112">
        <v>0.7377</v>
      </c>
      <c r="H247" s="112">
        <v>0.9202</v>
      </c>
      <c r="I247" s="112">
        <v>0.0</v>
      </c>
      <c r="J247" s="112">
        <v>0.9204</v>
      </c>
      <c r="K247" s="100">
        <v>1.0</v>
      </c>
      <c r="L247" s="99">
        <v>0.324140000000001</v>
      </c>
      <c r="M247" s="112">
        <v>0.026</v>
      </c>
      <c r="N247" s="57">
        <f t="shared" si="4"/>
        <v>0.9212047765</v>
      </c>
      <c r="O247" s="57">
        <f t="shared" si="1"/>
        <v>22.1107283</v>
      </c>
      <c r="P247" s="112">
        <v>33.126443</v>
      </c>
      <c r="Q247" s="112">
        <v>1.552902</v>
      </c>
      <c r="R247" s="112">
        <v>0.9065</v>
      </c>
      <c r="S247" s="112">
        <v>0.9363</v>
      </c>
      <c r="T247" s="112">
        <v>0.8876</v>
      </c>
      <c r="U247" s="112">
        <v>0.938</v>
      </c>
      <c r="V247" s="112">
        <v>0.9363</v>
      </c>
      <c r="W247" s="112">
        <v>0.9065</v>
      </c>
      <c r="X247" s="112">
        <v>0.8986</v>
      </c>
      <c r="Y247" s="112">
        <v>0.9128</v>
      </c>
      <c r="Z247" s="112">
        <v>0.9473</v>
      </c>
      <c r="AA247" s="112">
        <v>0.8563</v>
      </c>
      <c r="AB247" s="112">
        <v>0.8444</v>
      </c>
      <c r="AC247" s="112">
        <v>0.6628</v>
      </c>
      <c r="AD247" s="112">
        <v>1.0</v>
      </c>
      <c r="AE247" s="112">
        <v>0.7972</v>
      </c>
      <c r="AF247" s="112">
        <v>0.941</v>
      </c>
      <c r="AG247" s="112">
        <v>1.0</v>
      </c>
      <c r="AH247" s="112">
        <v>0.8618</v>
      </c>
      <c r="AI247" s="112">
        <v>0.9258</v>
      </c>
      <c r="AJ247" s="112">
        <v>0.9283</v>
      </c>
      <c r="AK247" s="112">
        <v>1.0</v>
      </c>
      <c r="AL247" s="112">
        <v>0.9472</v>
      </c>
      <c r="AM247" s="112">
        <v>0.9729</v>
      </c>
      <c r="AN247" s="112">
        <v>0.9732</v>
      </c>
      <c r="AO247" s="64"/>
      <c r="AP247" s="64"/>
      <c r="AQ247" s="64"/>
    </row>
    <row r="248">
      <c r="A248" s="13"/>
      <c r="B248" s="91" t="s">
        <v>23</v>
      </c>
      <c r="C248" s="54">
        <v>1.0</v>
      </c>
      <c r="D248" s="112">
        <v>1.0</v>
      </c>
      <c r="E248" s="112">
        <v>1.0</v>
      </c>
      <c r="F248" s="112">
        <v>1.0</v>
      </c>
      <c r="G248" s="112">
        <v>0.5293</v>
      </c>
      <c r="H248" s="112">
        <v>0.9288</v>
      </c>
      <c r="I248" s="112">
        <v>0.0242</v>
      </c>
      <c r="J248" s="112">
        <v>0.9289</v>
      </c>
      <c r="K248" s="100">
        <v>1.0</v>
      </c>
      <c r="L248" s="99">
        <v>0.324140000000001</v>
      </c>
      <c r="M248" s="112">
        <v>0.4061</v>
      </c>
      <c r="N248" s="57">
        <f t="shared" si="4"/>
        <v>0.7527296827</v>
      </c>
      <c r="O248" s="57">
        <f t="shared" si="1"/>
        <v>58.80802861</v>
      </c>
      <c r="P248" s="112">
        <v>47.986592</v>
      </c>
      <c r="Q248" s="112">
        <v>0.64487</v>
      </c>
      <c r="R248" s="112">
        <v>0.7712</v>
      </c>
      <c r="S248" s="112">
        <v>0.7044</v>
      </c>
      <c r="T248" s="112">
        <v>0.7738</v>
      </c>
      <c r="U248" s="112">
        <v>0.7928</v>
      </c>
      <c r="V248" s="112">
        <v>0.7044</v>
      </c>
      <c r="W248" s="112">
        <v>0.7712</v>
      </c>
      <c r="X248" s="112">
        <v>0.7259</v>
      </c>
      <c r="Y248" s="112">
        <v>0.7724</v>
      </c>
      <c r="Z248" s="112">
        <v>0.7648</v>
      </c>
      <c r="AA248" s="112">
        <v>0.5877</v>
      </c>
      <c r="AB248" s="112">
        <v>0.5818</v>
      </c>
      <c r="AC248" s="112">
        <v>0.5248</v>
      </c>
      <c r="AD248" s="112">
        <v>0.5845</v>
      </c>
      <c r="AE248" s="112">
        <v>0.5531</v>
      </c>
      <c r="AF248" s="112">
        <v>0.7176</v>
      </c>
      <c r="AG248" s="112">
        <v>0.7966</v>
      </c>
      <c r="AH248" s="112">
        <v>0.8742</v>
      </c>
      <c r="AI248" s="112">
        <v>0.8336</v>
      </c>
      <c r="AJ248" s="112">
        <v>0.7706</v>
      </c>
      <c r="AK248" s="112">
        <v>1.0</v>
      </c>
      <c r="AL248" s="112">
        <v>0.6543</v>
      </c>
      <c r="AM248" s="112">
        <v>0.791</v>
      </c>
      <c r="AN248" s="112">
        <v>0.8089</v>
      </c>
      <c r="AO248" s="49"/>
      <c r="AP248" s="49"/>
      <c r="AQ248" s="49"/>
    </row>
    <row r="249">
      <c r="A249" s="13"/>
      <c r="B249" s="13"/>
      <c r="C249" s="54">
        <v>2.0</v>
      </c>
      <c r="D249" s="112">
        <v>1.0</v>
      </c>
      <c r="E249" s="112">
        <v>1.0</v>
      </c>
      <c r="F249" s="112">
        <v>1.0</v>
      </c>
      <c r="G249" s="112">
        <v>0.5943</v>
      </c>
      <c r="H249" s="112">
        <v>0.9888</v>
      </c>
      <c r="I249" s="112">
        <v>0.0</v>
      </c>
      <c r="J249" s="112">
        <v>0.9888</v>
      </c>
      <c r="K249" s="100">
        <v>1.0</v>
      </c>
      <c r="L249" s="99">
        <v>0.324140000000001</v>
      </c>
      <c r="M249" s="112">
        <v>0.009</v>
      </c>
      <c r="N249" s="57">
        <f t="shared" si="4"/>
        <v>0.9075388009</v>
      </c>
      <c r="O249" s="57">
        <f t="shared" si="1"/>
        <v>14.33560826</v>
      </c>
      <c r="P249" s="112">
        <v>47.986592</v>
      </c>
      <c r="Q249" s="112">
        <v>0.754449</v>
      </c>
      <c r="R249" s="112">
        <v>0.9128</v>
      </c>
      <c r="S249" s="112">
        <v>0.8897</v>
      </c>
      <c r="T249" s="112">
        <v>0.903</v>
      </c>
      <c r="U249" s="112">
        <v>0.9135</v>
      </c>
      <c r="V249" s="112">
        <v>0.8897</v>
      </c>
      <c r="W249" s="112">
        <v>0.9128</v>
      </c>
      <c r="X249" s="112">
        <v>0.896</v>
      </c>
      <c r="Y249" s="112">
        <v>0.9129</v>
      </c>
      <c r="Z249" s="112">
        <v>0.9143</v>
      </c>
      <c r="AA249" s="112">
        <v>0.8451</v>
      </c>
      <c r="AB249" s="112">
        <v>0.8448</v>
      </c>
      <c r="AC249" s="112">
        <v>0.7903</v>
      </c>
      <c r="AD249" s="112">
        <v>0.7812</v>
      </c>
      <c r="AE249" s="112">
        <v>0.7857</v>
      </c>
      <c r="AF249" s="112">
        <v>0.863</v>
      </c>
      <c r="AG249" s="112">
        <v>0.9186</v>
      </c>
      <c r="AH249" s="112">
        <v>0.9405</v>
      </c>
      <c r="AI249" s="112">
        <v>0.9294</v>
      </c>
      <c r="AJ249" s="112">
        <v>0.9099</v>
      </c>
      <c r="AK249" s="112">
        <v>1.0</v>
      </c>
      <c r="AL249" s="112">
        <v>0.9472</v>
      </c>
      <c r="AM249" s="112">
        <v>0.9729</v>
      </c>
      <c r="AN249" s="112">
        <v>0.9732</v>
      </c>
      <c r="AO249" s="49"/>
      <c r="AP249" s="49"/>
      <c r="AQ249" s="49"/>
    </row>
    <row r="250">
      <c r="A250" s="13"/>
      <c r="B250" s="13"/>
      <c r="C250" s="54">
        <v>3.0</v>
      </c>
      <c r="D250" s="112">
        <v>1.0</v>
      </c>
      <c r="E250" s="112">
        <v>1.0</v>
      </c>
      <c r="F250" s="112">
        <v>1.0</v>
      </c>
      <c r="G250" s="112">
        <v>0.6111</v>
      </c>
      <c r="H250" s="112">
        <v>0.9963</v>
      </c>
      <c r="I250" s="112">
        <v>0.0</v>
      </c>
      <c r="J250" s="112">
        <v>0.9964</v>
      </c>
      <c r="K250" s="100">
        <v>1.0</v>
      </c>
      <c r="L250" s="99">
        <v>0.324140000000001</v>
      </c>
      <c r="M250" s="112">
        <v>0.009</v>
      </c>
      <c r="N250" s="57">
        <f t="shared" si="4"/>
        <v>0.9707143598</v>
      </c>
      <c r="O250" s="57">
        <f t="shared" si="1"/>
        <v>14.92629004</v>
      </c>
      <c r="P250" s="112">
        <v>47.986592</v>
      </c>
      <c r="Q250" s="112">
        <v>0.787541</v>
      </c>
      <c r="R250" s="112">
        <v>0.972</v>
      </c>
      <c r="S250" s="112">
        <v>0.9656</v>
      </c>
      <c r="T250" s="112">
        <v>0.968</v>
      </c>
      <c r="U250" s="112">
        <v>0.9721</v>
      </c>
      <c r="V250" s="112">
        <v>0.9656</v>
      </c>
      <c r="W250" s="112">
        <v>0.972</v>
      </c>
      <c r="X250" s="112">
        <v>0.9668</v>
      </c>
      <c r="Y250" s="112">
        <v>0.972</v>
      </c>
      <c r="Z250" s="112">
        <v>0.9739</v>
      </c>
      <c r="AA250" s="112">
        <v>0.9505</v>
      </c>
      <c r="AB250" s="112">
        <v>0.9505</v>
      </c>
      <c r="AC250" s="112">
        <v>0.9291</v>
      </c>
      <c r="AD250" s="112">
        <v>0.9363</v>
      </c>
      <c r="AE250" s="112">
        <v>0.9327</v>
      </c>
      <c r="AF250" s="112">
        <v>0.9598</v>
      </c>
      <c r="AG250" s="112">
        <v>0.9748</v>
      </c>
      <c r="AH250" s="112">
        <v>0.9796</v>
      </c>
      <c r="AI250" s="112">
        <v>0.9772</v>
      </c>
      <c r="AJ250" s="112">
        <v>0.9716</v>
      </c>
      <c r="AK250" s="112">
        <v>1.0</v>
      </c>
      <c r="AL250" s="112">
        <v>0.981</v>
      </c>
      <c r="AM250" s="112">
        <v>0.9904</v>
      </c>
      <c r="AN250" s="112">
        <v>0.9904</v>
      </c>
      <c r="AO250" s="49"/>
      <c r="AP250" s="49"/>
      <c r="AQ250" s="49"/>
    </row>
    <row r="251">
      <c r="A251" s="13"/>
      <c r="B251" s="16"/>
      <c r="C251" s="54">
        <v>4.0</v>
      </c>
      <c r="D251" s="112">
        <v>1.0</v>
      </c>
      <c r="E251" s="112">
        <v>1.0</v>
      </c>
      <c r="F251" s="112">
        <v>1.0</v>
      </c>
      <c r="G251" s="112">
        <v>0.5943</v>
      </c>
      <c r="H251" s="112">
        <v>0.9888</v>
      </c>
      <c r="I251" s="112">
        <v>0.0</v>
      </c>
      <c r="J251" s="112">
        <v>0.9888</v>
      </c>
      <c r="K251" s="100">
        <v>1.0</v>
      </c>
      <c r="L251" s="99">
        <v>0.324140000000001</v>
      </c>
      <c r="M251" s="112">
        <v>0.009</v>
      </c>
      <c r="N251" s="57">
        <f t="shared" si="4"/>
        <v>0.9075388009</v>
      </c>
      <c r="O251" s="57">
        <f t="shared" si="1"/>
        <v>14.33560826</v>
      </c>
      <c r="P251" s="112">
        <v>47.986592</v>
      </c>
      <c r="Q251" s="112">
        <v>0.754449</v>
      </c>
      <c r="R251" s="112">
        <v>0.9128</v>
      </c>
      <c r="S251" s="112">
        <v>0.8897</v>
      </c>
      <c r="T251" s="112">
        <v>0.903</v>
      </c>
      <c r="U251" s="112">
        <v>0.9135</v>
      </c>
      <c r="V251" s="112">
        <v>0.8897</v>
      </c>
      <c r="W251" s="112">
        <v>0.9128</v>
      </c>
      <c r="X251" s="112">
        <v>0.896</v>
      </c>
      <c r="Y251" s="112">
        <v>0.9129</v>
      </c>
      <c r="Z251" s="112">
        <v>0.9143</v>
      </c>
      <c r="AA251" s="112">
        <v>0.8451</v>
      </c>
      <c r="AB251" s="112">
        <v>0.8448</v>
      </c>
      <c r="AC251" s="112">
        <v>0.7903</v>
      </c>
      <c r="AD251" s="112">
        <v>0.7812</v>
      </c>
      <c r="AE251" s="112">
        <v>0.7857</v>
      </c>
      <c r="AF251" s="112">
        <v>0.863</v>
      </c>
      <c r="AG251" s="112">
        <v>0.9186</v>
      </c>
      <c r="AH251" s="112">
        <v>0.9405</v>
      </c>
      <c r="AI251" s="112">
        <v>0.9294</v>
      </c>
      <c r="AJ251" s="112">
        <v>0.9099</v>
      </c>
      <c r="AK251" s="112">
        <v>1.0</v>
      </c>
      <c r="AL251" s="112">
        <v>0.9472</v>
      </c>
      <c r="AM251" s="112">
        <v>0.9729</v>
      </c>
      <c r="AN251" s="112">
        <v>0.9732</v>
      </c>
      <c r="AO251" s="49"/>
      <c r="AP251" s="49"/>
      <c r="AQ251" s="49"/>
    </row>
    <row r="252">
      <c r="A252" s="13"/>
      <c r="B252" s="91" t="s">
        <v>24</v>
      </c>
      <c r="C252" s="54">
        <v>1.0</v>
      </c>
      <c r="D252" s="112">
        <v>1.0</v>
      </c>
      <c r="E252" s="112">
        <v>1.0</v>
      </c>
      <c r="F252" s="112">
        <v>1.0</v>
      </c>
      <c r="G252" s="112">
        <v>0.3763</v>
      </c>
      <c r="H252" s="112">
        <v>0.8758</v>
      </c>
      <c r="I252" s="112">
        <v>0.6489</v>
      </c>
      <c r="J252" s="112">
        <v>0.8757</v>
      </c>
      <c r="K252" s="100">
        <v>1.0</v>
      </c>
      <c r="L252" s="99">
        <v>0.324140000000001</v>
      </c>
      <c r="M252" s="112">
        <v>0.7153</v>
      </c>
      <c r="N252" s="57">
        <f t="shared" si="4"/>
        <v>0.5745319607</v>
      </c>
      <c r="O252" s="57">
        <f t="shared" si="1"/>
        <v>62.71678767</v>
      </c>
      <c r="P252" s="112">
        <v>5842.466354</v>
      </c>
      <c r="Q252" s="112">
        <v>4.983491</v>
      </c>
      <c r="R252" s="112">
        <v>0.6319</v>
      </c>
      <c r="S252" s="112">
        <v>0.5049</v>
      </c>
      <c r="T252" s="112">
        <v>0.5926</v>
      </c>
      <c r="U252" s="112">
        <v>0.6213</v>
      </c>
      <c r="V252" s="112">
        <v>0.5049</v>
      </c>
      <c r="W252" s="112">
        <v>0.6319</v>
      </c>
      <c r="X252" s="112">
        <v>0.5256</v>
      </c>
      <c r="Y252" s="112">
        <v>0.6075</v>
      </c>
      <c r="Z252" s="112">
        <v>0.5612</v>
      </c>
      <c r="AA252" s="112">
        <v>0.2891</v>
      </c>
      <c r="AB252" s="112">
        <v>0.274</v>
      </c>
      <c r="AC252" s="112">
        <v>0.4732</v>
      </c>
      <c r="AD252" s="112">
        <v>0.3402</v>
      </c>
      <c r="AE252" s="112">
        <v>0.3958</v>
      </c>
      <c r="AF252" s="112">
        <v>0.5578</v>
      </c>
      <c r="AG252" s="112">
        <v>0.6575</v>
      </c>
      <c r="AH252" s="112">
        <v>0.8352</v>
      </c>
      <c r="AI252" s="112">
        <v>0.7358</v>
      </c>
      <c r="AJ252" s="112">
        <v>0.5593</v>
      </c>
      <c r="AK252" s="112">
        <v>0.6472</v>
      </c>
      <c r="AL252" s="112">
        <v>0.3393</v>
      </c>
      <c r="AM252" s="112">
        <v>0.4452</v>
      </c>
      <c r="AN252" s="112">
        <v>0.5665</v>
      </c>
      <c r="AO252" s="49"/>
      <c r="AP252" s="49"/>
      <c r="AQ252" s="49"/>
    </row>
    <row r="253">
      <c r="A253" s="13"/>
      <c r="B253" s="13"/>
      <c r="C253" s="54">
        <v>2.0</v>
      </c>
      <c r="D253" s="112">
        <v>1.0</v>
      </c>
      <c r="E253" s="112">
        <v>1.0</v>
      </c>
      <c r="F253" s="112">
        <v>1.0</v>
      </c>
      <c r="G253" s="112">
        <v>0.4543</v>
      </c>
      <c r="H253" s="112">
        <v>0.906</v>
      </c>
      <c r="I253" s="112">
        <v>0.7273</v>
      </c>
      <c r="J253" s="112">
        <v>0.906</v>
      </c>
      <c r="K253" s="100">
        <v>1.0</v>
      </c>
      <c r="L253" s="99">
        <v>0.324140000000001</v>
      </c>
      <c r="M253" s="112">
        <v>0.7703</v>
      </c>
      <c r="N253" s="57">
        <f t="shared" si="4"/>
        <v>0.6338340737</v>
      </c>
      <c r="O253" s="57">
        <f t="shared" si="1"/>
        <v>68.52504171</v>
      </c>
      <c r="P253" s="112">
        <v>5842.466354</v>
      </c>
      <c r="Q253" s="112">
        <v>4.931879</v>
      </c>
      <c r="R253" s="112">
        <v>0.6653</v>
      </c>
      <c r="S253" s="112">
        <v>0.5778</v>
      </c>
      <c r="T253" s="112">
        <v>0.6412</v>
      </c>
      <c r="U253" s="112">
        <v>0.6613</v>
      </c>
      <c r="V253" s="112">
        <v>0.5778</v>
      </c>
      <c r="W253" s="112">
        <v>0.6653</v>
      </c>
      <c r="X253" s="112">
        <v>0.5951</v>
      </c>
      <c r="Y253" s="112">
        <v>0.6516</v>
      </c>
      <c r="Z253" s="112">
        <v>0.6381</v>
      </c>
      <c r="AA253" s="112">
        <v>0.3748</v>
      </c>
      <c r="AB253" s="112">
        <v>0.3657</v>
      </c>
      <c r="AC253" s="112">
        <v>0.5743</v>
      </c>
      <c r="AD253" s="112">
        <v>0.538</v>
      </c>
      <c r="AE253" s="112">
        <v>0.5556</v>
      </c>
      <c r="AF253" s="112">
        <v>0.6998</v>
      </c>
      <c r="AG253" s="112">
        <v>0.6886</v>
      </c>
      <c r="AH253" s="112">
        <v>0.814</v>
      </c>
      <c r="AI253" s="112">
        <v>0.7461</v>
      </c>
      <c r="AJ253" s="112">
        <v>0.6191</v>
      </c>
      <c r="AK253" s="112">
        <v>0.6608</v>
      </c>
      <c r="AL253" s="112">
        <v>0.3814</v>
      </c>
      <c r="AM253" s="112">
        <v>0.4837</v>
      </c>
      <c r="AN253" s="112">
        <v>0.5996</v>
      </c>
      <c r="AO253" s="49"/>
      <c r="AP253" s="49"/>
      <c r="AQ253" s="49"/>
    </row>
    <row r="254">
      <c r="A254" s="13"/>
      <c r="B254" s="13"/>
      <c r="C254" s="54">
        <v>3.0</v>
      </c>
      <c r="D254" s="112">
        <v>1.0</v>
      </c>
      <c r="E254" s="112">
        <v>1.0</v>
      </c>
      <c r="F254" s="112">
        <v>1.0</v>
      </c>
      <c r="G254" s="112">
        <v>0.5393</v>
      </c>
      <c r="H254" s="112">
        <v>0.907</v>
      </c>
      <c r="I254" s="112">
        <v>0.7339</v>
      </c>
      <c r="J254" s="112">
        <v>0.9071</v>
      </c>
      <c r="K254" s="100">
        <v>1.0</v>
      </c>
      <c r="L254" s="99">
        <v>0.324140000000001</v>
      </c>
      <c r="M254" s="112">
        <v>0.799</v>
      </c>
      <c r="N254" s="57">
        <f t="shared" si="4"/>
        <v>0.6690586996</v>
      </c>
      <c r="O254" s="57">
        <f t="shared" si="1"/>
        <v>71.82857407</v>
      </c>
      <c r="P254" s="112">
        <v>5842.466354</v>
      </c>
      <c r="Q254" s="112">
        <v>4.973081</v>
      </c>
      <c r="R254" s="112">
        <v>0.6798</v>
      </c>
      <c r="S254" s="112">
        <v>0.6314</v>
      </c>
      <c r="T254" s="112">
        <v>0.6579</v>
      </c>
      <c r="U254" s="112">
        <v>0.6819</v>
      </c>
      <c r="V254" s="112">
        <v>0.6314</v>
      </c>
      <c r="W254" s="112">
        <v>0.6798</v>
      </c>
      <c r="X254" s="112">
        <v>0.6281</v>
      </c>
      <c r="Y254" s="112">
        <v>0.6695</v>
      </c>
      <c r="Z254" s="112">
        <v>0.6828</v>
      </c>
      <c r="AA254" s="112">
        <v>0.4246</v>
      </c>
      <c r="AB254" s="112">
        <v>0.4187</v>
      </c>
      <c r="AC254" s="112">
        <v>0.5847</v>
      </c>
      <c r="AD254" s="112">
        <v>0.734</v>
      </c>
      <c r="AE254" s="112">
        <v>0.6509</v>
      </c>
      <c r="AF254" s="112">
        <v>0.8049</v>
      </c>
      <c r="AG254" s="112">
        <v>0.7153</v>
      </c>
      <c r="AH254" s="112">
        <v>0.7769</v>
      </c>
      <c r="AI254" s="112">
        <v>0.7449</v>
      </c>
      <c r="AJ254" s="112">
        <v>0.657</v>
      </c>
      <c r="AK254" s="112">
        <v>0.6738</v>
      </c>
      <c r="AL254" s="112">
        <v>0.3833</v>
      </c>
      <c r="AM254" s="112">
        <v>0.4887</v>
      </c>
      <c r="AN254" s="112">
        <v>0.6021</v>
      </c>
      <c r="AO254" s="49"/>
      <c r="AP254" s="49"/>
      <c r="AQ254" s="49"/>
    </row>
    <row r="255">
      <c r="A255" s="13"/>
      <c r="B255" s="16"/>
      <c r="C255" s="54">
        <v>4.0</v>
      </c>
      <c r="D255" s="112">
        <v>1.0</v>
      </c>
      <c r="E255" s="112">
        <v>1.0</v>
      </c>
      <c r="F255" s="112">
        <v>1.0</v>
      </c>
      <c r="G255" s="112">
        <v>0.5694</v>
      </c>
      <c r="H255" s="112">
        <v>0.8941</v>
      </c>
      <c r="I255" s="112">
        <v>0.7649</v>
      </c>
      <c r="J255" s="112">
        <v>0.8943</v>
      </c>
      <c r="K255" s="100">
        <v>1.0</v>
      </c>
      <c r="L255" s="99">
        <v>0.324140000000001</v>
      </c>
      <c r="M255" s="112">
        <v>0.8098</v>
      </c>
      <c r="N255" s="57">
        <f t="shared" si="4"/>
        <v>0.6841269178</v>
      </c>
      <c r="O255" s="57">
        <f t="shared" si="1"/>
        <v>73.18686025</v>
      </c>
      <c r="P255" s="112">
        <v>5842.466354</v>
      </c>
      <c r="Q255" s="112">
        <v>4.954328</v>
      </c>
      <c r="R255" s="112">
        <v>0.6876</v>
      </c>
      <c r="S255" s="112">
        <v>0.655</v>
      </c>
      <c r="T255" s="112">
        <v>0.6723</v>
      </c>
      <c r="U255" s="112">
        <v>0.6957</v>
      </c>
      <c r="V255" s="112">
        <v>0.655</v>
      </c>
      <c r="W255" s="112">
        <v>0.6876</v>
      </c>
      <c r="X255" s="112">
        <v>0.6408</v>
      </c>
      <c r="Y255" s="112">
        <v>0.6768</v>
      </c>
      <c r="Z255" s="112">
        <v>0.6982</v>
      </c>
      <c r="AA255" s="112">
        <v>0.4484</v>
      </c>
      <c r="AB255" s="112">
        <v>0.4413</v>
      </c>
      <c r="AC255" s="112">
        <v>0.5858</v>
      </c>
      <c r="AD255" s="112">
        <v>0.8208</v>
      </c>
      <c r="AE255" s="112">
        <v>0.6837</v>
      </c>
      <c r="AF255" s="112">
        <v>0.8447</v>
      </c>
      <c r="AG255" s="112">
        <v>0.7265</v>
      </c>
      <c r="AH255" s="112">
        <v>0.7643</v>
      </c>
      <c r="AI255" s="112">
        <v>0.7449</v>
      </c>
      <c r="AJ255" s="112">
        <v>0.6695</v>
      </c>
      <c r="AK255" s="112">
        <v>0.7046</v>
      </c>
      <c r="AL255" s="112">
        <v>0.3801</v>
      </c>
      <c r="AM255" s="112">
        <v>0.4939</v>
      </c>
      <c r="AN255" s="112">
        <v>0.602</v>
      </c>
      <c r="AO255" s="49"/>
      <c r="AP255" s="49"/>
      <c r="AQ255" s="49"/>
    </row>
    <row r="256">
      <c r="A256" s="13"/>
      <c r="B256" s="91" t="s">
        <v>25</v>
      </c>
      <c r="C256" s="54">
        <v>1.0</v>
      </c>
      <c r="D256" s="112">
        <v>1.0</v>
      </c>
      <c r="E256" s="112">
        <v>1.0</v>
      </c>
      <c r="F256" s="112">
        <v>1.0</v>
      </c>
      <c r="G256" s="112">
        <v>0.5813</v>
      </c>
      <c r="H256" s="112">
        <v>0.8793</v>
      </c>
      <c r="I256" s="112">
        <v>0.6578</v>
      </c>
      <c r="J256" s="112">
        <v>0.8795</v>
      </c>
      <c r="K256" s="100">
        <v>1.0</v>
      </c>
      <c r="L256" s="99">
        <v>0.324140000000001</v>
      </c>
      <c r="M256" s="112">
        <v>0.7837</v>
      </c>
      <c r="N256" s="57">
        <f t="shared" si="4"/>
        <v>0.6335258751</v>
      </c>
      <c r="O256" s="57">
        <f t="shared" si="1"/>
        <v>68.97926352</v>
      </c>
      <c r="P256" s="112">
        <v>6339.228193</v>
      </c>
      <c r="Q256" s="112">
        <v>4.886213</v>
      </c>
      <c r="R256" s="112">
        <v>0.6479</v>
      </c>
      <c r="S256" s="112">
        <v>0.5734</v>
      </c>
      <c r="T256" s="112">
        <v>0.6761</v>
      </c>
      <c r="U256" s="112">
        <v>0.7141</v>
      </c>
      <c r="V256" s="112">
        <v>0.5734</v>
      </c>
      <c r="W256" s="112">
        <v>0.6479</v>
      </c>
      <c r="X256" s="112">
        <v>0.5917</v>
      </c>
      <c r="Y256" s="112">
        <v>0.6591</v>
      </c>
      <c r="Z256" s="112">
        <v>0.6581</v>
      </c>
      <c r="AA256" s="112">
        <v>0.3819</v>
      </c>
      <c r="AB256" s="112">
        <v>0.3743</v>
      </c>
      <c r="AC256" s="112">
        <v>0.3137</v>
      </c>
      <c r="AD256" s="112">
        <v>0.4702</v>
      </c>
      <c r="AE256" s="112">
        <v>0.3763</v>
      </c>
      <c r="AF256" s="112">
        <v>0.6011</v>
      </c>
      <c r="AG256" s="112">
        <v>0.7379</v>
      </c>
      <c r="AH256" s="112">
        <v>0.7664</v>
      </c>
      <c r="AI256" s="112">
        <v>0.7518</v>
      </c>
      <c r="AJ256" s="112">
        <v>0.683</v>
      </c>
      <c r="AK256" s="112">
        <v>0.9768</v>
      </c>
      <c r="AL256" s="112">
        <v>0.4835</v>
      </c>
      <c r="AM256" s="112">
        <v>0.6469</v>
      </c>
      <c r="AN256" s="112">
        <v>0.6942</v>
      </c>
      <c r="AO256" s="49"/>
      <c r="AP256" s="49"/>
      <c r="AQ256" s="49"/>
    </row>
    <row r="257">
      <c r="A257" s="13"/>
      <c r="B257" s="13"/>
      <c r="C257" s="54">
        <v>2.0</v>
      </c>
      <c r="D257" s="112">
        <v>1.0</v>
      </c>
      <c r="E257" s="112">
        <v>1.0</v>
      </c>
      <c r="F257" s="112">
        <v>1.0</v>
      </c>
      <c r="G257" s="112">
        <v>0.4285</v>
      </c>
      <c r="H257" s="112">
        <v>0.9073</v>
      </c>
      <c r="I257" s="112">
        <v>0.6512</v>
      </c>
      <c r="J257" s="112">
        <v>0.9072</v>
      </c>
      <c r="K257" s="100">
        <v>1.0</v>
      </c>
      <c r="L257" s="99">
        <v>0.324140000000001</v>
      </c>
      <c r="M257" s="112">
        <v>0.7451</v>
      </c>
      <c r="N257" s="57">
        <f t="shared" si="4"/>
        <v>0.7350158294</v>
      </c>
      <c r="O257" s="57">
        <f t="shared" si="1"/>
        <v>73.90330159</v>
      </c>
      <c r="P257" s="112">
        <v>6339.228193</v>
      </c>
      <c r="Q257" s="112">
        <v>4.905299</v>
      </c>
      <c r="R257" s="112">
        <v>0.7704</v>
      </c>
      <c r="S257" s="112">
        <v>0.6717</v>
      </c>
      <c r="T257" s="112">
        <v>0.7789</v>
      </c>
      <c r="U257" s="112">
        <v>0.7776</v>
      </c>
      <c r="V257" s="112">
        <v>0.6717</v>
      </c>
      <c r="W257" s="112">
        <v>0.7704</v>
      </c>
      <c r="X257" s="112">
        <v>0.7084</v>
      </c>
      <c r="Y257" s="112">
        <v>0.7604</v>
      </c>
      <c r="Z257" s="112">
        <v>0.7207</v>
      </c>
      <c r="AA257" s="112">
        <v>0.5748</v>
      </c>
      <c r="AB257" s="112">
        <v>0.558</v>
      </c>
      <c r="AC257" s="112">
        <v>0.6045</v>
      </c>
      <c r="AD257" s="112">
        <v>0.4225</v>
      </c>
      <c r="AE257" s="112">
        <v>0.4974</v>
      </c>
      <c r="AF257" s="112">
        <v>0.6295</v>
      </c>
      <c r="AG257" s="112">
        <v>0.7546</v>
      </c>
      <c r="AH257" s="112">
        <v>0.914</v>
      </c>
      <c r="AI257" s="112">
        <v>0.8267</v>
      </c>
      <c r="AJ257" s="112">
        <v>0.7235</v>
      </c>
      <c r="AK257" s="112">
        <v>0.9778</v>
      </c>
      <c r="AL257" s="112">
        <v>0.6786</v>
      </c>
      <c r="AM257" s="112">
        <v>0.8012</v>
      </c>
      <c r="AN257" s="112">
        <v>0.8219</v>
      </c>
      <c r="AO257" s="49"/>
      <c r="AP257" s="49"/>
      <c r="AQ257" s="49"/>
    </row>
    <row r="258">
      <c r="A258" s="13"/>
      <c r="B258" s="13"/>
      <c r="C258" s="54">
        <v>3.0</v>
      </c>
      <c r="D258" s="112">
        <v>1.0</v>
      </c>
      <c r="E258" s="112">
        <v>1.0</v>
      </c>
      <c r="F258" s="112">
        <v>1.0</v>
      </c>
      <c r="G258" s="112">
        <v>0.4191</v>
      </c>
      <c r="H258" s="112">
        <v>0.9013</v>
      </c>
      <c r="I258" s="112">
        <v>0.7452</v>
      </c>
      <c r="J258" s="112">
        <v>0.9012</v>
      </c>
      <c r="K258" s="100">
        <v>1.0</v>
      </c>
      <c r="L258" s="99">
        <v>0.324140000000001</v>
      </c>
      <c r="M258" s="112">
        <v>0.7601</v>
      </c>
      <c r="N258" s="57">
        <f t="shared" si="4"/>
        <v>0.776190003</v>
      </c>
      <c r="O258" s="57">
        <f t="shared" si="1"/>
        <v>76.97135288</v>
      </c>
      <c r="P258" s="112">
        <v>6339.228193</v>
      </c>
      <c r="Q258" s="112">
        <v>4.845447</v>
      </c>
      <c r="R258" s="112">
        <v>0.809</v>
      </c>
      <c r="S258" s="112">
        <v>0.7132</v>
      </c>
      <c r="T258" s="112">
        <v>0.8408</v>
      </c>
      <c r="U258" s="112">
        <v>0.8208</v>
      </c>
      <c r="V258" s="112">
        <v>0.7132</v>
      </c>
      <c r="W258" s="112">
        <v>0.809</v>
      </c>
      <c r="X258" s="112">
        <v>0.756</v>
      </c>
      <c r="Y258" s="112">
        <v>0.799</v>
      </c>
      <c r="Z258" s="112">
        <v>0.758</v>
      </c>
      <c r="AA258" s="112">
        <v>0.6516</v>
      </c>
      <c r="AB258" s="112">
        <v>0.6304</v>
      </c>
      <c r="AC258" s="112">
        <v>0.7674</v>
      </c>
      <c r="AD258" s="112">
        <v>0.4801</v>
      </c>
      <c r="AE258" s="112">
        <v>0.5907</v>
      </c>
      <c r="AF258" s="112">
        <v>0.6815</v>
      </c>
      <c r="AG258" s="112">
        <v>0.7771</v>
      </c>
      <c r="AH258" s="112">
        <v>0.9495</v>
      </c>
      <c r="AI258" s="112">
        <v>0.8547</v>
      </c>
      <c r="AJ258" s="112">
        <v>0.7601</v>
      </c>
      <c r="AK258" s="112">
        <v>0.978</v>
      </c>
      <c r="AL258" s="112">
        <v>0.71</v>
      </c>
      <c r="AM258" s="112">
        <v>0.8227</v>
      </c>
      <c r="AN258" s="112">
        <v>0.8406</v>
      </c>
      <c r="AO258" s="49"/>
      <c r="AP258" s="49"/>
      <c r="AQ258" s="49"/>
    </row>
    <row r="259">
      <c r="A259" s="13"/>
      <c r="B259" s="16"/>
      <c r="C259" s="54">
        <v>4.0</v>
      </c>
      <c r="D259" s="112">
        <v>1.0</v>
      </c>
      <c r="E259" s="112">
        <v>1.0</v>
      </c>
      <c r="F259" s="112">
        <v>1.0</v>
      </c>
      <c r="G259" s="112">
        <v>0.4435</v>
      </c>
      <c r="H259" s="112">
        <v>0.9148</v>
      </c>
      <c r="I259" s="112">
        <v>0.8115</v>
      </c>
      <c r="J259" s="112">
        <v>0.9147</v>
      </c>
      <c r="K259" s="100">
        <v>1.0</v>
      </c>
      <c r="L259" s="99">
        <v>0.324140000000001</v>
      </c>
      <c r="M259" s="112">
        <v>0.7866</v>
      </c>
      <c r="N259" s="57">
        <f t="shared" si="4"/>
        <v>0.7955012864</v>
      </c>
      <c r="O259" s="57">
        <f t="shared" si="1"/>
        <v>79.19287478</v>
      </c>
      <c r="P259" s="112">
        <v>6339.228193</v>
      </c>
      <c r="Q259" s="112">
        <v>4.913468</v>
      </c>
      <c r="R259" s="112">
        <v>0.8225</v>
      </c>
      <c r="S259" s="112">
        <v>0.7384</v>
      </c>
      <c r="T259" s="112">
        <v>0.8507</v>
      </c>
      <c r="U259" s="112">
        <v>0.8328</v>
      </c>
      <c r="V259" s="112">
        <v>0.7384</v>
      </c>
      <c r="W259" s="112">
        <v>0.8225</v>
      </c>
      <c r="X259" s="112">
        <v>0.7789</v>
      </c>
      <c r="Y259" s="112">
        <v>0.8154</v>
      </c>
      <c r="Z259" s="112">
        <v>0.7833</v>
      </c>
      <c r="AA259" s="112">
        <v>0.6771</v>
      </c>
      <c r="AB259" s="112">
        <v>0.6607</v>
      </c>
      <c r="AC259" s="112">
        <v>0.7793</v>
      </c>
      <c r="AD259" s="112">
        <v>0.5428</v>
      </c>
      <c r="AE259" s="112">
        <v>0.6399</v>
      </c>
      <c r="AF259" s="112">
        <v>0.7239</v>
      </c>
      <c r="AG259" s="112">
        <v>0.7928</v>
      </c>
      <c r="AH259" s="112">
        <v>0.9469</v>
      </c>
      <c r="AI259" s="112">
        <v>0.8631</v>
      </c>
      <c r="AJ259" s="112">
        <v>0.7811</v>
      </c>
      <c r="AK259" s="112">
        <v>0.98</v>
      </c>
      <c r="AL259" s="112">
        <v>0.7254</v>
      </c>
      <c r="AM259" s="112">
        <v>0.8337</v>
      </c>
      <c r="AN259" s="112">
        <v>0.8499</v>
      </c>
      <c r="AO259" s="49"/>
      <c r="AP259" s="49"/>
      <c r="AQ259" s="49"/>
    </row>
    <row r="260">
      <c r="A260" s="13"/>
      <c r="B260" s="91" t="s">
        <v>26</v>
      </c>
      <c r="C260" s="54">
        <v>1.0</v>
      </c>
      <c r="D260" s="112">
        <v>1.0</v>
      </c>
      <c r="E260" s="112">
        <v>1.0</v>
      </c>
      <c r="F260" s="112">
        <v>1.0</v>
      </c>
      <c r="G260" s="112">
        <v>0.8064</v>
      </c>
      <c r="H260" s="112">
        <v>0.9097</v>
      </c>
      <c r="I260" s="112">
        <v>0.6758</v>
      </c>
      <c r="J260" s="112">
        <v>0.9098</v>
      </c>
      <c r="K260" s="100">
        <v>1.0</v>
      </c>
      <c r="L260" s="99">
        <v>0.324140000000001</v>
      </c>
      <c r="M260" s="112">
        <v>0.8528</v>
      </c>
      <c r="N260" s="57">
        <f t="shared" si="4"/>
        <v>0.6303442753</v>
      </c>
      <c r="O260" s="57">
        <f t="shared" si="1"/>
        <v>71.13536504</v>
      </c>
      <c r="P260" s="112">
        <v>6988.619101</v>
      </c>
      <c r="Q260" s="112">
        <v>6.194472</v>
      </c>
      <c r="R260" s="112">
        <v>0.6131</v>
      </c>
      <c r="S260" s="112">
        <v>0.5902</v>
      </c>
      <c r="T260" s="112">
        <v>0.5593</v>
      </c>
      <c r="U260" s="112">
        <v>0.6605</v>
      </c>
      <c r="V260" s="112">
        <v>0.5902</v>
      </c>
      <c r="W260" s="112">
        <v>0.6131</v>
      </c>
      <c r="X260" s="112">
        <v>0.5652</v>
      </c>
      <c r="Y260" s="112">
        <v>0.6268</v>
      </c>
      <c r="Z260" s="112">
        <v>0.6836</v>
      </c>
      <c r="AA260" s="112">
        <v>0.38</v>
      </c>
      <c r="AB260" s="112">
        <v>0.3718</v>
      </c>
      <c r="AC260" s="112">
        <v>0.3454</v>
      </c>
      <c r="AD260" s="112">
        <v>0.4546</v>
      </c>
      <c r="AE260" s="112">
        <v>0.3926</v>
      </c>
      <c r="AF260" s="112">
        <v>0.6053</v>
      </c>
      <c r="AG260" s="112">
        <v>0.8127</v>
      </c>
      <c r="AH260" s="112">
        <v>0.6372</v>
      </c>
      <c r="AI260" s="112">
        <v>0.7144</v>
      </c>
      <c r="AJ260" s="112">
        <v>0.7091</v>
      </c>
      <c r="AK260" s="112">
        <v>0.5198</v>
      </c>
      <c r="AL260" s="112">
        <v>0.6788</v>
      </c>
      <c r="AM260" s="112">
        <v>0.5888</v>
      </c>
      <c r="AN260" s="112">
        <v>0.7444</v>
      </c>
      <c r="AO260" s="70"/>
      <c r="AP260" s="70"/>
      <c r="AQ260" s="70"/>
    </row>
    <row r="261">
      <c r="A261" s="13"/>
      <c r="B261" s="13"/>
      <c r="C261" s="54">
        <v>2.0</v>
      </c>
      <c r="D261" s="112">
        <v>1.0</v>
      </c>
      <c r="E261" s="112">
        <v>1.0</v>
      </c>
      <c r="F261" s="112">
        <v>1.0</v>
      </c>
      <c r="G261" s="112">
        <v>0.5732</v>
      </c>
      <c r="H261" s="112">
        <v>0.9593</v>
      </c>
      <c r="I261" s="112">
        <v>0.6136</v>
      </c>
      <c r="J261" s="112">
        <v>0.959</v>
      </c>
      <c r="K261" s="100">
        <v>1.0</v>
      </c>
      <c r="L261" s="99">
        <v>0.324140000000001</v>
      </c>
      <c r="M261" s="112">
        <v>0.798</v>
      </c>
      <c r="N261" s="57">
        <f t="shared" si="4"/>
        <v>0.7367619373</v>
      </c>
      <c r="O261" s="57">
        <f t="shared" si="1"/>
        <v>76.06720611</v>
      </c>
      <c r="P261" s="112">
        <v>6988.619101</v>
      </c>
      <c r="Q261" s="112">
        <v>5.936947</v>
      </c>
      <c r="R261" s="112">
        <v>0.7571</v>
      </c>
      <c r="S261" s="112">
        <v>0.6922</v>
      </c>
      <c r="T261" s="112">
        <v>0.7079</v>
      </c>
      <c r="U261" s="112">
        <v>0.7482</v>
      </c>
      <c r="V261" s="112">
        <v>0.6922</v>
      </c>
      <c r="W261" s="112">
        <v>0.7571</v>
      </c>
      <c r="X261" s="112">
        <v>0.6968</v>
      </c>
      <c r="Y261" s="112">
        <v>0.7506</v>
      </c>
      <c r="Z261" s="112">
        <v>0.7493</v>
      </c>
      <c r="AA261" s="112">
        <v>0.564</v>
      </c>
      <c r="AB261" s="112">
        <v>0.5624</v>
      </c>
      <c r="AC261" s="112">
        <v>0.574</v>
      </c>
      <c r="AD261" s="112">
        <v>0.4415</v>
      </c>
      <c r="AE261" s="112">
        <v>0.4991</v>
      </c>
      <c r="AF261" s="112">
        <v>0.6395</v>
      </c>
      <c r="AG261" s="112">
        <v>0.803</v>
      </c>
      <c r="AH261" s="112">
        <v>0.8414</v>
      </c>
      <c r="AI261" s="112">
        <v>0.8218</v>
      </c>
      <c r="AJ261" s="112">
        <v>0.7693</v>
      </c>
      <c r="AK261" s="112">
        <v>0.7468</v>
      </c>
      <c r="AL261" s="112">
        <v>0.7937</v>
      </c>
      <c r="AM261" s="112">
        <v>0.7695</v>
      </c>
      <c r="AN261" s="112">
        <v>0.8551</v>
      </c>
      <c r="AO261" s="70"/>
      <c r="AP261" s="70"/>
      <c r="AQ261" s="70"/>
    </row>
    <row r="262">
      <c r="A262" s="13"/>
      <c r="B262" s="13"/>
      <c r="C262" s="54">
        <v>3.0</v>
      </c>
      <c r="D262" s="112">
        <v>1.0</v>
      </c>
      <c r="E262" s="112">
        <v>1.0</v>
      </c>
      <c r="F262" s="112">
        <v>1.0</v>
      </c>
      <c r="G262" s="112">
        <v>0.4819</v>
      </c>
      <c r="H262" s="112">
        <v>0.9186</v>
      </c>
      <c r="I262" s="112">
        <v>0.5916</v>
      </c>
      <c r="J262" s="112">
        <v>0.9184</v>
      </c>
      <c r="K262" s="100">
        <v>1.0</v>
      </c>
      <c r="L262" s="99">
        <v>0.324140000000001</v>
      </c>
      <c r="M262" s="112">
        <v>0.752</v>
      </c>
      <c r="N262" s="57">
        <f t="shared" si="4"/>
        <v>0.7831744251</v>
      </c>
      <c r="O262" s="57">
        <f t="shared" si="1"/>
        <v>77.0552501</v>
      </c>
      <c r="P262" s="112">
        <v>6988.619101</v>
      </c>
      <c r="Q262" s="112">
        <v>5.993452</v>
      </c>
      <c r="R262" s="112">
        <v>0.8115</v>
      </c>
      <c r="S262" s="112">
        <v>0.7302</v>
      </c>
      <c r="T262" s="112">
        <v>0.8135</v>
      </c>
      <c r="U262" s="112">
        <v>0.8105</v>
      </c>
      <c r="V262" s="112">
        <v>0.7302</v>
      </c>
      <c r="W262" s="112">
        <v>0.8115</v>
      </c>
      <c r="X262" s="112">
        <v>0.7563</v>
      </c>
      <c r="Y262" s="112">
        <v>0.8007</v>
      </c>
      <c r="Z262" s="112">
        <v>0.7735</v>
      </c>
      <c r="AA262" s="112">
        <v>0.6561</v>
      </c>
      <c r="AB262" s="112">
        <v>0.6454</v>
      </c>
      <c r="AC262" s="112">
        <v>0.7771</v>
      </c>
      <c r="AD262" s="112">
        <v>0.457</v>
      </c>
      <c r="AE262" s="112">
        <v>0.5756</v>
      </c>
      <c r="AF262" s="112">
        <v>0.666</v>
      </c>
      <c r="AG262" s="112">
        <v>0.8</v>
      </c>
      <c r="AH262" s="54"/>
      <c r="AI262" s="54"/>
      <c r="AJ262" s="54"/>
      <c r="AK262" s="54"/>
      <c r="AL262" s="54"/>
      <c r="AM262" s="54"/>
      <c r="AN262" s="54"/>
      <c r="AO262" s="70"/>
      <c r="AP262" s="70"/>
      <c r="AQ262" s="70"/>
    </row>
    <row r="263">
      <c r="A263" s="13"/>
      <c r="B263" s="16"/>
      <c r="C263" s="54">
        <v>4.0</v>
      </c>
      <c r="D263" s="112">
        <v>1.0</v>
      </c>
      <c r="E263" s="112">
        <v>1.0</v>
      </c>
      <c r="F263" s="112">
        <v>1.0</v>
      </c>
      <c r="G263" s="112">
        <v>0.4452</v>
      </c>
      <c r="H263" s="112">
        <v>0.8988</v>
      </c>
      <c r="I263" s="112">
        <v>0.5615</v>
      </c>
      <c r="J263" s="112">
        <v>0.8987</v>
      </c>
      <c r="K263" s="100">
        <v>1.0</v>
      </c>
      <c r="L263" s="99">
        <v>0.324140000000001</v>
      </c>
      <c r="M263" s="112">
        <v>0.7262</v>
      </c>
      <c r="N263" s="57">
        <f t="shared" si="4"/>
        <v>0.8048679916</v>
      </c>
      <c r="O263" s="57">
        <f t="shared" si="1"/>
        <v>77.24267256</v>
      </c>
      <c r="P263" s="112">
        <v>6988.619101</v>
      </c>
      <c r="Q263" s="112">
        <v>5.865146</v>
      </c>
      <c r="R263" s="112">
        <v>0.8353</v>
      </c>
      <c r="S263" s="112">
        <v>0.7468</v>
      </c>
      <c r="T263" s="112">
        <v>0.8743</v>
      </c>
      <c r="U263" s="112">
        <v>0.8469</v>
      </c>
      <c r="V263" s="112">
        <v>0.7468</v>
      </c>
      <c r="W263" s="112">
        <v>0.8353</v>
      </c>
      <c r="X263" s="112">
        <v>0.7836</v>
      </c>
      <c r="Y263" s="112">
        <v>0.8234</v>
      </c>
      <c r="Z263" s="112">
        <v>0.7838</v>
      </c>
      <c r="AA263" s="112">
        <v>0.703</v>
      </c>
      <c r="AB263" s="112">
        <v>0.6844</v>
      </c>
      <c r="AC263" s="112">
        <v>0.9013</v>
      </c>
      <c r="AD263" s="112">
        <v>0.4602</v>
      </c>
      <c r="AE263" s="112">
        <v>0.6093</v>
      </c>
      <c r="AF263" s="112">
        <v>0.6746</v>
      </c>
      <c r="AG263" s="112">
        <v>0.8022</v>
      </c>
      <c r="AH263" s="112">
        <v>0.9566</v>
      </c>
      <c r="AI263" s="112">
        <v>0.8726</v>
      </c>
      <c r="AJ263" s="112">
        <v>0.7952</v>
      </c>
      <c r="AK263" s="112">
        <v>0.9192</v>
      </c>
      <c r="AL263" s="112">
        <v>0.8235</v>
      </c>
      <c r="AM263" s="112">
        <v>0.8688</v>
      </c>
      <c r="AN263" s="112">
        <v>0.8978</v>
      </c>
      <c r="AO263" s="70"/>
      <c r="AP263" s="70"/>
      <c r="AQ263" s="70"/>
    </row>
    <row r="264">
      <c r="A264" s="13"/>
      <c r="B264" s="91" t="s">
        <v>27</v>
      </c>
      <c r="C264" s="54">
        <v>1.0</v>
      </c>
      <c r="D264" s="112">
        <v>1.0</v>
      </c>
      <c r="E264" s="112">
        <v>1.0</v>
      </c>
      <c r="F264" s="112">
        <v>1.0</v>
      </c>
      <c r="G264" s="112">
        <v>0.7558</v>
      </c>
      <c r="H264" s="112">
        <v>0.7688</v>
      </c>
      <c r="I264" s="112">
        <v>0.709</v>
      </c>
      <c r="J264" s="112">
        <v>0.7686</v>
      </c>
      <c r="K264" s="100">
        <v>1.0</v>
      </c>
      <c r="L264" s="99">
        <v>0.324140000000001</v>
      </c>
      <c r="M264" s="112">
        <v>0.7945</v>
      </c>
      <c r="N264" s="57">
        <f t="shared" si="4"/>
        <v>0.5624209794</v>
      </c>
      <c r="O264" s="57">
        <f t="shared" si="1"/>
        <v>64.57649482</v>
      </c>
      <c r="P264" s="112">
        <v>7646.97894</v>
      </c>
      <c r="Q264" s="112">
        <v>5.343737</v>
      </c>
      <c r="R264" s="112">
        <v>0.5602</v>
      </c>
      <c r="S264" s="112">
        <v>0.5099</v>
      </c>
      <c r="T264" s="112">
        <v>0.6007</v>
      </c>
      <c r="U264" s="112">
        <v>0.6608</v>
      </c>
      <c r="V264" s="112">
        <v>0.5099</v>
      </c>
      <c r="W264" s="112">
        <v>0.5602</v>
      </c>
      <c r="X264" s="112">
        <v>0.4718</v>
      </c>
      <c r="Y264" s="112">
        <v>0.557</v>
      </c>
      <c r="Z264" s="112">
        <v>0.5609</v>
      </c>
      <c r="AA264" s="112">
        <v>0.3036</v>
      </c>
      <c r="AB264" s="112">
        <v>0.2762</v>
      </c>
      <c r="AC264" s="112">
        <v>0.6766</v>
      </c>
      <c r="AD264" s="112">
        <v>0.1563</v>
      </c>
      <c r="AE264" s="112">
        <v>0.254</v>
      </c>
      <c r="AF264" s="112">
        <v>0.3921</v>
      </c>
      <c r="AG264" s="112">
        <v>0.7753</v>
      </c>
      <c r="AH264" s="112">
        <v>0.6066</v>
      </c>
      <c r="AI264" s="112">
        <v>0.6806</v>
      </c>
      <c r="AJ264" s="112">
        <v>0.6733</v>
      </c>
      <c r="AK264" s="112">
        <v>0.3501</v>
      </c>
      <c r="AL264" s="112">
        <v>0.7668</v>
      </c>
      <c r="AM264" s="112">
        <v>0.4808</v>
      </c>
      <c r="AN264" s="112">
        <v>0.6687</v>
      </c>
      <c r="AO264" s="49"/>
      <c r="AP264" s="49"/>
      <c r="AQ264" s="49"/>
    </row>
    <row r="265">
      <c r="A265" s="13"/>
      <c r="B265" s="13"/>
      <c r="C265" s="54">
        <v>2.0</v>
      </c>
      <c r="D265" s="112">
        <v>1.0</v>
      </c>
      <c r="E265" s="112">
        <v>1.0</v>
      </c>
      <c r="F265" s="112">
        <v>1.0</v>
      </c>
      <c r="G265" s="112">
        <v>0.5831</v>
      </c>
      <c r="H265" s="112">
        <v>0.8786</v>
      </c>
      <c r="I265" s="112">
        <v>0.6619</v>
      </c>
      <c r="J265" s="112">
        <v>0.8783</v>
      </c>
      <c r="K265" s="100">
        <v>1.0</v>
      </c>
      <c r="L265" s="99">
        <v>0.324140000000001</v>
      </c>
      <c r="M265" s="112">
        <v>0.7849</v>
      </c>
      <c r="N265" s="57">
        <f t="shared" si="4"/>
        <v>0.6445103844</v>
      </c>
      <c r="O265" s="57">
        <f t="shared" si="1"/>
        <v>69.73706784</v>
      </c>
      <c r="P265" s="112">
        <v>7646.97894</v>
      </c>
      <c r="Q265" s="112">
        <v>5.364952</v>
      </c>
      <c r="R265" s="112">
        <v>0.672</v>
      </c>
      <c r="S265" s="112">
        <v>0.5872</v>
      </c>
      <c r="T265" s="112">
        <v>0.6587</v>
      </c>
      <c r="U265" s="112">
        <v>0.6923</v>
      </c>
      <c r="V265" s="112">
        <v>0.5872</v>
      </c>
      <c r="W265" s="112">
        <v>0.672</v>
      </c>
      <c r="X265" s="112">
        <v>0.5891</v>
      </c>
      <c r="Y265" s="112">
        <v>0.6628</v>
      </c>
      <c r="Z265" s="112">
        <v>0.6563</v>
      </c>
      <c r="AA265" s="112">
        <v>0.4163</v>
      </c>
      <c r="AB265" s="112">
        <v>0.4088</v>
      </c>
      <c r="AC265" s="112">
        <v>0.7309</v>
      </c>
      <c r="AD265" s="112">
        <v>0.3061</v>
      </c>
      <c r="AE265" s="112">
        <v>0.4315</v>
      </c>
      <c r="AF265" s="112">
        <v>0.5462</v>
      </c>
      <c r="AG265" s="112">
        <v>0.7598</v>
      </c>
      <c r="AH265" s="112">
        <v>0.7876</v>
      </c>
      <c r="AI265" s="112">
        <v>0.7734</v>
      </c>
      <c r="AJ265" s="112">
        <v>0.7112</v>
      </c>
      <c r="AK265" s="112">
        <v>0.4854</v>
      </c>
      <c r="AL265" s="112">
        <v>0.6681</v>
      </c>
      <c r="AM265" s="112">
        <v>0.5623</v>
      </c>
      <c r="AN265" s="112">
        <v>0.7277</v>
      </c>
      <c r="AO265" s="49"/>
      <c r="AP265" s="49"/>
      <c r="AQ265" s="49"/>
    </row>
    <row r="266">
      <c r="A266" s="13"/>
      <c r="B266" s="13"/>
      <c r="C266" s="54">
        <v>3.0</v>
      </c>
      <c r="D266" s="112">
        <v>1.0</v>
      </c>
      <c r="E266" s="112">
        <v>1.0</v>
      </c>
      <c r="F266" s="112">
        <v>1.0</v>
      </c>
      <c r="G266" s="112">
        <v>0.5031</v>
      </c>
      <c r="H266" s="112">
        <v>0.9228</v>
      </c>
      <c r="I266" s="112">
        <v>0.6386</v>
      </c>
      <c r="J266" s="112">
        <v>0.9226</v>
      </c>
      <c r="K266" s="100">
        <v>1.0</v>
      </c>
      <c r="L266" s="99">
        <v>0.324140000000001</v>
      </c>
      <c r="M266" s="112">
        <v>0.7716</v>
      </c>
      <c r="N266" s="57">
        <f t="shared" si="4"/>
        <v>0.7093097168</v>
      </c>
      <c r="O266" s="57">
        <f t="shared" si="1"/>
        <v>73.35984974</v>
      </c>
      <c r="P266" s="112">
        <v>7646.97894</v>
      </c>
      <c r="Q266" s="112">
        <v>5.377528</v>
      </c>
      <c r="R266" s="112">
        <v>0.7368</v>
      </c>
      <c r="S266" s="112">
        <v>0.6545</v>
      </c>
      <c r="T266" s="112">
        <v>0.7252</v>
      </c>
      <c r="U266" s="112">
        <v>0.7366</v>
      </c>
      <c r="V266" s="112">
        <v>0.6545</v>
      </c>
      <c r="W266" s="112">
        <v>0.7368</v>
      </c>
      <c r="X266" s="112">
        <v>0.6758</v>
      </c>
      <c r="Y266" s="112">
        <v>0.7278</v>
      </c>
      <c r="Z266" s="112">
        <v>0.7161</v>
      </c>
      <c r="AA266" s="112">
        <v>0.5163</v>
      </c>
      <c r="AB266" s="112">
        <v>0.5097</v>
      </c>
      <c r="AC266" s="112">
        <v>0.7575</v>
      </c>
      <c r="AD266" s="112">
        <v>0.4489</v>
      </c>
      <c r="AE266" s="112">
        <v>0.5637</v>
      </c>
      <c r="AF266" s="112">
        <v>0.6591</v>
      </c>
      <c r="AG266" s="112">
        <v>0.7604</v>
      </c>
      <c r="AH266" s="112">
        <v>0.8569</v>
      </c>
      <c r="AI266" s="112">
        <v>0.8058</v>
      </c>
      <c r="AJ266" s="112">
        <v>0.7241</v>
      </c>
      <c r="AK266" s="112">
        <v>0.6578</v>
      </c>
      <c r="AL266" s="112">
        <v>0.6577</v>
      </c>
      <c r="AM266" s="112">
        <v>0.6578</v>
      </c>
      <c r="AN266" s="112">
        <v>0.7693</v>
      </c>
      <c r="AO266" s="49"/>
      <c r="AP266" s="49"/>
      <c r="AQ266" s="49"/>
    </row>
    <row r="267">
      <c r="A267" s="16"/>
      <c r="B267" s="16"/>
      <c r="C267" s="54">
        <v>4.0</v>
      </c>
      <c r="D267" s="112">
        <v>1.0</v>
      </c>
      <c r="E267" s="112">
        <v>1.0</v>
      </c>
      <c r="F267" s="112">
        <v>1.0</v>
      </c>
      <c r="G267" s="112">
        <v>0.4635</v>
      </c>
      <c r="H267" s="112">
        <v>0.9223</v>
      </c>
      <c r="I267" s="112">
        <v>0.6287</v>
      </c>
      <c r="J267" s="112">
        <v>0.9222</v>
      </c>
      <c r="K267" s="100">
        <v>1.0</v>
      </c>
      <c r="L267" s="99">
        <v>0.324140000000001</v>
      </c>
      <c r="M267" s="112">
        <v>0.7565</v>
      </c>
      <c r="N267" s="57">
        <f t="shared" si="4"/>
        <v>0.735297078</v>
      </c>
      <c r="O267" s="57">
        <f t="shared" si="1"/>
        <v>74.37059859</v>
      </c>
      <c r="P267" s="112">
        <v>7646.97894</v>
      </c>
      <c r="Q267" s="112">
        <v>5.763159</v>
      </c>
      <c r="R267" s="112">
        <v>0.7627</v>
      </c>
      <c r="S267" s="112">
        <v>0.6797</v>
      </c>
      <c r="T267" s="112">
        <v>0.7665</v>
      </c>
      <c r="U267" s="112">
        <v>0.7637</v>
      </c>
      <c r="V267" s="112">
        <v>0.6797</v>
      </c>
      <c r="W267" s="112">
        <v>0.7627</v>
      </c>
      <c r="X267" s="112">
        <v>0.7108</v>
      </c>
      <c r="Y267" s="112">
        <v>0.7541</v>
      </c>
      <c r="Z267" s="112">
        <v>0.7342</v>
      </c>
      <c r="AA267" s="112">
        <v>0.561</v>
      </c>
      <c r="AB267" s="112">
        <v>0.5504</v>
      </c>
      <c r="AC267" s="112">
        <v>0.7552</v>
      </c>
      <c r="AD267" s="112">
        <v>0.505</v>
      </c>
      <c r="AE267" s="112">
        <v>0.6052</v>
      </c>
      <c r="AF267" s="112">
        <v>0.6974</v>
      </c>
      <c r="AG267" s="112">
        <v>0.7576</v>
      </c>
      <c r="AH267" s="112">
        <v>0.8878</v>
      </c>
      <c r="AI267" s="112">
        <v>0.8176</v>
      </c>
      <c r="AJ267" s="112">
        <v>0.7248</v>
      </c>
      <c r="AK267" s="112">
        <v>0.7866</v>
      </c>
      <c r="AL267" s="112">
        <v>0.6463</v>
      </c>
      <c r="AM267" s="112">
        <v>0.7096</v>
      </c>
      <c r="AN267" s="112">
        <v>0.783</v>
      </c>
      <c r="AO267" s="49"/>
      <c r="AP267" s="49"/>
      <c r="AQ267" s="49"/>
    </row>
    <row r="268">
      <c r="A268" s="96" t="s">
        <v>108</v>
      </c>
      <c r="B268" s="108" t="s">
        <v>22</v>
      </c>
      <c r="C268" s="46">
        <v>1.0</v>
      </c>
      <c r="D268" s="110">
        <v>1.0</v>
      </c>
      <c r="E268" s="110">
        <v>1.0</v>
      </c>
      <c r="F268" s="110">
        <v>1.0</v>
      </c>
      <c r="G268" s="110">
        <v>0.7888</v>
      </c>
      <c r="H268" s="110">
        <v>0.7786</v>
      </c>
      <c r="I268" s="110">
        <v>0.0</v>
      </c>
      <c r="J268" s="110">
        <v>0.8477</v>
      </c>
      <c r="K268" s="92">
        <v>1.0</v>
      </c>
      <c r="L268" s="110">
        <v>0.324140000000001</v>
      </c>
      <c r="M268" s="110">
        <v>0.0231</v>
      </c>
      <c r="N268" s="48">
        <f t="shared" si="4"/>
        <v>0.765367105</v>
      </c>
      <c r="O268" s="48">
        <f t="shared" si="1"/>
        <v>18.86977264</v>
      </c>
      <c r="P268" s="110">
        <v>47.354739</v>
      </c>
      <c r="Q268" s="110">
        <v>1.259024</v>
      </c>
      <c r="R268" s="110">
        <v>0.7096</v>
      </c>
      <c r="S268" s="110">
        <v>0.7649</v>
      </c>
      <c r="T268" s="110">
        <v>0.7958</v>
      </c>
      <c r="U268" s="110">
        <v>0.8875</v>
      </c>
      <c r="V268" s="110">
        <v>0.7649</v>
      </c>
      <c r="W268" s="110">
        <v>0.7096</v>
      </c>
      <c r="X268" s="110">
        <v>0.7101</v>
      </c>
      <c r="Y268" s="110">
        <v>0.7423</v>
      </c>
      <c r="Z268" s="110">
        <v>0.8039</v>
      </c>
      <c r="AA268" s="110">
        <v>0.6223</v>
      </c>
      <c r="AB268" s="110">
        <v>0.5577</v>
      </c>
      <c r="AC268" s="110">
        <v>0.3875</v>
      </c>
      <c r="AD268" s="110">
        <v>1.0</v>
      </c>
      <c r="AE268" s="110">
        <v>0.5586</v>
      </c>
      <c r="AF268" s="110">
        <v>0.8026</v>
      </c>
      <c r="AG268" s="110">
        <v>1.0</v>
      </c>
      <c r="AH268" s="110">
        <v>0.6404</v>
      </c>
      <c r="AI268" s="110">
        <v>0.7808</v>
      </c>
      <c r="AJ268" s="110">
        <v>0.8002</v>
      </c>
      <c r="AK268" s="110">
        <v>1.0</v>
      </c>
      <c r="AL268" s="110">
        <v>0.6543</v>
      </c>
      <c r="AM268" s="110">
        <v>0.791</v>
      </c>
      <c r="AN268" s="110">
        <v>0.8089</v>
      </c>
      <c r="AO268" s="69"/>
      <c r="AP268" s="69"/>
      <c r="AQ268" s="69"/>
    </row>
    <row r="269">
      <c r="A269" s="13"/>
      <c r="B269" s="13"/>
      <c r="C269" s="46">
        <v>2.0</v>
      </c>
      <c r="D269" s="110">
        <v>1.0</v>
      </c>
      <c r="E269" s="110">
        <v>1.0</v>
      </c>
      <c r="F269" s="110">
        <v>1.0</v>
      </c>
      <c r="G269" s="110">
        <v>0.7377</v>
      </c>
      <c r="H269" s="110">
        <v>0.9202</v>
      </c>
      <c r="I269" s="110">
        <v>0.0</v>
      </c>
      <c r="J269" s="110">
        <v>0.9055</v>
      </c>
      <c r="K269" s="92">
        <v>1.0</v>
      </c>
      <c r="L269" s="110">
        <v>0.324140000000001</v>
      </c>
      <c r="M269" s="110">
        <v>0.0232</v>
      </c>
      <c r="N269" s="48">
        <f t="shared" si="4"/>
        <v>0.9212047765</v>
      </c>
      <c r="O269" s="48">
        <f t="shared" si="1"/>
        <v>21.12559271</v>
      </c>
      <c r="P269" s="110">
        <v>47.354739</v>
      </c>
      <c r="Q269" s="110">
        <v>1.311271</v>
      </c>
      <c r="R269" s="110">
        <v>0.9065</v>
      </c>
      <c r="S269" s="110">
        <v>0.9363</v>
      </c>
      <c r="T269" s="110">
        <v>0.8876</v>
      </c>
      <c r="U269" s="110">
        <v>0.938</v>
      </c>
      <c r="V269" s="110">
        <v>0.9363</v>
      </c>
      <c r="W269" s="110">
        <v>0.9065</v>
      </c>
      <c r="X269" s="110">
        <v>0.8986</v>
      </c>
      <c r="Y269" s="110">
        <v>0.9128</v>
      </c>
      <c r="Z269" s="110">
        <v>0.9473</v>
      </c>
      <c r="AA269" s="110">
        <v>0.8563</v>
      </c>
      <c r="AB269" s="110">
        <v>0.8444</v>
      </c>
      <c r="AC269" s="110">
        <v>0.6628</v>
      </c>
      <c r="AD269" s="110">
        <v>1.0</v>
      </c>
      <c r="AE269" s="110">
        <v>0.7972</v>
      </c>
      <c r="AF269" s="110">
        <v>0.941</v>
      </c>
      <c r="AG269" s="110">
        <v>1.0</v>
      </c>
      <c r="AH269" s="110">
        <v>0.8618</v>
      </c>
      <c r="AI269" s="110">
        <v>0.9258</v>
      </c>
      <c r="AJ269" s="110">
        <v>0.9283</v>
      </c>
      <c r="AK269" s="110">
        <v>1.0</v>
      </c>
      <c r="AL269" s="110">
        <v>0.9472</v>
      </c>
      <c r="AM269" s="110">
        <v>0.9729</v>
      </c>
      <c r="AN269" s="110">
        <v>0.9732</v>
      </c>
      <c r="AO269" s="69"/>
      <c r="AP269" s="69"/>
      <c r="AQ269" s="69"/>
    </row>
    <row r="270">
      <c r="A270" s="13"/>
      <c r="B270" s="13"/>
      <c r="C270" s="46">
        <v>3.0</v>
      </c>
      <c r="D270" s="110">
        <v>1.0</v>
      </c>
      <c r="E270" s="110">
        <v>1.0</v>
      </c>
      <c r="F270" s="110">
        <v>1.0</v>
      </c>
      <c r="G270" s="110">
        <v>0.6566</v>
      </c>
      <c r="H270" s="110">
        <v>0.9716</v>
      </c>
      <c r="I270" s="110">
        <v>0.0</v>
      </c>
      <c r="J270" s="110">
        <v>0.8734</v>
      </c>
      <c r="K270" s="92">
        <v>1.0</v>
      </c>
      <c r="L270" s="110">
        <v>0.324140000000001</v>
      </c>
      <c r="M270" s="110">
        <v>0.0222</v>
      </c>
      <c r="N270" s="48">
        <f t="shared" si="4"/>
        <v>0.9715578811</v>
      </c>
      <c r="O270" s="48">
        <f t="shared" si="1"/>
        <v>21.43001116</v>
      </c>
      <c r="P270" s="110">
        <v>47.354739</v>
      </c>
      <c r="Q270" s="110">
        <v>1.330111</v>
      </c>
      <c r="R270" s="110">
        <v>0.9682</v>
      </c>
      <c r="S270" s="110">
        <v>0.9781</v>
      </c>
      <c r="T270" s="110">
        <v>0.9509</v>
      </c>
      <c r="U270" s="110">
        <v>0.9729</v>
      </c>
      <c r="V270" s="110">
        <v>0.9781</v>
      </c>
      <c r="W270" s="110">
        <v>0.9682</v>
      </c>
      <c r="X270" s="110">
        <v>0.9623</v>
      </c>
      <c r="Y270" s="110">
        <v>0.9691</v>
      </c>
      <c r="Z270" s="110">
        <v>0.9824</v>
      </c>
      <c r="AA270" s="110">
        <v>0.9467</v>
      </c>
      <c r="AB270" s="110">
        <v>0.9451</v>
      </c>
      <c r="AC270" s="110">
        <v>0.8526</v>
      </c>
      <c r="AD270" s="110">
        <v>1.0</v>
      </c>
      <c r="AE270" s="110">
        <v>0.9204</v>
      </c>
      <c r="AF270" s="110">
        <v>0.9803</v>
      </c>
      <c r="AG270" s="110">
        <v>1.0</v>
      </c>
      <c r="AH270" s="110">
        <v>0.9534</v>
      </c>
      <c r="AI270" s="110">
        <v>0.9762</v>
      </c>
      <c r="AJ270" s="110">
        <v>0.9764</v>
      </c>
      <c r="AK270" s="110">
        <v>1.0</v>
      </c>
      <c r="AL270" s="110">
        <v>0.981</v>
      </c>
      <c r="AM270" s="110">
        <v>0.9904</v>
      </c>
      <c r="AN270" s="110">
        <v>0.9904</v>
      </c>
      <c r="AO270" s="69"/>
      <c r="AP270" s="69"/>
      <c r="AQ270" s="69"/>
    </row>
    <row r="271">
      <c r="A271" s="13"/>
      <c r="B271" s="16"/>
      <c r="C271" s="46">
        <v>4.0</v>
      </c>
      <c r="D271" s="110">
        <v>1.0</v>
      </c>
      <c r="E271" s="110">
        <v>1.0</v>
      </c>
      <c r="F271" s="110">
        <v>1.0</v>
      </c>
      <c r="G271" s="110">
        <v>0.7377</v>
      </c>
      <c r="H271" s="110">
        <v>0.9202</v>
      </c>
      <c r="I271" s="110">
        <v>0.0</v>
      </c>
      <c r="J271" s="110">
        <v>0.9055</v>
      </c>
      <c r="K271" s="92">
        <v>1.0</v>
      </c>
      <c r="L271" s="110">
        <v>0.324140000000001</v>
      </c>
      <c r="M271" s="110">
        <v>0.0232</v>
      </c>
      <c r="N271" s="48">
        <f t="shared" si="4"/>
        <v>0.9212047765</v>
      </c>
      <c r="O271" s="48">
        <f t="shared" si="1"/>
        <v>21.12559271</v>
      </c>
      <c r="P271" s="110">
        <v>47.354739</v>
      </c>
      <c r="Q271" s="110">
        <v>1.311271</v>
      </c>
      <c r="R271" s="110">
        <v>0.9065</v>
      </c>
      <c r="S271" s="110">
        <v>0.9363</v>
      </c>
      <c r="T271" s="110">
        <v>0.8876</v>
      </c>
      <c r="U271" s="110">
        <v>0.938</v>
      </c>
      <c r="V271" s="110">
        <v>0.9363</v>
      </c>
      <c r="W271" s="110">
        <v>0.9065</v>
      </c>
      <c r="X271" s="110">
        <v>0.8986</v>
      </c>
      <c r="Y271" s="110">
        <v>0.9128</v>
      </c>
      <c r="Z271" s="110">
        <v>0.9473</v>
      </c>
      <c r="AA271" s="110">
        <v>0.8563</v>
      </c>
      <c r="AB271" s="110">
        <v>0.8444</v>
      </c>
      <c r="AC271" s="110">
        <v>0.6628</v>
      </c>
      <c r="AD271" s="110">
        <v>1.0</v>
      </c>
      <c r="AE271" s="110">
        <v>0.7972</v>
      </c>
      <c r="AF271" s="110">
        <v>0.941</v>
      </c>
      <c r="AG271" s="110">
        <v>1.0</v>
      </c>
      <c r="AH271" s="110">
        <v>0.8618</v>
      </c>
      <c r="AI271" s="110">
        <v>0.9258</v>
      </c>
      <c r="AJ271" s="110">
        <v>0.9283</v>
      </c>
      <c r="AK271" s="110">
        <v>1.0</v>
      </c>
      <c r="AL271" s="110">
        <v>0.9472</v>
      </c>
      <c r="AM271" s="110">
        <v>0.9729</v>
      </c>
      <c r="AN271" s="110">
        <v>0.9732</v>
      </c>
      <c r="AO271" s="69"/>
      <c r="AP271" s="69"/>
      <c r="AQ271" s="69"/>
    </row>
    <row r="272">
      <c r="A272" s="13"/>
      <c r="B272" s="97" t="s">
        <v>23</v>
      </c>
      <c r="C272" s="46">
        <v>1.0</v>
      </c>
      <c r="D272" s="110">
        <v>1.0</v>
      </c>
      <c r="E272" s="110">
        <v>1.0</v>
      </c>
      <c r="F272" s="110">
        <v>1.0</v>
      </c>
      <c r="G272" s="110">
        <v>0.5293</v>
      </c>
      <c r="H272" s="110">
        <v>0.9288</v>
      </c>
      <c r="I272" s="110">
        <v>0.0242</v>
      </c>
      <c r="J272" s="110">
        <v>0.9289</v>
      </c>
      <c r="K272" s="92">
        <v>1.0</v>
      </c>
      <c r="L272" s="110">
        <v>0.324140000000001</v>
      </c>
      <c r="M272" s="110">
        <v>0.4061</v>
      </c>
      <c r="N272" s="48">
        <f t="shared" si="4"/>
        <v>0.7527296827</v>
      </c>
      <c r="O272" s="48">
        <f t="shared" si="1"/>
        <v>58.80802861</v>
      </c>
      <c r="P272" s="110">
        <v>47.986592</v>
      </c>
      <c r="Q272" s="110">
        <v>0.64487</v>
      </c>
      <c r="R272" s="110">
        <v>0.7712</v>
      </c>
      <c r="S272" s="110">
        <v>0.7044</v>
      </c>
      <c r="T272" s="110">
        <v>0.7738</v>
      </c>
      <c r="U272" s="110">
        <v>0.7928</v>
      </c>
      <c r="V272" s="110">
        <v>0.7044</v>
      </c>
      <c r="W272" s="110">
        <v>0.7712</v>
      </c>
      <c r="X272" s="110">
        <v>0.7259</v>
      </c>
      <c r="Y272" s="110">
        <v>0.7724</v>
      </c>
      <c r="Z272" s="110">
        <v>0.7648</v>
      </c>
      <c r="AA272" s="110">
        <v>0.5877</v>
      </c>
      <c r="AB272" s="110">
        <v>0.5818</v>
      </c>
      <c r="AC272" s="110">
        <v>0.5248</v>
      </c>
      <c r="AD272" s="110">
        <v>0.5845</v>
      </c>
      <c r="AE272" s="110">
        <v>0.5531</v>
      </c>
      <c r="AF272" s="110">
        <v>0.7176</v>
      </c>
      <c r="AG272" s="110">
        <v>0.7966</v>
      </c>
      <c r="AH272" s="110">
        <v>0.8742</v>
      </c>
      <c r="AI272" s="110">
        <v>0.8336</v>
      </c>
      <c r="AJ272" s="110">
        <v>0.7706</v>
      </c>
      <c r="AK272" s="110">
        <v>1.0</v>
      </c>
      <c r="AL272" s="110">
        <v>0.6543</v>
      </c>
      <c r="AM272" s="110">
        <v>0.791</v>
      </c>
      <c r="AN272" s="110">
        <v>0.8089</v>
      </c>
      <c r="AO272" s="58"/>
      <c r="AP272" s="58"/>
      <c r="AQ272" s="58"/>
    </row>
    <row r="273">
      <c r="A273" s="13"/>
      <c r="B273" s="13"/>
      <c r="C273" s="46">
        <v>2.0</v>
      </c>
      <c r="D273" s="110">
        <v>1.0</v>
      </c>
      <c r="E273" s="110">
        <v>1.0</v>
      </c>
      <c r="F273" s="110">
        <v>1.0</v>
      </c>
      <c r="G273" s="110">
        <v>0.5943</v>
      </c>
      <c r="H273" s="110">
        <v>0.9888</v>
      </c>
      <c r="I273" s="110">
        <v>0.0</v>
      </c>
      <c r="J273" s="110">
        <v>0.9888</v>
      </c>
      <c r="K273" s="92">
        <v>1.0</v>
      </c>
      <c r="L273" s="110">
        <v>0.324140000000001</v>
      </c>
      <c r="M273" s="110">
        <v>0.009</v>
      </c>
      <c r="N273" s="48">
        <f t="shared" si="4"/>
        <v>0.9075388009</v>
      </c>
      <c r="O273" s="48">
        <f t="shared" si="1"/>
        <v>14.33560826</v>
      </c>
      <c r="P273" s="110">
        <v>47.986592</v>
      </c>
      <c r="Q273" s="110">
        <v>0.754449</v>
      </c>
      <c r="R273" s="110">
        <v>0.9128</v>
      </c>
      <c r="S273" s="110">
        <v>0.8897</v>
      </c>
      <c r="T273" s="110">
        <v>0.903</v>
      </c>
      <c r="U273" s="110">
        <v>0.9135</v>
      </c>
      <c r="V273" s="110">
        <v>0.8897</v>
      </c>
      <c r="W273" s="110">
        <v>0.9128</v>
      </c>
      <c r="X273" s="110">
        <v>0.896</v>
      </c>
      <c r="Y273" s="110">
        <v>0.9129</v>
      </c>
      <c r="Z273" s="110">
        <v>0.9143</v>
      </c>
      <c r="AA273" s="110">
        <v>0.8451</v>
      </c>
      <c r="AB273" s="110">
        <v>0.8448</v>
      </c>
      <c r="AC273" s="110">
        <v>0.7903</v>
      </c>
      <c r="AD273" s="110">
        <v>0.7812</v>
      </c>
      <c r="AE273" s="110">
        <v>0.7857</v>
      </c>
      <c r="AF273" s="110">
        <v>0.863</v>
      </c>
      <c r="AG273" s="110">
        <v>0.9186</v>
      </c>
      <c r="AH273" s="110">
        <v>0.9405</v>
      </c>
      <c r="AI273" s="110">
        <v>0.9294</v>
      </c>
      <c r="AJ273" s="110">
        <v>0.9099</v>
      </c>
      <c r="AK273" s="110">
        <v>1.0</v>
      </c>
      <c r="AL273" s="110">
        <v>0.9472</v>
      </c>
      <c r="AM273" s="110">
        <v>0.9729</v>
      </c>
      <c r="AN273" s="110">
        <v>0.9732</v>
      </c>
      <c r="AO273" s="58"/>
      <c r="AP273" s="58"/>
      <c r="AQ273" s="58"/>
    </row>
    <row r="274">
      <c r="A274" s="13"/>
      <c r="B274" s="13"/>
      <c r="C274" s="46">
        <v>3.0</v>
      </c>
      <c r="D274" s="110">
        <v>1.0</v>
      </c>
      <c r="E274" s="110">
        <v>1.0</v>
      </c>
      <c r="F274" s="110">
        <v>1.0</v>
      </c>
      <c r="G274" s="110">
        <v>0.6111</v>
      </c>
      <c r="H274" s="110">
        <v>0.9963</v>
      </c>
      <c r="I274" s="110">
        <v>0.0</v>
      </c>
      <c r="J274" s="110">
        <v>0.9964</v>
      </c>
      <c r="K274" s="92">
        <v>1.0</v>
      </c>
      <c r="L274" s="110">
        <v>0.324140000000001</v>
      </c>
      <c r="M274" s="110">
        <v>0.009</v>
      </c>
      <c r="N274" s="48">
        <f t="shared" si="4"/>
        <v>0.9707143598</v>
      </c>
      <c r="O274" s="48">
        <f t="shared" si="1"/>
        <v>14.92629004</v>
      </c>
      <c r="P274" s="110">
        <v>47.986592</v>
      </c>
      <c r="Q274" s="110">
        <v>0.787541</v>
      </c>
      <c r="R274" s="110">
        <v>0.972</v>
      </c>
      <c r="S274" s="110">
        <v>0.9656</v>
      </c>
      <c r="T274" s="110">
        <v>0.968</v>
      </c>
      <c r="U274" s="110">
        <v>0.9721</v>
      </c>
      <c r="V274" s="110">
        <v>0.9656</v>
      </c>
      <c r="W274" s="110">
        <v>0.972</v>
      </c>
      <c r="X274" s="110">
        <v>0.9668</v>
      </c>
      <c r="Y274" s="110">
        <v>0.972</v>
      </c>
      <c r="Z274" s="110">
        <v>0.9739</v>
      </c>
      <c r="AA274" s="110">
        <v>0.9505</v>
      </c>
      <c r="AB274" s="110">
        <v>0.9505</v>
      </c>
      <c r="AC274" s="110">
        <v>0.9291</v>
      </c>
      <c r="AD274" s="110">
        <v>0.9363</v>
      </c>
      <c r="AE274" s="110">
        <v>0.9327</v>
      </c>
      <c r="AF274" s="110">
        <v>0.9598</v>
      </c>
      <c r="AG274" s="110">
        <v>0.9748</v>
      </c>
      <c r="AH274" s="110">
        <v>0.9796</v>
      </c>
      <c r="AI274" s="110">
        <v>0.9772</v>
      </c>
      <c r="AJ274" s="110">
        <v>0.9716</v>
      </c>
      <c r="AK274" s="110">
        <v>1.0</v>
      </c>
      <c r="AL274" s="110">
        <v>0.981</v>
      </c>
      <c r="AM274" s="110">
        <v>0.9904</v>
      </c>
      <c r="AN274" s="110">
        <v>0.9904</v>
      </c>
      <c r="AO274" s="58"/>
      <c r="AP274" s="58"/>
      <c r="AQ274" s="58"/>
    </row>
    <row r="275">
      <c r="A275" s="13"/>
      <c r="B275" s="16"/>
      <c r="C275" s="46">
        <v>4.0</v>
      </c>
      <c r="D275" s="110">
        <v>1.0</v>
      </c>
      <c r="E275" s="110">
        <v>1.0</v>
      </c>
      <c r="F275" s="110">
        <v>1.0</v>
      </c>
      <c r="G275" s="110">
        <v>0.5943</v>
      </c>
      <c r="H275" s="110">
        <v>0.9888</v>
      </c>
      <c r="I275" s="110">
        <v>0.0</v>
      </c>
      <c r="J275" s="110">
        <v>0.9888</v>
      </c>
      <c r="K275" s="92">
        <v>1.0</v>
      </c>
      <c r="L275" s="110">
        <v>0.324140000000001</v>
      </c>
      <c r="M275" s="110">
        <v>0.009</v>
      </c>
      <c r="N275" s="48">
        <f t="shared" si="4"/>
        <v>0.9075388009</v>
      </c>
      <c r="O275" s="48">
        <f t="shared" si="1"/>
        <v>14.33560826</v>
      </c>
      <c r="P275" s="110">
        <v>47.986592</v>
      </c>
      <c r="Q275" s="110">
        <v>0.754449</v>
      </c>
      <c r="R275" s="110">
        <v>0.9128</v>
      </c>
      <c r="S275" s="110">
        <v>0.8897</v>
      </c>
      <c r="T275" s="110">
        <v>0.903</v>
      </c>
      <c r="U275" s="110">
        <v>0.9135</v>
      </c>
      <c r="V275" s="110">
        <v>0.8897</v>
      </c>
      <c r="W275" s="110">
        <v>0.9128</v>
      </c>
      <c r="X275" s="110">
        <v>0.896</v>
      </c>
      <c r="Y275" s="110">
        <v>0.9129</v>
      </c>
      <c r="Z275" s="110">
        <v>0.9143</v>
      </c>
      <c r="AA275" s="110">
        <v>0.8451</v>
      </c>
      <c r="AB275" s="110">
        <v>0.8448</v>
      </c>
      <c r="AC275" s="110">
        <v>0.7903</v>
      </c>
      <c r="AD275" s="110">
        <v>0.7812</v>
      </c>
      <c r="AE275" s="110">
        <v>0.7857</v>
      </c>
      <c r="AF275" s="110">
        <v>0.863</v>
      </c>
      <c r="AG275" s="110">
        <v>0.9186</v>
      </c>
      <c r="AH275" s="110">
        <v>0.9405</v>
      </c>
      <c r="AI275" s="110">
        <v>0.9294</v>
      </c>
      <c r="AJ275" s="110">
        <v>0.9099</v>
      </c>
      <c r="AK275" s="110">
        <v>1.0</v>
      </c>
      <c r="AL275" s="110">
        <v>0.9472</v>
      </c>
      <c r="AM275" s="110">
        <v>0.9729</v>
      </c>
      <c r="AN275" s="110">
        <v>0.9732</v>
      </c>
      <c r="AO275" s="58"/>
      <c r="AP275" s="58"/>
      <c r="AQ275" s="58"/>
    </row>
    <row r="276">
      <c r="A276" s="13"/>
      <c r="B276" s="97" t="s">
        <v>24</v>
      </c>
      <c r="C276" s="46">
        <v>1.0</v>
      </c>
      <c r="D276" s="110">
        <v>1.0</v>
      </c>
      <c r="E276" s="110">
        <v>1.0</v>
      </c>
      <c r="F276" s="110">
        <v>1.0</v>
      </c>
      <c r="G276" s="110">
        <v>0.4289</v>
      </c>
      <c r="H276" s="110">
        <v>0.9027</v>
      </c>
      <c r="I276" s="110">
        <v>0.8187</v>
      </c>
      <c r="J276" s="110">
        <v>0.7567</v>
      </c>
      <c r="K276" s="92">
        <v>1.0</v>
      </c>
      <c r="L276" s="110">
        <v>0.324140000000001</v>
      </c>
      <c r="M276" s="110">
        <v>0.7516</v>
      </c>
      <c r="N276" s="48">
        <f t="shared" si="4"/>
        <v>0.6136577803</v>
      </c>
      <c r="O276" s="48">
        <f t="shared" si="1"/>
        <v>66.55036711</v>
      </c>
      <c r="P276" s="110">
        <v>9128.801265</v>
      </c>
      <c r="Q276" s="110">
        <v>5.080109</v>
      </c>
      <c r="R276" s="110">
        <v>0.6645</v>
      </c>
      <c r="S276" s="110">
        <v>0.5473</v>
      </c>
      <c r="T276" s="110">
        <v>0.5981</v>
      </c>
      <c r="U276" s="110">
        <v>0.6414</v>
      </c>
      <c r="V276" s="110">
        <v>0.5473</v>
      </c>
      <c r="W276" s="110">
        <v>0.6645</v>
      </c>
      <c r="X276" s="110">
        <v>0.5616</v>
      </c>
      <c r="Y276" s="110">
        <v>0.6436</v>
      </c>
      <c r="Z276" s="110">
        <v>0.5744</v>
      </c>
      <c r="AA276" s="110">
        <v>0.3639</v>
      </c>
      <c r="AB276" s="110">
        <v>0.3531</v>
      </c>
      <c r="AC276" s="110">
        <v>0.2996</v>
      </c>
      <c r="AD276" s="110">
        <v>0.1749</v>
      </c>
      <c r="AE276" s="110">
        <v>0.2208</v>
      </c>
      <c r="AF276" s="110">
        <v>0.3985</v>
      </c>
      <c r="AG276" s="110">
        <v>0.6822</v>
      </c>
      <c r="AH276" s="110">
        <v>0.826</v>
      </c>
      <c r="AI276" s="110">
        <v>0.7472</v>
      </c>
      <c r="AJ276" s="110">
        <v>0.6075</v>
      </c>
      <c r="AK276" s="110">
        <v>0.8126</v>
      </c>
      <c r="AL276" s="110">
        <v>0.6409</v>
      </c>
      <c r="AM276" s="110">
        <v>0.7166</v>
      </c>
      <c r="AN276" s="110">
        <v>0.783</v>
      </c>
      <c r="AO276" s="58"/>
      <c r="AP276" s="58"/>
      <c r="AQ276" s="58"/>
    </row>
    <row r="277">
      <c r="A277" s="13"/>
      <c r="B277" s="13"/>
      <c r="C277" s="46">
        <v>2.0</v>
      </c>
      <c r="D277" s="110">
        <v>1.0</v>
      </c>
      <c r="E277" s="110">
        <v>1.0</v>
      </c>
      <c r="F277" s="110">
        <v>1.0</v>
      </c>
      <c r="G277" s="110">
        <v>0.6565</v>
      </c>
      <c r="H277" s="110">
        <v>0.963</v>
      </c>
      <c r="I277" s="110">
        <v>0.9206</v>
      </c>
      <c r="J277" s="110">
        <v>0.8595</v>
      </c>
      <c r="K277" s="92">
        <v>1.0</v>
      </c>
      <c r="L277" s="110">
        <v>0.324140000000001</v>
      </c>
      <c r="M277" s="110">
        <v>0.8706</v>
      </c>
      <c r="N277" s="48">
        <f t="shared" si="4"/>
        <v>0.7025999901</v>
      </c>
      <c r="O277" s="48">
        <f t="shared" si="1"/>
        <v>76.55126094</v>
      </c>
      <c r="P277" s="110">
        <v>9128.801265</v>
      </c>
      <c r="Q277" s="110">
        <v>5.109417</v>
      </c>
      <c r="R277" s="110">
        <v>0.7053</v>
      </c>
      <c r="S277" s="110">
        <v>0.6709</v>
      </c>
      <c r="T277" s="110">
        <v>0.6444</v>
      </c>
      <c r="U277" s="110">
        <v>0.6985</v>
      </c>
      <c r="V277" s="110">
        <v>0.6709</v>
      </c>
      <c r="W277" s="110">
        <v>0.7053</v>
      </c>
      <c r="X277" s="110">
        <v>0.655</v>
      </c>
      <c r="Y277" s="110">
        <v>0.7</v>
      </c>
      <c r="Z277" s="110">
        <v>0.7136</v>
      </c>
      <c r="AA277" s="110">
        <v>0.49</v>
      </c>
      <c r="AB277" s="110">
        <v>0.4887</v>
      </c>
      <c r="AC277" s="110">
        <v>0.3956</v>
      </c>
      <c r="AD277" s="110">
        <v>0.3586</v>
      </c>
      <c r="AE277" s="110">
        <v>0.3762</v>
      </c>
      <c r="AF277" s="110">
        <v>0.5607</v>
      </c>
      <c r="AG277" s="110">
        <v>0.7641</v>
      </c>
      <c r="AH277" s="110">
        <v>0.7287</v>
      </c>
      <c r="AI277" s="110">
        <v>0.746</v>
      </c>
      <c r="AJ277" s="110">
        <v>0.7022</v>
      </c>
      <c r="AK277" s="110">
        <v>0.7735</v>
      </c>
      <c r="AL277" s="110">
        <v>0.9255</v>
      </c>
      <c r="AM277" s="110">
        <v>0.8427</v>
      </c>
      <c r="AN277" s="110">
        <v>0.9231</v>
      </c>
      <c r="AO277" s="58"/>
      <c r="AP277" s="58"/>
      <c r="AQ277" s="58"/>
    </row>
    <row r="278">
      <c r="A278" s="13"/>
      <c r="B278" s="13"/>
      <c r="C278" s="46">
        <v>3.0</v>
      </c>
      <c r="D278" s="110">
        <v>1.0</v>
      </c>
      <c r="E278" s="110">
        <v>1.0</v>
      </c>
      <c r="F278" s="110">
        <v>1.0</v>
      </c>
      <c r="G278" s="110">
        <v>0.771</v>
      </c>
      <c r="H278" s="110">
        <v>0.9263</v>
      </c>
      <c r="I278" s="110">
        <v>0.9206</v>
      </c>
      <c r="J278" s="110">
        <v>0.9231</v>
      </c>
      <c r="K278" s="92">
        <v>1.0</v>
      </c>
      <c r="L278" s="110">
        <v>0.324140000000001</v>
      </c>
      <c r="M278" s="110">
        <v>0.905</v>
      </c>
      <c r="N278" s="48">
        <f t="shared" si="4"/>
        <v>0.7446288861</v>
      </c>
      <c r="O278" s="48">
        <f t="shared" si="1"/>
        <v>80.50509363</v>
      </c>
      <c r="P278" s="110">
        <v>9128.801265</v>
      </c>
      <c r="Q278" s="110">
        <v>5.155453</v>
      </c>
      <c r="R278" s="110">
        <v>0.7213</v>
      </c>
      <c r="S278" s="110">
        <v>0.7356</v>
      </c>
      <c r="T278" s="110">
        <v>0.6815</v>
      </c>
      <c r="U278" s="110">
        <v>0.7421</v>
      </c>
      <c r="V278" s="110">
        <v>0.7356</v>
      </c>
      <c r="W278" s="110">
        <v>0.7213</v>
      </c>
      <c r="X278" s="110">
        <v>0.7005</v>
      </c>
      <c r="Y278" s="110">
        <v>0.724</v>
      </c>
      <c r="Z278" s="110">
        <v>0.7804</v>
      </c>
      <c r="AA278" s="110">
        <v>0.5489</v>
      </c>
      <c r="AB278" s="110">
        <v>0.5408</v>
      </c>
      <c r="AC278" s="110">
        <v>0.4507</v>
      </c>
      <c r="AD278" s="110">
        <v>0.5708</v>
      </c>
      <c r="AE278" s="110">
        <v>0.5037</v>
      </c>
      <c r="AF278" s="110">
        <v>0.6938</v>
      </c>
      <c r="AG278" s="110">
        <v>0.8212</v>
      </c>
      <c r="AH278" s="110">
        <v>0.6768</v>
      </c>
      <c r="AI278" s="110">
        <v>0.742</v>
      </c>
      <c r="AJ278" s="110">
        <v>0.7304</v>
      </c>
      <c r="AK278" s="110">
        <v>0.7725</v>
      </c>
      <c r="AL278" s="110">
        <v>0.9593</v>
      </c>
      <c r="AM278" s="110">
        <v>0.8558</v>
      </c>
      <c r="AN278" s="110">
        <v>0.938</v>
      </c>
      <c r="AO278" s="58"/>
      <c r="AP278" s="58"/>
      <c r="AQ278" s="58"/>
    </row>
    <row r="279">
      <c r="A279" s="13"/>
      <c r="B279" s="16"/>
      <c r="C279" s="46">
        <v>4.0</v>
      </c>
      <c r="D279" s="110">
        <v>1.0</v>
      </c>
      <c r="E279" s="110">
        <v>1.0</v>
      </c>
      <c r="F279" s="110">
        <v>1.0</v>
      </c>
      <c r="G279" s="110">
        <v>0.8291</v>
      </c>
      <c r="H279" s="110">
        <v>0.8978</v>
      </c>
      <c r="I279" s="110">
        <v>0.9206</v>
      </c>
      <c r="J279" s="110">
        <v>0.9534</v>
      </c>
      <c r="K279" s="92">
        <v>1.0</v>
      </c>
      <c r="L279" s="110">
        <v>0.324140000000001</v>
      </c>
      <c r="M279" s="110">
        <v>0.9184</v>
      </c>
      <c r="N279" s="48">
        <f t="shared" si="4"/>
        <v>0.7604825224</v>
      </c>
      <c r="O279" s="48">
        <f t="shared" si="1"/>
        <v>82.00990192</v>
      </c>
      <c r="P279" s="110">
        <v>9128.801265</v>
      </c>
      <c r="Q279" s="110">
        <v>5.162755</v>
      </c>
      <c r="R279" s="110">
        <v>0.7255</v>
      </c>
      <c r="S279" s="110">
        <v>0.7634</v>
      </c>
      <c r="T279" s="110">
        <v>0.6949</v>
      </c>
      <c r="U279" s="110">
        <v>0.7626</v>
      </c>
      <c r="V279" s="110">
        <v>0.7634</v>
      </c>
      <c r="W279" s="110">
        <v>0.7255</v>
      </c>
      <c r="X279" s="110">
        <v>0.7141</v>
      </c>
      <c r="Y279" s="110">
        <v>0.7295</v>
      </c>
      <c r="Z279" s="110">
        <v>0.8023</v>
      </c>
      <c r="AA279" s="110">
        <v>0.5743</v>
      </c>
      <c r="AB279" s="110">
        <v>0.5589</v>
      </c>
      <c r="AC279" s="110">
        <v>0.4602</v>
      </c>
      <c r="AD279" s="110">
        <v>0.6644</v>
      </c>
      <c r="AE279" s="110">
        <v>0.5438</v>
      </c>
      <c r="AF279" s="110">
        <v>0.7402</v>
      </c>
      <c r="AG279" s="110">
        <v>0.8536</v>
      </c>
      <c r="AH279" s="110">
        <v>0.6474</v>
      </c>
      <c r="AI279" s="110">
        <v>0.7363</v>
      </c>
      <c r="AJ279" s="110">
        <v>0.7376</v>
      </c>
      <c r="AK279" s="110">
        <v>0.771</v>
      </c>
      <c r="AL279" s="110">
        <v>0.9782</v>
      </c>
      <c r="AM279" s="110">
        <v>0.8623</v>
      </c>
      <c r="AN279" s="110">
        <v>0.946</v>
      </c>
      <c r="AO279" s="58"/>
      <c r="AP279" s="58"/>
      <c r="AQ279" s="58"/>
    </row>
    <row r="280">
      <c r="A280" s="13"/>
      <c r="B280" s="97" t="s">
        <v>25</v>
      </c>
      <c r="C280" s="46">
        <v>1.0</v>
      </c>
      <c r="D280" s="110">
        <v>1.0</v>
      </c>
      <c r="E280" s="110">
        <v>1.0</v>
      </c>
      <c r="F280" s="110">
        <v>1.0</v>
      </c>
      <c r="G280" s="110">
        <v>0.8315</v>
      </c>
      <c r="H280" s="110">
        <v>0.798</v>
      </c>
      <c r="I280" s="110">
        <v>0.3613</v>
      </c>
      <c r="J280" s="110">
        <v>0.8525</v>
      </c>
      <c r="K280" s="92">
        <v>1.0</v>
      </c>
      <c r="L280" s="110">
        <v>0.324140000000001</v>
      </c>
      <c r="M280" s="110">
        <v>0.7279</v>
      </c>
      <c r="N280" s="48">
        <f t="shared" si="4"/>
        <v>0.712658684</v>
      </c>
      <c r="O280" s="48">
        <f t="shared" si="1"/>
        <v>71.87165353</v>
      </c>
      <c r="P280" s="110">
        <v>10364.83582</v>
      </c>
      <c r="Q280" s="110">
        <v>5.541388</v>
      </c>
      <c r="R280" s="110">
        <v>0.6645</v>
      </c>
      <c r="S280" s="110">
        <v>0.6962</v>
      </c>
      <c r="T280" s="110">
        <v>0.7323</v>
      </c>
      <c r="U280" s="110">
        <v>0.8107</v>
      </c>
      <c r="V280" s="110">
        <v>0.6962</v>
      </c>
      <c r="W280" s="110">
        <v>0.6645</v>
      </c>
      <c r="X280" s="110">
        <v>0.6582</v>
      </c>
      <c r="Y280" s="110">
        <v>0.695</v>
      </c>
      <c r="Z280" s="110">
        <v>0.7565</v>
      </c>
      <c r="AA280" s="110">
        <v>0.5227</v>
      </c>
      <c r="AB280" s="110">
        <v>0.4787</v>
      </c>
      <c r="AC280" s="110">
        <v>0.3562</v>
      </c>
      <c r="AD280" s="110">
        <v>0.864</v>
      </c>
      <c r="AE280" s="110">
        <v>0.5044</v>
      </c>
      <c r="AF280" s="110">
        <v>0.7485</v>
      </c>
      <c r="AG280" s="110">
        <v>0.9037</v>
      </c>
      <c r="AH280" s="110">
        <v>0.6287</v>
      </c>
      <c r="AI280" s="110">
        <v>0.7415</v>
      </c>
      <c r="AJ280" s="110">
        <v>0.7538</v>
      </c>
      <c r="AK280" s="110">
        <v>0.9371</v>
      </c>
      <c r="AL280" s="110">
        <v>0.5959</v>
      </c>
      <c r="AM280" s="110">
        <v>0.7286</v>
      </c>
      <c r="AN280" s="110">
        <v>0.7674</v>
      </c>
      <c r="AO280" s="58"/>
      <c r="AP280" s="58"/>
      <c r="AQ280" s="58"/>
    </row>
    <row r="281">
      <c r="A281" s="13"/>
      <c r="B281" s="13"/>
      <c r="C281" s="46">
        <v>2.0</v>
      </c>
      <c r="D281" s="110">
        <v>1.0</v>
      </c>
      <c r="E281" s="110">
        <v>1.0</v>
      </c>
      <c r="F281" s="110">
        <v>1.0</v>
      </c>
      <c r="G281" s="110">
        <v>0.7021</v>
      </c>
      <c r="H281" s="110">
        <v>0.9421</v>
      </c>
      <c r="I281" s="110">
        <v>0.3314</v>
      </c>
      <c r="J281" s="110">
        <v>0.8934</v>
      </c>
      <c r="K281" s="92">
        <v>1.0</v>
      </c>
      <c r="L281" s="110">
        <v>0.324140000000001</v>
      </c>
      <c r="M281" s="110">
        <v>0.7218</v>
      </c>
      <c r="N281" s="48">
        <f t="shared" si="4"/>
        <v>0.8563160842</v>
      </c>
      <c r="O281" s="48">
        <f t="shared" si="1"/>
        <v>79.97370419</v>
      </c>
      <c r="P281" s="110">
        <v>10364.83582</v>
      </c>
      <c r="Q281" s="110">
        <v>5.555458</v>
      </c>
      <c r="R281" s="110">
        <v>0.8456</v>
      </c>
      <c r="S281" s="110">
        <v>0.8538</v>
      </c>
      <c r="T281" s="110">
        <v>0.8208</v>
      </c>
      <c r="U281" s="110">
        <v>0.8655</v>
      </c>
      <c r="V281" s="110">
        <v>0.8538</v>
      </c>
      <c r="W281" s="110">
        <v>0.8456</v>
      </c>
      <c r="X281" s="110">
        <v>0.8307</v>
      </c>
      <c r="Y281" s="110">
        <v>0.8509</v>
      </c>
      <c r="Z281" s="110">
        <v>0.8854</v>
      </c>
      <c r="AA281" s="110">
        <v>0.7441</v>
      </c>
      <c r="AB281" s="110">
        <v>0.7387</v>
      </c>
      <c r="AC281" s="110">
        <v>0.6212</v>
      </c>
      <c r="AD281" s="110">
        <v>0.8464</v>
      </c>
      <c r="AE281" s="110">
        <v>0.7165</v>
      </c>
      <c r="AF281" s="110">
        <v>0.8649</v>
      </c>
      <c r="AG281" s="110">
        <v>0.9204</v>
      </c>
      <c r="AH281" s="110">
        <v>0.8302</v>
      </c>
      <c r="AI281" s="110">
        <v>0.873</v>
      </c>
      <c r="AJ281" s="110">
        <v>0.8629</v>
      </c>
      <c r="AK281" s="110">
        <v>0.9208</v>
      </c>
      <c r="AL281" s="110">
        <v>0.885</v>
      </c>
      <c r="AM281" s="110">
        <v>0.9025</v>
      </c>
      <c r="AN281" s="110">
        <v>0.9302</v>
      </c>
      <c r="AO281" s="58"/>
      <c r="AP281" s="58"/>
      <c r="AQ281" s="58"/>
    </row>
    <row r="282">
      <c r="A282" s="13"/>
      <c r="B282" s="13"/>
      <c r="C282" s="46">
        <v>3.0</v>
      </c>
      <c r="D282" s="110">
        <v>1.0</v>
      </c>
      <c r="E282" s="110">
        <v>1.0</v>
      </c>
      <c r="F282" s="110">
        <v>1.0</v>
      </c>
      <c r="G282" s="110">
        <v>0.6231</v>
      </c>
      <c r="H282" s="110">
        <v>0.9952</v>
      </c>
      <c r="I282" s="110">
        <v>0.3259</v>
      </c>
      <c r="J282" s="110">
        <v>0.8559</v>
      </c>
      <c r="K282" s="92">
        <v>1.0</v>
      </c>
      <c r="L282" s="110">
        <v>0.324140000000001</v>
      </c>
      <c r="M282" s="110">
        <v>0.7041</v>
      </c>
      <c r="N282" s="48">
        <f t="shared" si="4"/>
        <v>0.9006490965</v>
      </c>
      <c r="O282" s="48">
        <f t="shared" si="1"/>
        <v>81.61821798</v>
      </c>
      <c r="P282" s="110">
        <v>10364.83582</v>
      </c>
      <c r="Q282" s="110">
        <v>5.493526</v>
      </c>
      <c r="R282" s="110">
        <v>0.9013</v>
      </c>
      <c r="S282" s="110">
        <v>0.8894</v>
      </c>
      <c r="T282" s="110">
        <v>0.8845</v>
      </c>
      <c r="U282" s="110">
        <v>0.9019</v>
      </c>
      <c r="V282" s="110">
        <v>0.8894</v>
      </c>
      <c r="W282" s="110">
        <v>0.9013</v>
      </c>
      <c r="X282" s="110">
        <v>0.8869</v>
      </c>
      <c r="Y282" s="110">
        <v>0.9015</v>
      </c>
      <c r="Z282" s="110">
        <v>0.9142</v>
      </c>
      <c r="AA282" s="110">
        <v>0.8267</v>
      </c>
      <c r="AB282" s="110">
        <v>0.8266</v>
      </c>
      <c r="AC282" s="110">
        <v>0.8115</v>
      </c>
      <c r="AD282" s="110">
        <v>0.834</v>
      </c>
      <c r="AE282" s="110">
        <v>0.8226</v>
      </c>
      <c r="AF282" s="110">
        <v>0.8931</v>
      </c>
      <c r="AG282" s="110">
        <v>0.9237</v>
      </c>
      <c r="AH282" s="110">
        <v>0.9156</v>
      </c>
      <c r="AI282" s="110">
        <v>0.9196</v>
      </c>
      <c r="AJ282" s="110">
        <v>0.9033</v>
      </c>
      <c r="AK282" s="110">
        <v>0.9184</v>
      </c>
      <c r="AL282" s="110">
        <v>0.9187</v>
      </c>
      <c r="AM282" s="110">
        <v>0.9185</v>
      </c>
      <c r="AN282" s="110">
        <v>0.9469</v>
      </c>
      <c r="AO282" s="58"/>
      <c r="AP282" s="58"/>
      <c r="AQ282" s="58"/>
    </row>
    <row r="283">
      <c r="A283" s="13"/>
      <c r="B283" s="16"/>
      <c r="C283" s="46">
        <v>4.0</v>
      </c>
      <c r="D283" s="110">
        <v>1.0</v>
      </c>
      <c r="E283" s="110">
        <v>1.0</v>
      </c>
      <c r="F283" s="110">
        <v>1.0</v>
      </c>
      <c r="G283" s="110">
        <v>0.581</v>
      </c>
      <c r="H283" s="110">
        <v>0.974</v>
      </c>
      <c r="I283" s="110">
        <v>0.3253</v>
      </c>
      <c r="J283" s="110">
        <v>0.8309</v>
      </c>
      <c r="K283" s="92">
        <v>1.0</v>
      </c>
      <c r="L283" s="110">
        <v>0.324140000000001</v>
      </c>
      <c r="M283" s="110">
        <v>0.6869</v>
      </c>
      <c r="N283" s="48">
        <f t="shared" si="4"/>
        <v>0.9255870958</v>
      </c>
      <c r="O283" s="48">
        <f t="shared" si="1"/>
        <v>82.15004038</v>
      </c>
      <c r="P283" s="110">
        <v>10364.83582</v>
      </c>
      <c r="Q283" s="110">
        <v>5.518921</v>
      </c>
      <c r="R283" s="110">
        <v>0.93</v>
      </c>
      <c r="S283" s="110">
        <v>0.9073</v>
      </c>
      <c r="T283" s="110">
        <v>0.9374</v>
      </c>
      <c r="U283" s="110">
        <v>0.9313</v>
      </c>
      <c r="V283" s="110">
        <v>0.9073</v>
      </c>
      <c r="W283" s="110">
        <v>0.93</v>
      </c>
      <c r="X283" s="110">
        <v>0.9203</v>
      </c>
      <c r="Y283" s="110">
        <v>0.9294</v>
      </c>
      <c r="Z283" s="110">
        <v>0.9279</v>
      </c>
      <c r="AA283" s="110">
        <v>0.8757</v>
      </c>
      <c r="AB283" s="110">
        <v>0.8745</v>
      </c>
      <c r="AC283" s="110">
        <v>0.9688</v>
      </c>
      <c r="AD283" s="110">
        <v>0.8241</v>
      </c>
      <c r="AE283" s="110">
        <v>0.8906</v>
      </c>
      <c r="AF283" s="110">
        <v>0.9051</v>
      </c>
      <c r="AG283" s="110">
        <v>0.9242</v>
      </c>
      <c r="AH283" s="110">
        <v>0.9601</v>
      </c>
      <c r="AI283" s="110">
        <v>0.9418</v>
      </c>
      <c r="AJ283" s="110">
        <v>0.9227</v>
      </c>
      <c r="AK283" s="110">
        <v>0.9193</v>
      </c>
      <c r="AL283" s="110">
        <v>0.9376</v>
      </c>
      <c r="AM283" s="110">
        <v>0.9284</v>
      </c>
      <c r="AN283" s="110">
        <v>0.9565</v>
      </c>
      <c r="AO283" s="58"/>
      <c r="AP283" s="58"/>
      <c r="AQ283" s="58"/>
    </row>
    <row r="284">
      <c r="A284" s="13"/>
      <c r="B284" s="97" t="s">
        <v>26</v>
      </c>
      <c r="C284" s="46">
        <v>1.0</v>
      </c>
      <c r="D284" s="110">
        <v>1.0</v>
      </c>
      <c r="E284" s="110">
        <v>1.0</v>
      </c>
      <c r="F284" s="110">
        <v>1.0</v>
      </c>
      <c r="G284" s="110">
        <v>0.9798</v>
      </c>
      <c r="H284" s="110">
        <v>0.8258</v>
      </c>
      <c r="I284" s="110">
        <v>0.3855</v>
      </c>
      <c r="J284" s="110">
        <v>0.972</v>
      </c>
      <c r="K284" s="92">
        <v>1.0</v>
      </c>
      <c r="L284" s="110">
        <v>0.324140000000001</v>
      </c>
      <c r="M284" s="110">
        <v>0.7876</v>
      </c>
      <c r="N284" s="48">
        <f t="shared" si="4"/>
        <v>0.5760109392</v>
      </c>
      <c r="O284" s="48">
        <f t="shared" si="1"/>
        <v>65.28008659</v>
      </c>
      <c r="P284" s="110">
        <v>6988.619101</v>
      </c>
      <c r="Q284" s="110">
        <v>6.194472</v>
      </c>
      <c r="R284" s="110">
        <v>0.5069</v>
      </c>
      <c r="S284" s="110">
        <v>0.5545</v>
      </c>
      <c r="T284" s="110">
        <v>0.5016</v>
      </c>
      <c r="U284" s="110">
        <v>0.59</v>
      </c>
      <c r="V284" s="110">
        <v>0.5545</v>
      </c>
      <c r="W284" s="110">
        <v>0.5069</v>
      </c>
      <c r="X284" s="110">
        <v>0.4973</v>
      </c>
      <c r="Y284" s="110">
        <v>0.5149</v>
      </c>
      <c r="Z284" s="110">
        <v>0.6423</v>
      </c>
      <c r="AA284" s="110">
        <v>0.2733</v>
      </c>
      <c r="AB284" s="110">
        <v>0.2541</v>
      </c>
      <c r="AC284" s="110">
        <v>0.335</v>
      </c>
      <c r="AD284" s="110">
        <v>0.5827</v>
      </c>
      <c r="AE284" s="110">
        <v>0.4255</v>
      </c>
      <c r="AF284" s="110">
        <v>0.6565</v>
      </c>
      <c r="AG284" s="110">
        <v>0.7255</v>
      </c>
      <c r="AH284" s="110">
        <v>0.4267</v>
      </c>
      <c r="AI284" s="110">
        <v>0.5373</v>
      </c>
      <c r="AJ284" s="110">
        <v>0.5724</v>
      </c>
      <c r="AK284" s="110">
        <v>0.4442</v>
      </c>
      <c r="AL284" s="110">
        <v>0.6541</v>
      </c>
      <c r="AM284" s="110">
        <v>0.5291</v>
      </c>
      <c r="AN284" s="110">
        <v>0.7052</v>
      </c>
      <c r="AO284" s="69"/>
      <c r="AP284" s="69"/>
      <c r="AQ284" s="69"/>
    </row>
    <row r="285">
      <c r="A285" s="13"/>
      <c r="B285" s="13"/>
      <c r="C285" s="46">
        <v>2.0</v>
      </c>
      <c r="D285" s="110">
        <v>1.0</v>
      </c>
      <c r="E285" s="110">
        <v>1.0</v>
      </c>
      <c r="F285" s="110">
        <v>1.0</v>
      </c>
      <c r="G285" s="110">
        <v>0.8112</v>
      </c>
      <c r="H285" s="110">
        <v>0.8193</v>
      </c>
      <c r="I285" s="110">
        <v>0.4064</v>
      </c>
      <c r="J285" s="110">
        <v>0.8659</v>
      </c>
      <c r="K285" s="92">
        <v>1.0</v>
      </c>
      <c r="L285" s="110">
        <v>0.324140000000001</v>
      </c>
      <c r="M285" s="110">
        <v>0.7478</v>
      </c>
      <c r="N285" s="48">
        <f t="shared" si="4"/>
        <v>0.6792851747</v>
      </c>
      <c r="O285" s="48">
        <f t="shared" si="1"/>
        <v>70.59037127</v>
      </c>
      <c r="P285" s="110">
        <v>6988.619101</v>
      </c>
      <c r="Q285" s="110">
        <v>5.936947</v>
      </c>
      <c r="R285" s="110">
        <v>0.6161</v>
      </c>
      <c r="S285" s="110">
        <v>0.68</v>
      </c>
      <c r="T285" s="110">
        <v>0.6347</v>
      </c>
      <c r="U285" s="110">
        <v>0.6874</v>
      </c>
      <c r="V285" s="110">
        <v>0.68</v>
      </c>
      <c r="W285" s="110">
        <v>0.6161</v>
      </c>
      <c r="X285" s="110">
        <v>0.619</v>
      </c>
      <c r="Y285" s="110">
        <v>0.6139</v>
      </c>
      <c r="Z285" s="110">
        <v>0.723</v>
      </c>
      <c r="AA285" s="110">
        <v>0.4401</v>
      </c>
      <c r="AB285" s="110">
        <v>0.405</v>
      </c>
      <c r="AC285" s="110">
        <v>0.6548</v>
      </c>
      <c r="AD285" s="110">
        <v>0.5989</v>
      </c>
      <c r="AE285" s="110">
        <v>0.6256</v>
      </c>
      <c r="AF285" s="110">
        <v>0.7459</v>
      </c>
      <c r="AG285" s="110">
        <v>0.7821</v>
      </c>
      <c r="AH285" s="110">
        <v>0.4943</v>
      </c>
      <c r="AI285" s="110">
        <v>0.6058</v>
      </c>
      <c r="AJ285" s="110">
        <v>0.6297</v>
      </c>
      <c r="AK285" s="110">
        <v>0.4671</v>
      </c>
      <c r="AL285" s="110">
        <v>0.9469</v>
      </c>
      <c r="AM285" s="110">
        <v>0.6256</v>
      </c>
      <c r="AN285" s="110">
        <v>0.8046</v>
      </c>
      <c r="AO285" s="69"/>
      <c r="AP285" s="69"/>
      <c r="AQ285" s="69"/>
    </row>
    <row r="286">
      <c r="A286" s="13"/>
      <c r="B286" s="13"/>
      <c r="C286" s="46">
        <v>3.0</v>
      </c>
      <c r="D286" s="110">
        <v>1.0</v>
      </c>
      <c r="E286" s="110">
        <v>1.0</v>
      </c>
      <c r="F286" s="110">
        <v>1.0</v>
      </c>
      <c r="G286" s="110">
        <v>0.7931</v>
      </c>
      <c r="H286" s="110">
        <v>0.8074</v>
      </c>
      <c r="I286" s="110">
        <v>0.4396</v>
      </c>
      <c r="J286" s="110">
        <v>0.866</v>
      </c>
      <c r="K286" s="92">
        <v>1.0</v>
      </c>
      <c r="L286" s="110">
        <v>0.324140000000001</v>
      </c>
      <c r="M286" s="110">
        <v>0.754</v>
      </c>
      <c r="N286" s="48">
        <f t="shared" si="4"/>
        <v>0.729062442</v>
      </c>
      <c r="O286" s="48">
        <f t="shared" si="1"/>
        <v>73.89369334</v>
      </c>
      <c r="P286" s="110">
        <v>6988.619101</v>
      </c>
      <c r="Q286" s="110">
        <v>5.993452</v>
      </c>
      <c r="R286" s="110">
        <v>0.6583</v>
      </c>
      <c r="S286" s="110">
        <v>0.7428</v>
      </c>
      <c r="T286" s="110">
        <v>0.6975</v>
      </c>
      <c r="U286" s="110">
        <v>0.7512</v>
      </c>
      <c r="V286" s="110">
        <v>0.7428</v>
      </c>
      <c r="W286" s="110">
        <v>0.6583</v>
      </c>
      <c r="X286" s="110">
        <v>0.6759</v>
      </c>
      <c r="Y286" s="110">
        <v>0.6589</v>
      </c>
      <c r="Z286" s="110">
        <v>0.7696</v>
      </c>
      <c r="AA286" s="110">
        <v>0.5241</v>
      </c>
      <c r="AB286" s="110">
        <v>0.4769</v>
      </c>
      <c r="AC286" s="110">
        <v>0.7674</v>
      </c>
      <c r="AD286" s="110">
        <v>0.7383</v>
      </c>
      <c r="AE286" s="110">
        <v>0.7526</v>
      </c>
      <c r="AF286" s="110">
        <v>0.8373</v>
      </c>
      <c r="AG286" s="110">
        <v>0.8537</v>
      </c>
      <c r="AH286" s="110">
        <v>0.5096</v>
      </c>
      <c r="AI286" s="110">
        <v>0.6382</v>
      </c>
      <c r="AJ286" s="110">
        <v>0.6675</v>
      </c>
      <c r="AK286" s="110">
        <v>0.4715</v>
      </c>
      <c r="AL286" s="110">
        <v>0.9807</v>
      </c>
      <c r="AM286" s="110">
        <v>0.6368</v>
      </c>
      <c r="AN286" s="110">
        <v>0.8154</v>
      </c>
      <c r="AO286" s="69"/>
      <c r="AP286" s="69"/>
      <c r="AQ286" s="69"/>
    </row>
    <row r="287">
      <c r="A287" s="13"/>
      <c r="B287" s="16"/>
      <c r="C287" s="46">
        <v>4.0</v>
      </c>
      <c r="D287" s="110">
        <v>1.0</v>
      </c>
      <c r="E287" s="110">
        <v>1.0</v>
      </c>
      <c r="F287" s="110">
        <v>1.0</v>
      </c>
      <c r="G287" s="110">
        <v>0.783</v>
      </c>
      <c r="H287" s="110">
        <v>0.7979</v>
      </c>
      <c r="I287" s="110">
        <v>0.4572</v>
      </c>
      <c r="J287" s="110">
        <v>0.8678</v>
      </c>
      <c r="K287" s="92">
        <v>1.0</v>
      </c>
      <c r="L287" s="110">
        <v>0.324140000000001</v>
      </c>
      <c r="M287" s="110">
        <v>0.7565</v>
      </c>
      <c r="N287" s="48">
        <f t="shared" si="4"/>
        <v>0.7529514034</v>
      </c>
      <c r="O287" s="48">
        <f t="shared" si="1"/>
        <v>75.43688402</v>
      </c>
      <c r="P287" s="110">
        <v>6988.619101</v>
      </c>
      <c r="Q287" s="110">
        <v>5.865146</v>
      </c>
      <c r="R287" s="110">
        <v>0.6771</v>
      </c>
      <c r="S287" s="110">
        <v>0.7754</v>
      </c>
      <c r="T287" s="110">
        <v>0.7241</v>
      </c>
      <c r="U287" s="110">
        <v>0.7845</v>
      </c>
      <c r="V287" s="110">
        <v>0.7754</v>
      </c>
      <c r="W287" s="110">
        <v>0.6771</v>
      </c>
      <c r="X287" s="110">
        <v>0.7005</v>
      </c>
      <c r="Y287" s="110">
        <v>0.6777</v>
      </c>
      <c r="Z287" s="110">
        <v>0.7915</v>
      </c>
      <c r="AA287" s="110">
        <v>0.5666</v>
      </c>
      <c r="AB287" s="110">
        <v>0.5109</v>
      </c>
      <c r="AC287" s="110">
        <v>0.799</v>
      </c>
      <c r="AD287" s="110">
        <v>0.8171</v>
      </c>
      <c r="AE287" s="110">
        <v>0.8079</v>
      </c>
      <c r="AF287" s="110">
        <v>0.8828</v>
      </c>
      <c r="AG287" s="110">
        <v>0.8993</v>
      </c>
      <c r="AH287" s="110">
        <v>0.5096</v>
      </c>
      <c r="AI287" s="110">
        <v>0.6505</v>
      </c>
      <c r="AJ287" s="110">
        <v>0.6839</v>
      </c>
      <c r="AK287" s="110">
        <v>0.4738</v>
      </c>
      <c r="AL287" s="110">
        <v>0.9997</v>
      </c>
      <c r="AM287" s="110">
        <v>0.6429</v>
      </c>
      <c r="AN287" s="110">
        <v>0.8213</v>
      </c>
      <c r="AO287" s="69"/>
      <c r="AP287" s="69"/>
      <c r="AQ287" s="69"/>
    </row>
    <row r="288">
      <c r="A288" s="13"/>
      <c r="B288" s="97" t="s">
        <v>27</v>
      </c>
      <c r="C288" s="46">
        <v>1.0</v>
      </c>
      <c r="D288" s="110">
        <v>1.0</v>
      </c>
      <c r="E288" s="110">
        <v>1.0</v>
      </c>
      <c r="F288" s="110">
        <v>1.0</v>
      </c>
      <c r="G288" s="110">
        <v>0.5146</v>
      </c>
      <c r="H288" s="110">
        <v>0.9217</v>
      </c>
      <c r="I288" s="110">
        <v>0.7159</v>
      </c>
      <c r="J288" s="110">
        <v>0.7857</v>
      </c>
      <c r="K288" s="92">
        <v>1.0</v>
      </c>
      <c r="L288" s="110">
        <v>0.324140000000001</v>
      </c>
      <c r="M288" s="110">
        <v>0.7678</v>
      </c>
      <c r="N288" s="48">
        <f t="shared" si="4"/>
        <v>0.5669235329</v>
      </c>
      <c r="O288" s="48">
        <f t="shared" si="1"/>
        <v>64.00500474</v>
      </c>
      <c r="P288" s="110">
        <v>12600.37912</v>
      </c>
      <c r="Q288" s="110">
        <v>5.573303</v>
      </c>
      <c r="R288" s="110">
        <v>0.602</v>
      </c>
      <c r="S288" s="110">
        <v>0.5076</v>
      </c>
      <c r="T288" s="110">
        <v>0.5273</v>
      </c>
      <c r="U288" s="110">
        <v>0.5814</v>
      </c>
      <c r="V288" s="110">
        <v>0.5076</v>
      </c>
      <c r="W288" s="110">
        <v>0.602</v>
      </c>
      <c r="X288" s="110">
        <v>0.5097</v>
      </c>
      <c r="Y288" s="110">
        <v>0.5866</v>
      </c>
      <c r="Z288" s="110">
        <v>0.5658</v>
      </c>
      <c r="AA288" s="110">
        <v>0.2653</v>
      </c>
      <c r="AB288" s="110">
        <v>0.2622</v>
      </c>
      <c r="AC288" s="110">
        <v>0.3765</v>
      </c>
      <c r="AD288" s="110">
        <v>0.2186</v>
      </c>
      <c r="AE288" s="110">
        <v>0.2766</v>
      </c>
      <c r="AF288" s="110">
        <v>0.4481</v>
      </c>
      <c r="AG288" s="110">
        <v>0.6585</v>
      </c>
      <c r="AH288" s="110">
        <v>0.7335</v>
      </c>
      <c r="AI288" s="110">
        <v>0.6939</v>
      </c>
      <c r="AJ288" s="110">
        <v>0.5765</v>
      </c>
      <c r="AK288" s="110">
        <v>0.5469</v>
      </c>
      <c r="AL288" s="110">
        <v>0.5706</v>
      </c>
      <c r="AM288" s="110">
        <v>0.5585</v>
      </c>
      <c r="AN288" s="110">
        <v>0.7011</v>
      </c>
      <c r="AO288" s="69"/>
      <c r="AP288" s="69"/>
      <c r="AQ288" s="69"/>
    </row>
    <row r="289">
      <c r="A289" s="13"/>
      <c r="B289" s="13"/>
      <c r="C289" s="46">
        <v>2.0</v>
      </c>
      <c r="D289" s="110">
        <v>1.0</v>
      </c>
      <c r="E289" s="110">
        <v>1.0</v>
      </c>
      <c r="F289" s="110">
        <v>1.0</v>
      </c>
      <c r="G289" s="110">
        <v>0.6537</v>
      </c>
      <c r="H289" s="110">
        <v>0.9002</v>
      </c>
      <c r="I289" s="110">
        <v>0.6765</v>
      </c>
      <c r="J289" s="110">
        <v>0.8153</v>
      </c>
      <c r="K289" s="92">
        <v>1.0</v>
      </c>
      <c r="L289" s="110">
        <v>0.324140000000001</v>
      </c>
      <c r="M289" s="110">
        <v>0.7985</v>
      </c>
      <c r="N289" s="48">
        <f t="shared" si="4"/>
        <v>0.670838966</v>
      </c>
      <c r="O289" s="48">
        <f t="shared" si="1"/>
        <v>71.92517657</v>
      </c>
      <c r="P289" s="110">
        <v>12600.37912</v>
      </c>
      <c r="Q289" s="110">
        <v>5.540684</v>
      </c>
      <c r="R289" s="110">
        <v>0.6702</v>
      </c>
      <c r="S289" s="110">
        <v>0.6358</v>
      </c>
      <c r="T289" s="110">
        <v>0.6544</v>
      </c>
      <c r="U289" s="110">
        <v>0.6825</v>
      </c>
      <c r="V289" s="110">
        <v>0.6358</v>
      </c>
      <c r="W289" s="110">
        <v>0.6702</v>
      </c>
      <c r="X289" s="110">
        <v>0.625</v>
      </c>
      <c r="Y289" s="110">
        <v>0.6641</v>
      </c>
      <c r="Z289" s="110">
        <v>0.6921</v>
      </c>
      <c r="AA289" s="110">
        <v>0.431</v>
      </c>
      <c r="AB289" s="110">
        <v>0.4246</v>
      </c>
      <c r="AC289" s="110">
        <v>0.6667</v>
      </c>
      <c r="AD289" s="110">
        <v>0.3888</v>
      </c>
      <c r="AE289" s="110">
        <v>0.4912</v>
      </c>
      <c r="AF289" s="110">
        <v>0.6098</v>
      </c>
      <c r="AG289" s="110">
        <v>0.7331</v>
      </c>
      <c r="AH289" s="110">
        <v>0.7013</v>
      </c>
      <c r="AI289" s="110">
        <v>0.7169</v>
      </c>
      <c r="AJ289" s="110">
        <v>0.6663</v>
      </c>
      <c r="AK289" s="110">
        <v>0.5634</v>
      </c>
      <c r="AL289" s="110">
        <v>0.8173</v>
      </c>
      <c r="AM289" s="110">
        <v>0.667</v>
      </c>
      <c r="AN289" s="110">
        <v>0.8159</v>
      </c>
      <c r="AO289" s="58"/>
      <c r="AP289" s="58"/>
      <c r="AQ289" s="58"/>
    </row>
    <row r="290">
      <c r="A290" s="13"/>
      <c r="B290" s="13"/>
      <c r="C290" s="46">
        <v>3.0</v>
      </c>
      <c r="D290" s="110">
        <v>1.0</v>
      </c>
      <c r="E290" s="110">
        <v>1.0</v>
      </c>
      <c r="F290" s="110">
        <v>1.0</v>
      </c>
      <c r="G290" s="110">
        <v>0.7269</v>
      </c>
      <c r="H290" s="110">
        <v>0.9126</v>
      </c>
      <c r="I290" s="110">
        <v>0.6812</v>
      </c>
      <c r="J290" s="110">
        <v>0.8604</v>
      </c>
      <c r="K290" s="92">
        <v>1.0</v>
      </c>
      <c r="L290" s="110">
        <v>0.324140000000001</v>
      </c>
      <c r="M290" s="110">
        <v>0.8278</v>
      </c>
      <c r="N290" s="48">
        <f t="shared" si="4"/>
        <v>0.7187751003</v>
      </c>
      <c r="O290" s="48">
        <f t="shared" si="1"/>
        <v>76.05468697</v>
      </c>
      <c r="P290" s="110">
        <v>12600.37912</v>
      </c>
      <c r="Q290" s="110">
        <v>5.641885</v>
      </c>
      <c r="R290" s="110">
        <v>0.6995</v>
      </c>
      <c r="S290" s="110">
        <v>0.6999</v>
      </c>
      <c r="T290" s="110">
        <v>0.6867</v>
      </c>
      <c r="U290" s="110">
        <v>0.7203</v>
      </c>
      <c r="V290" s="110">
        <v>0.6999</v>
      </c>
      <c r="W290" s="110">
        <v>0.6995</v>
      </c>
      <c r="X290" s="110">
        <v>0.6807</v>
      </c>
      <c r="Y290" s="110">
        <v>0.7005</v>
      </c>
      <c r="Z290" s="110">
        <v>0.7544</v>
      </c>
      <c r="AA290" s="110">
        <v>0.5011</v>
      </c>
      <c r="AB290" s="110">
        <v>0.4929</v>
      </c>
      <c r="AC290" s="110">
        <v>0.7089</v>
      </c>
      <c r="AD290" s="110">
        <v>0.5705</v>
      </c>
      <c r="AE290" s="110">
        <v>0.6322</v>
      </c>
      <c r="AF290" s="110">
        <v>0.7351</v>
      </c>
      <c r="AG290" s="110">
        <v>0.782</v>
      </c>
      <c r="AH290" s="110">
        <v>0.6835</v>
      </c>
      <c r="AI290" s="110">
        <v>0.7294</v>
      </c>
      <c r="AJ290" s="110">
        <v>0.7045</v>
      </c>
      <c r="AK290" s="110">
        <v>0.5691</v>
      </c>
      <c r="AL290" s="110">
        <v>0.8458</v>
      </c>
      <c r="AM290" s="110">
        <v>0.6804</v>
      </c>
      <c r="AN290" s="110">
        <v>0.8289</v>
      </c>
      <c r="AO290" s="58"/>
      <c r="AP290" s="58"/>
      <c r="AQ290" s="58"/>
    </row>
    <row r="291">
      <c r="A291" s="16"/>
      <c r="B291" s="16"/>
      <c r="C291" s="46">
        <v>4.0</v>
      </c>
      <c r="D291" s="110">
        <v>1.0</v>
      </c>
      <c r="E291" s="110">
        <v>1.0</v>
      </c>
      <c r="F291" s="110">
        <v>1.0</v>
      </c>
      <c r="G291" s="110">
        <v>0.7646</v>
      </c>
      <c r="H291" s="110">
        <v>0.912</v>
      </c>
      <c r="I291" s="110">
        <v>0.6879</v>
      </c>
      <c r="J291" s="110">
        <v>0.8858</v>
      </c>
      <c r="K291" s="92">
        <v>1.0</v>
      </c>
      <c r="L291" s="110">
        <v>0.324140000000001</v>
      </c>
      <c r="M291" s="110">
        <v>0.8427</v>
      </c>
      <c r="N291" s="48">
        <f t="shared" si="4"/>
        <v>0.7375370851</v>
      </c>
      <c r="O291" s="48">
        <f t="shared" si="1"/>
        <v>77.79282002</v>
      </c>
      <c r="P291" s="110">
        <v>12600.37912</v>
      </c>
      <c r="Q291" s="110">
        <v>5.91233</v>
      </c>
      <c r="R291" s="110">
        <v>0.7103</v>
      </c>
      <c r="S291" s="110">
        <v>0.7283</v>
      </c>
      <c r="T291" s="110">
        <v>0.6931</v>
      </c>
      <c r="U291" s="110">
        <v>0.7341</v>
      </c>
      <c r="V291" s="110">
        <v>0.7283</v>
      </c>
      <c r="W291" s="110">
        <v>0.7103</v>
      </c>
      <c r="X291" s="110">
        <v>0.6993</v>
      </c>
      <c r="Y291" s="110">
        <v>0.7122</v>
      </c>
      <c r="Z291" s="110">
        <v>0.7779</v>
      </c>
      <c r="AA291" s="110">
        <v>0.5295</v>
      </c>
      <c r="AB291" s="110">
        <v>0.5194</v>
      </c>
      <c r="AC291" s="110">
        <v>0.6946</v>
      </c>
      <c r="AD291" s="110">
        <v>0.6562</v>
      </c>
      <c r="AE291" s="110">
        <v>0.6749</v>
      </c>
      <c r="AF291" s="110">
        <v>0.7833</v>
      </c>
      <c r="AG291" s="110">
        <v>0.8062</v>
      </c>
      <c r="AH291" s="110">
        <v>0.6702</v>
      </c>
      <c r="AI291" s="110">
        <v>0.732</v>
      </c>
      <c r="AJ291" s="110">
        <v>0.7176</v>
      </c>
      <c r="AK291" s="110">
        <v>0.5785</v>
      </c>
      <c r="AL291" s="110">
        <v>0.8584</v>
      </c>
      <c r="AM291" s="110">
        <v>0.6912</v>
      </c>
      <c r="AN291" s="110">
        <v>0.8374</v>
      </c>
      <c r="AO291" s="58"/>
      <c r="AP291" s="58"/>
      <c r="AQ291" s="58"/>
    </row>
    <row r="292">
      <c r="A292" s="113" t="s">
        <v>113</v>
      </c>
      <c r="B292" s="109" t="s">
        <v>22</v>
      </c>
      <c r="C292" s="87">
        <v>1.0</v>
      </c>
      <c r="D292" s="104">
        <v>1.0</v>
      </c>
      <c r="E292" s="104">
        <v>1.0</v>
      </c>
      <c r="F292" s="104">
        <v>1.0</v>
      </c>
      <c r="G292" s="104">
        <v>0.7888</v>
      </c>
      <c r="H292" s="104">
        <v>0.7786</v>
      </c>
      <c r="I292" s="104">
        <v>0.0</v>
      </c>
      <c r="J292" s="104">
        <v>0.853</v>
      </c>
      <c r="K292" s="92">
        <v>1.0</v>
      </c>
      <c r="L292" s="110">
        <v>0.324140000000001</v>
      </c>
      <c r="M292" s="104">
        <v>0.0244</v>
      </c>
      <c r="N292" s="48">
        <f t="shared" si="4"/>
        <v>0.765367105</v>
      </c>
      <c r="O292" s="48">
        <f t="shared" si="1"/>
        <v>19.28758292</v>
      </c>
      <c r="P292" s="104">
        <v>34.083988</v>
      </c>
      <c r="Q292" s="104">
        <v>1.3514</v>
      </c>
      <c r="R292" s="104">
        <v>0.7096</v>
      </c>
      <c r="S292" s="104">
        <v>0.7649</v>
      </c>
      <c r="T292" s="104">
        <v>0.7958</v>
      </c>
      <c r="U292" s="104">
        <v>0.8875</v>
      </c>
      <c r="V292" s="104">
        <v>0.7649</v>
      </c>
      <c r="W292" s="104">
        <v>0.7096</v>
      </c>
      <c r="X292" s="104">
        <v>0.7101</v>
      </c>
      <c r="Y292" s="104">
        <v>0.7423</v>
      </c>
      <c r="Z292" s="104">
        <v>0.8039</v>
      </c>
      <c r="AA292" s="104">
        <v>0.6223</v>
      </c>
      <c r="AB292" s="104">
        <v>0.5577</v>
      </c>
      <c r="AC292" s="104">
        <v>0.3875</v>
      </c>
      <c r="AD292" s="104">
        <v>1.0</v>
      </c>
      <c r="AE292" s="104">
        <v>0.5586</v>
      </c>
      <c r="AF292" s="104">
        <v>0.8026</v>
      </c>
      <c r="AG292" s="104">
        <v>1.0</v>
      </c>
      <c r="AH292" s="104">
        <v>0.6404</v>
      </c>
      <c r="AI292" s="104">
        <v>0.7808</v>
      </c>
      <c r="AJ292" s="104">
        <v>0.8002</v>
      </c>
      <c r="AK292" s="104">
        <v>1.0</v>
      </c>
      <c r="AL292" s="104">
        <v>0.6543</v>
      </c>
      <c r="AM292" s="104">
        <v>0.791</v>
      </c>
      <c r="AN292" s="104">
        <v>0.8089</v>
      </c>
      <c r="AO292" s="64"/>
      <c r="AP292" s="64"/>
      <c r="AQ292" s="64"/>
    </row>
    <row r="293">
      <c r="A293" s="13"/>
      <c r="B293" s="13"/>
      <c r="C293" s="87">
        <v>2.0</v>
      </c>
      <c r="D293" s="104">
        <v>1.0</v>
      </c>
      <c r="E293" s="104">
        <v>1.0</v>
      </c>
      <c r="F293" s="104">
        <v>1.0</v>
      </c>
      <c r="G293" s="104">
        <v>0.7377</v>
      </c>
      <c r="H293" s="104">
        <v>0.9202</v>
      </c>
      <c r="I293" s="104">
        <v>0.0</v>
      </c>
      <c r="J293" s="104">
        <v>0.9118</v>
      </c>
      <c r="K293" s="92">
        <v>1.0</v>
      </c>
      <c r="L293" s="110">
        <v>0.324140000000001</v>
      </c>
      <c r="M293" s="104">
        <v>0.0246</v>
      </c>
      <c r="N293" s="48">
        <f t="shared" si="4"/>
        <v>0.9212047765</v>
      </c>
      <c r="O293" s="48">
        <f t="shared" si="1"/>
        <v>21.62657529</v>
      </c>
      <c r="P293" s="104">
        <v>34.083988</v>
      </c>
      <c r="Q293" s="104">
        <v>1.385609</v>
      </c>
      <c r="R293" s="104">
        <v>0.9065</v>
      </c>
      <c r="S293" s="104">
        <v>0.9363</v>
      </c>
      <c r="T293" s="104">
        <v>0.8876</v>
      </c>
      <c r="U293" s="104">
        <v>0.938</v>
      </c>
      <c r="V293" s="104">
        <v>0.9363</v>
      </c>
      <c r="W293" s="104">
        <v>0.9065</v>
      </c>
      <c r="X293" s="104">
        <v>0.8986</v>
      </c>
      <c r="Y293" s="104">
        <v>0.9128</v>
      </c>
      <c r="Z293" s="104">
        <v>0.9473</v>
      </c>
      <c r="AA293" s="104">
        <v>0.8563</v>
      </c>
      <c r="AB293" s="104">
        <v>0.8444</v>
      </c>
      <c r="AC293" s="104">
        <v>0.6628</v>
      </c>
      <c r="AD293" s="104">
        <v>1.0</v>
      </c>
      <c r="AE293" s="104">
        <v>0.7972</v>
      </c>
      <c r="AF293" s="104">
        <v>0.941</v>
      </c>
      <c r="AG293" s="104">
        <v>1.0</v>
      </c>
      <c r="AH293" s="104">
        <v>0.8618</v>
      </c>
      <c r="AI293" s="104">
        <v>0.9258</v>
      </c>
      <c r="AJ293" s="104">
        <v>0.9283</v>
      </c>
      <c r="AK293" s="104">
        <v>1.0</v>
      </c>
      <c r="AL293" s="104">
        <v>0.9472</v>
      </c>
      <c r="AM293" s="104">
        <v>0.9729</v>
      </c>
      <c r="AN293" s="104">
        <v>0.9732</v>
      </c>
      <c r="AO293" s="64"/>
      <c r="AP293" s="64"/>
      <c r="AQ293" s="64"/>
    </row>
    <row r="294">
      <c r="A294" s="13"/>
      <c r="B294" s="13"/>
      <c r="C294" s="87">
        <v>3.0</v>
      </c>
      <c r="D294" s="104">
        <v>1.0</v>
      </c>
      <c r="E294" s="104">
        <v>1.0</v>
      </c>
      <c r="F294" s="104">
        <v>1.0</v>
      </c>
      <c r="G294" s="104">
        <v>0.6566</v>
      </c>
      <c r="H294" s="104">
        <v>0.9716</v>
      </c>
      <c r="I294" s="104">
        <v>0.0</v>
      </c>
      <c r="J294" s="104">
        <v>0.8781</v>
      </c>
      <c r="K294" s="92">
        <v>1.0</v>
      </c>
      <c r="L294" s="110">
        <v>0.324140000000001</v>
      </c>
      <c r="M294" s="104">
        <v>0.0237</v>
      </c>
      <c r="N294" s="48">
        <f t="shared" si="4"/>
        <v>0.9715578811</v>
      </c>
      <c r="O294" s="48">
        <f t="shared" si="1"/>
        <v>21.99786568</v>
      </c>
      <c r="P294" s="104">
        <v>34.083988</v>
      </c>
      <c r="Q294" s="104">
        <v>1.423803</v>
      </c>
      <c r="R294" s="104">
        <v>0.9682</v>
      </c>
      <c r="S294" s="104">
        <v>0.9781</v>
      </c>
      <c r="T294" s="104">
        <v>0.9509</v>
      </c>
      <c r="U294" s="104">
        <v>0.9729</v>
      </c>
      <c r="V294" s="104">
        <v>0.9781</v>
      </c>
      <c r="W294" s="104">
        <v>0.9682</v>
      </c>
      <c r="X294" s="104">
        <v>0.9623</v>
      </c>
      <c r="Y294" s="104">
        <v>0.9691</v>
      </c>
      <c r="Z294" s="104">
        <v>0.9824</v>
      </c>
      <c r="AA294" s="104">
        <v>0.9467</v>
      </c>
      <c r="AB294" s="104">
        <v>0.9451</v>
      </c>
      <c r="AC294" s="104">
        <v>0.8526</v>
      </c>
      <c r="AD294" s="104">
        <v>1.0</v>
      </c>
      <c r="AE294" s="104">
        <v>0.9204</v>
      </c>
      <c r="AF294" s="104">
        <v>0.9803</v>
      </c>
      <c r="AG294" s="104">
        <v>1.0</v>
      </c>
      <c r="AH294" s="104">
        <v>0.9534</v>
      </c>
      <c r="AI294" s="104">
        <v>0.9762</v>
      </c>
      <c r="AJ294" s="104">
        <v>0.9764</v>
      </c>
      <c r="AK294" s="104">
        <v>1.0</v>
      </c>
      <c r="AL294" s="104">
        <v>0.981</v>
      </c>
      <c r="AM294" s="104">
        <v>0.9904</v>
      </c>
      <c r="AN294" s="104">
        <v>0.9904</v>
      </c>
      <c r="AO294" s="64"/>
      <c r="AP294" s="64"/>
      <c r="AQ294" s="64"/>
    </row>
    <row r="295">
      <c r="A295" s="13"/>
      <c r="B295" s="16"/>
      <c r="C295" s="87">
        <v>4.0</v>
      </c>
      <c r="D295" s="104">
        <v>1.0</v>
      </c>
      <c r="E295" s="104">
        <v>1.0</v>
      </c>
      <c r="F295" s="104">
        <v>1.0</v>
      </c>
      <c r="G295" s="104">
        <v>0.7377</v>
      </c>
      <c r="H295" s="104">
        <v>0.9202</v>
      </c>
      <c r="I295" s="104">
        <v>0.0</v>
      </c>
      <c r="J295" s="104">
        <v>0.9118</v>
      </c>
      <c r="K295" s="92">
        <v>1.0</v>
      </c>
      <c r="L295" s="110">
        <v>0.324140000000001</v>
      </c>
      <c r="M295" s="104">
        <v>0.0246</v>
      </c>
      <c r="N295" s="48">
        <f t="shared" si="4"/>
        <v>0.9212047765</v>
      </c>
      <c r="O295" s="48">
        <f t="shared" si="1"/>
        <v>21.62657529</v>
      </c>
      <c r="P295" s="104">
        <v>34.083988</v>
      </c>
      <c r="Q295" s="104">
        <v>1.385609</v>
      </c>
      <c r="R295" s="104">
        <v>0.9065</v>
      </c>
      <c r="S295" s="104">
        <v>0.9363</v>
      </c>
      <c r="T295" s="104">
        <v>0.8876</v>
      </c>
      <c r="U295" s="104">
        <v>0.938</v>
      </c>
      <c r="V295" s="104">
        <v>0.9363</v>
      </c>
      <c r="W295" s="104">
        <v>0.9065</v>
      </c>
      <c r="X295" s="104">
        <v>0.8986</v>
      </c>
      <c r="Y295" s="104">
        <v>0.9128</v>
      </c>
      <c r="Z295" s="104">
        <v>0.9473</v>
      </c>
      <c r="AA295" s="104">
        <v>0.8563</v>
      </c>
      <c r="AB295" s="104">
        <v>0.8444</v>
      </c>
      <c r="AC295" s="104">
        <v>0.6628</v>
      </c>
      <c r="AD295" s="104">
        <v>1.0</v>
      </c>
      <c r="AE295" s="104">
        <v>0.7972</v>
      </c>
      <c r="AF295" s="104">
        <v>0.941</v>
      </c>
      <c r="AG295" s="104">
        <v>1.0</v>
      </c>
      <c r="AH295" s="104">
        <v>0.8618</v>
      </c>
      <c r="AI295" s="104">
        <v>0.9258</v>
      </c>
      <c r="AJ295" s="104">
        <v>0.9283</v>
      </c>
      <c r="AK295" s="104">
        <v>1.0</v>
      </c>
      <c r="AL295" s="104">
        <v>0.9472</v>
      </c>
      <c r="AM295" s="104">
        <v>0.9729</v>
      </c>
      <c r="AN295" s="104">
        <v>0.9732</v>
      </c>
      <c r="AO295" s="64"/>
      <c r="AP295" s="64"/>
      <c r="AQ295" s="64"/>
    </row>
    <row r="296">
      <c r="A296" s="13"/>
      <c r="B296" s="91" t="s">
        <v>23</v>
      </c>
      <c r="C296" s="87">
        <v>1.0</v>
      </c>
      <c r="D296" s="104">
        <v>1.0</v>
      </c>
      <c r="E296" s="104">
        <v>1.0</v>
      </c>
      <c r="F296" s="104">
        <v>1.0</v>
      </c>
      <c r="G296" s="104">
        <v>0.7933</v>
      </c>
      <c r="H296" s="104">
        <v>0.8419</v>
      </c>
      <c r="I296" s="104">
        <v>0.0425</v>
      </c>
      <c r="J296" s="104">
        <v>0.8711</v>
      </c>
      <c r="K296" s="92">
        <v>1.0</v>
      </c>
      <c r="L296" s="110">
        <v>0.324140000000001</v>
      </c>
      <c r="M296" s="104">
        <v>0.4772</v>
      </c>
      <c r="N296" s="48">
        <f t="shared" si="4"/>
        <v>0.772473614</v>
      </c>
      <c r="O296" s="48">
        <f t="shared" si="1"/>
        <v>63.71040506</v>
      </c>
      <c r="P296" s="104">
        <v>78.434656</v>
      </c>
      <c r="Q296" s="104">
        <v>0.644949</v>
      </c>
      <c r="R296" s="104">
        <v>0.7443</v>
      </c>
      <c r="S296" s="104">
        <v>0.7612</v>
      </c>
      <c r="T296" s="104">
        <v>0.7828</v>
      </c>
      <c r="U296" s="104">
        <v>0.8457</v>
      </c>
      <c r="V296" s="104">
        <v>0.7612</v>
      </c>
      <c r="W296" s="104">
        <v>0.7443</v>
      </c>
      <c r="X296" s="104">
        <v>0.7295</v>
      </c>
      <c r="Y296" s="104">
        <v>0.7659</v>
      </c>
      <c r="Z296" s="104">
        <v>0.8114</v>
      </c>
      <c r="AA296" s="104">
        <v>0.6165</v>
      </c>
      <c r="AB296" s="104">
        <v>0.5867</v>
      </c>
      <c r="AC296" s="104">
        <v>0.4337</v>
      </c>
      <c r="AD296" s="104">
        <v>0.8985</v>
      </c>
      <c r="AE296" s="104">
        <v>0.585</v>
      </c>
      <c r="AF296" s="104">
        <v>0.8132</v>
      </c>
      <c r="AG296" s="104">
        <v>0.9148</v>
      </c>
      <c r="AH296" s="104">
        <v>0.7308</v>
      </c>
      <c r="AI296" s="104">
        <v>0.8125</v>
      </c>
      <c r="AJ296" s="104">
        <v>0.812</v>
      </c>
      <c r="AK296" s="104">
        <v>1.0</v>
      </c>
      <c r="AL296" s="104">
        <v>0.6543</v>
      </c>
      <c r="AM296" s="104">
        <v>0.791</v>
      </c>
      <c r="AN296" s="104">
        <v>0.8089</v>
      </c>
      <c r="AO296" s="49"/>
      <c r="AP296" s="49"/>
      <c r="AQ296" s="49"/>
    </row>
    <row r="297">
      <c r="A297" s="13"/>
      <c r="B297" s="13"/>
      <c r="C297" s="87">
        <v>2.0</v>
      </c>
      <c r="D297" s="104">
        <v>1.0</v>
      </c>
      <c r="E297" s="104">
        <v>1.0</v>
      </c>
      <c r="F297" s="104">
        <v>1.0</v>
      </c>
      <c r="G297" s="104">
        <v>0.7232</v>
      </c>
      <c r="H297" s="104">
        <v>0.9282</v>
      </c>
      <c r="I297" s="104">
        <v>0.0085</v>
      </c>
      <c r="J297" s="104">
        <v>0.9066</v>
      </c>
      <c r="K297" s="92">
        <v>1.0</v>
      </c>
      <c r="L297" s="110">
        <v>0.324140000000001</v>
      </c>
      <c r="M297" s="104">
        <v>0.3493</v>
      </c>
      <c r="N297" s="48">
        <f t="shared" si="4"/>
        <v>0.9206227879</v>
      </c>
      <c r="O297" s="48">
        <f t="shared" si="1"/>
        <v>62.47819391</v>
      </c>
      <c r="P297" s="104">
        <v>78.434656</v>
      </c>
      <c r="Q297" s="104">
        <v>0.734679</v>
      </c>
      <c r="R297" s="104">
        <v>0.9083</v>
      </c>
      <c r="S297" s="104">
        <v>0.9325</v>
      </c>
      <c r="T297" s="104">
        <v>0.8882</v>
      </c>
      <c r="U297" s="104">
        <v>0.9351</v>
      </c>
      <c r="V297" s="104">
        <v>0.9325</v>
      </c>
      <c r="W297" s="104">
        <v>0.9083</v>
      </c>
      <c r="X297" s="104">
        <v>0.8993</v>
      </c>
      <c r="Y297" s="104">
        <v>0.914</v>
      </c>
      <c r="Z297" s="104">
        <v>0.9454</v>
      </c>
      <c r="AA297" s="104">
        <v>0.8558</v>
      </c>
      <c r="AB297" s="104">
        <v>0.8463</v>
      </c>
      <c r="AC297" s="104">
        <v>0.6724</v>
      </c>
      <c r="AD297" s="104">
        <v>0.979</v>
      </c>
      <c r="AE297" s="104">
        <v>0.7972</v>
      </c>
      <c r="AF297" s="104">
        <v>0.9348</v>
      </c>
      <c r="AG297" s="104">
        <v>0.9921</v>
      </c>
      <c r="AH297" s="104">
        <v>0.8713</v>
      </c>
      <c r="AI297" s="104">
        <v>0.9278</v>
      </c>
      <c r="AJ297" s="104">
        <v>0.9287</v>
      </c>
      <c r="AK297" s="104">
        <v>1.0</v>
      </c>
      <c r="AL297" s="104">
        <v>0.9472</v>
      </c>
      <c r="AM297" s="104">
        <v>0.9729</v>
      </c>
      <c r="AN297" s="104">
        <v>0.9732</v>
      </c>
      <c r="AO297" s="49"/>
      <c r="AP297" s="49"/>
      <c r="AQ297" s="49"/>
    </row>
    <row r="298">
      <c r="A298" s="13"/>
      <c r="B298" s="13"/>
      <c r="C298" s="87">
        <v>3.0</v>
      </c>
      <c r="D298" s="104">
        <v>1.0</v>
      </c>
      <c r="E298" s="104">
        <v>1.0</v>
      </c>
      <c r="F298" s="104">
        <v>1.0</v>
      </c>
      <c r="G298" s="104">
        <v>0.6565</v>
      </c>
      <c r="H298" s="104">
        <v>0.9717</v>
      </c>
      <c r="I298" s="104">
        <v>0.004</v>
      </c>
      <c r="J298" s="104">
        <v>0.878</v>
      </c>
      <c r="K298" s="92">
        <v>1.0</v>
      </c>
      <c r="L298" s="110">
        <v>0.324140000000001</v>
      </c>
      <c r="M298" s="104">
        <v>0.2947</v>
      </c>
      <c r="N298" s="48">
        <f t="shared" si="4"/>
        <v>0.9715329165</v>
      </c>
      <c r="O298" s="48">
        <f t="shared" si="1"/>
        <v>60.2874016</v>
      </c>
      <c r="P298" s="104">
        <v>78.434656</v>
      </c>
      <c r="Q298" s="104">
        <v>0.845481</v>
      </c>
      <c r="R298" s="104">
        <v>0.9682</v>
      </c>
      <c r="S298" s="104">
        <v>0.9781</v>
      </c>
      <c r="T298" s="104">
        <v>0.9509</v>
      </c>
      <c r="U298" s="104">
        <v>0.9729</v>
      </c>
      <c r="V298" s="104">
        <v>0.9781</v>
      </c>
      <c r="W298" s="104">
        <v>0.9682</v>
      </c>
      <c r="X298" s="104">
        <v>0.9623</v>
      </c>
      <c r="Y298" s="104">
        <v>0.9691</v>
      </c>
      <c r="Z298" s="104">
        <v>0.9823</v>
      </c>
      <c r="AA298" s="104">
        <v>0.9466</v>
      </c>
      <c r="AB298" s="104">
        <v>0.945</v>
      </c>
      <c r="AC298" s="104">
        <v>0.8527</v>
      </c>
      <c r="AD298" s="104">
        <v>0.9997</v>
      </c>
      <c r="AE298" s="104">
        <v>0.9204</v>
      </c>
      <c r="AF298" s="104">
        <v>0.9802</v>
      </c>
      <c r="AG298" s="104">
        <v>0.9999</v>
      </c>
      <c r="AH298" s="104">
        <v>0.9535</v>
      </c>
      <c r="AI298" s="104">
        <v>0.9761</v>
      </c>
      <c r="AJ298" s="104">
        <v>0.9764</v>
      </c>
      <c r="AK298" s="104">
        <v>1.0</v>
      </c>
      <c r="AL298" s="104">
        <v>0.981</v>
      </c>
      <c r="AM298" s="104">
        <v>0.9904</v>
      </c>
      <c r="AN298" s="104">
        <v>0.9904</v>
      </c>
      <c r="AO298" s="49"/>
      <c r="AP298" s="49"/>
      <c r="AQ298" s="49"/>
    </row>
    <row r="299">
      <c r="A299" s="13"/>
      <c r="B299" s="16"/>
      <c r="C299" s="87">
        <v>4.0</v>
      </c>
      <c r="D299" s="104">
        <v>1.0</v>
      </c>
      <c r="E299" s="104">
        <v>1.0</v>
      </c>
      <c r="F299" s="104">
        <v>1.0</v>
      </c>
      <c r="G299" s="104">
        <v>0.7232</v>
      </c>
      <c r="H299" s="104">
        <v>0.9282</v>
      </c>
      <c r="I299" s="104">
        <v>0.0085</v>
      </c>
      <c r="J299" s="104">
        <v>0.9066</v>
      </c>
      <c r="K299" s="92">
        <v>1.0</v>
      </c>
      <c r="L299" s="110">
        <v>0.324140000000001</v>
      </c>
      <c r="M299" s="104">
        <v>0.3493</v>
      </c>
      <c r="N299" s="48">
        <f t="shared" si="4"/>
        <v>0.9206227879</v>
      </c>
      <c r="O299" s="48">
        <f t="shared" si="1"/>
        <v>62.47819391</v>
      </c>
      <c r="P299" s="104">
        <v>78.434656</v>
      </c>
      <c r="Q299" s="104">
        <v>0.734679</v>
      </c>
      <c r="R299" s="104">
        <v>0.9083</v>
      </c>
      <c r="S299" s="104">
        <v>0.9325</v>
      </c>
      <c r="T299" s="104">
        <v>0.8882</v>
      </c>
      <c r="U299" s="104">
        <v>0.9351</v>
      </c>
      <c r="V299" s="104">
        <v>0.9325</v>
      </c>
      <c r="W299" s="104">
        <v>0.9083</v>
      </c>
      <c r="X299" s="104">
        <v>0.8993</v>
      </c>
      <c r="Y299" s="104">
        <v>0.914</v>
      </c>
      <c r="Z299" s="104">
        <v>0.9454</v>
      </c>
      <c r="AA299" s="104">
        <v>0.8558</v>
      </c>
      <c r="AB299" s="104">
        <v>0.8463</v>
      </c>
      <c r="AC299" s="104">
        <v>0.6724</v>
      </c>
      <c r="AD299" s="104">
        <v>0.979</v>
      </c>
      <c r="AE299" s="104">
        <v>0.7972</v>
      </c>
      <c r="AF299" s="104">
        <v>0.9348</v>
      </c>
      <c r="AG299" s="104">
        <v>0.9921</v>
      </c>
      <c r="AH299" s="104">
        <v>0.8713</v>
      </c>
      <c r="AI299" s="104">
        <v>0.9278</v>
      </c>
      <c r="AJ299" s="104">
        <v>0.9287</v>
      </c>
      <c r="AK299" s="104">
        <v>1.0</v>
      </c>
      <c r="AL299" s="104">
        <v>0.9472</v>
      </c>
      <c r="AM299" s="104">
        <v>0.9729</v>
      </c>
      <c r="AN299" s="104">
        <v>0.9732</v>
      </c>
      <c r="AO299" s="49"/>
      <c r="AP299" s="49"/>
      <c r="AQ299" s="49"/>
    </row>
    <row r="300">
      <c r="A300" s="13"/>
      <c r="B300" s="91" t="s">
        <v>24</v>
      </c>
      <c r="C300" s="87">
        <v>1.0</v>
      </c>
      <c r="D300" s="104">
        <v>1.0</v>
      </c>
      <c r="E300" s="104">
        <v>1.0</v>
      </c>
      <c r="F300" s="104">
        <v>1.0</v>
      </c>
      <c r="G300" s="104">
        <v>0.6593</v>
      </c>
      <c r="H300" s="104">
        <v>0.8183</v>
      </c>
      <c r="I300" s="104">
        <v>0.9684</v>
      </c>
      <c r="J300" s="104">
        <v>0.7452</v>
      </c>
      <c r="K300" s="92">
        <v>1.0</v>
      </c>
      <c r="L300" s="110">
        <v>0.324140000000001</v>
      </c>
      <c r="M300" s="104">
        <v>0.8281</v>
      </c>
      <c r="N300" s="48">
        <f t="shared" si="4"/>
        <v>0.5729622816</v>
      </c>
      <c r="O300" s="48">
        <f t="shared" si="1"/>
        <v>66.39092716</v>
      </c>
      <c r="P300" s="104">
        <v>8305.959317</v>
      </c>
      <c r="Q300" s="104">
        <v>4.86426</v>
      </c>
      <c r="R300" s="104">
        <v>0.6009</v>
      </c>
      <c r="S300" s="104">
        <v>0.5212</v>
      </c>
      <c r="T300" s="104">
        <v>0.5404</v>
      </c>
      <c r="U300" s="104">
        <v>0.6126</v>
      </c>
      <c r="V300" s="104">
        <v>0.5212</v>
      </c>
      <c r="W300" s="104">
        <v>0.6009</v>
      </c>
      <c r="X300" s="104">
        <v>0.4829</v>
      </c>
      <c r="Y300" s="104">
        <v>0.5784</v>
      </c>
      <c r="Z300" s="104">
        <v>0.5466</v>
      </c>
      <c r="AA300" s="104">
        <v>0.3153</v>
      </c>
      <c r="AB300" s="104">
        <v>0.3022</v>
      </c>
      <c r="AC300" s="104">
        <v>0.4569</v>
      </c>
      <c r="AD300" s="104">
        <v>0.1173</v>
      </c>
      <c r="AE300" s="104">
        <v>0.1867</v>
      </c>
      <c r="AF300" s="104">
        <v>0.3371</v>
      </c>
      <c r="AG300" s="104">
        <v>0.7293</v>
      </c>
      <c r="AH300" s="104">
        <v>0.6931</v>
      </c>
      <c r="AI300" s="104">
        <v>0.7108</v>
      </c>
      <c r="AJ300" s="104">
        <v>0.6609</v>
      </c>
      <c r="AK300" s="104">
        <v>0.4348</v>
      </c>
      <c r="AL300" s="104">
        <v>0.753</v>
      </c>
      <c r="AM300" s="104">
        <v>0.5513</v>
      </c>
      <c r="AN300" s="104">
        <v>0.7329</v>
      </c>
      <c r="AO300" s="49"/>
      <c r="AP300" s="49"/>
      <c r="AQ300" s="49"/>
    </row>
    <row r="301">
      <c r="A301" s="13"/>
      <c r="B301" s="13"/>
      <c r="C301" s="87">
        <v>2.0</v>
      </c>
      <c r="D301" s="104">
        <v>1.0</v>
      </c>
      <c r="E301" s="104">
        <v>1.0</v>
      </c>
      <c r="F301" s="104">
        <v>1.0</v>
      </c>
      <c r="G301" s="104">
        <v>0.6709</v>
      </c>
      <c r="H301" s="104">
        <v>0.893</v>
      </c>
      <c r="I301" s="104">
        <v>0.9684</v>
      </c>
      <c r="J301" s="104">
        <v>0.8159</v>
      </c>
      <c r="K301" s="92">
        <v>1.0</v>
      </c>
      <c r="L301" s="110">
        <v>0.324140000000001</v>
      </c>
      <c r="M301" s="104">
        <v>0.8611</v>
      </c>
      <c r="N301" s="48">
        <f t="shared" si="4"/>
        <v>0.6800653093</v>
      </c>
      <c r="O301" s="48">
        <f t="shared" si="1"/>
        <v>74.73977889</v>
      </c>
      <c r="P301" s="104">
        <v>8305.959317</v>
      </c>
      <c r="Q301" s="104">
        <v>4.914095</v>
      </c>
      <c r="R301" s="104">
        <v>0.6918</v>
      </c>
      <c r="S301" s="104">
        <v>0.641</v>
      </c>
      <c r="T301" s="104">
        <v>0.6343</v>
      </c>
      <c r="U301" s="104">
        <v>0.6957</v>
      </c>
      <c r="V301" s="104">
        <v>0.641</v>
      </c>
      <c r="W301" s="104">
        <v>0.6918</v>
      </c>
      <c r="X301" s="104">
        <v>0.6174</v>
      </c>
      <c r="Y301" s="104">
        <v>0.681</v>
      </c>
      <c r="Z301" s="104">
        <v>0.6914</v>
      </c>
      <c r="AA301" s="104">
        <v>0.4746</v>
      </c>
      <c r="AB301" s="104">
        <v>0.4661</v>
      </c>
      <c r="AC301" s="104">
        <v>0.5308</v>
      </c>
      <c r="AD301" s="104">
        <v>0.3059</v>
      </c>
      <c r="AE301" s="104">
        <v>0.3881</v>
      </c>
      <c r="AF301" s="104">
        <v>0.536</v>
      </c>
      <c r="AG301" s="104">
        <v>0.791</v>
      </c>
      <c r="AH301" s="104">
        <v>0.7414</v>
      </c>
      <c r="AI301" s="104">
        <v>0.7654</v>
      </c>
      <c r="AJ301" s="104">
        <v>0.7298</v>
      </c>
      <c r="AK301" s="104">
        <v>0.5811</v>
      </c>
      <c r="AL301" s="104">
        <v>0.8756</v>
      </c>
      <c r="AM301" s="104">
        <v>0.6986</v>
      </c>
      <c r="AN301" s="104">
        <v>0.8448</v>
      </c>
      <c r="AO301" s="49"/>
      <c r="AP301" s="49"/>
      <c r="AQ301" s="49"/>
    </row>
    <row r="302">
      <c r="A302" s="13"/>
      <c r="B302" s="13"/>
      <c r="C302" s="87">
        <v>3.0</v>
      </c>
      <c r="D302" s="104">
        <v>1.0</v>
      </c>
      <c r="E302" s="104">
        <v>1.0</v>
      </c>
      <c r="F302" s="104">
        <v>1.0</v>
      </c>
      <c r="G302" s="104">
        <v>0.6645</v>
      </c>
      <c r="H302" s="104">
        <v>0.9524</v>
      </c>
      <c r="I302" s="104">
        <v>0.9684</v>
      </c>
      <c r="J302" s="104">
        <v>0.8595</v>
      </c>
      <c r="K302" s="92">
        <v>1.0</v>
      </c>
      <c r="L302" s="110">
        <v>0.324140000000001</v>
      </c>
      <c r="M302" s="104">
        <v>0.8797</v>
      </c>
      <c r="N302" s="48">
        <f t="shared" si="4"/>
        <v>0.7419758208</v>
      </c>
      <c r="O302" s="48">
        <f t="shared" si="1"/>
        <v>79.4269139</v>
      </c>
      <c r="P302" s="104">
        <v>8305.959317</v>
      </c>
      <c r="Q302" s="104">
        <v>4.799163</v>
      </c>
      <c r="R302" s="104">
        <v>0.7426</v>
      </c>
      <c r="S302" s="104">
        <v>0.7147</v>
      </c>
      <c r="T302" s="104">
        <v>0.6955</v>
      </c>
      <c r="U302" s="104">
        <v>0.7427</v>
      </c>
      <c r="V302" s="104">
        <v>0.7147</v>
      </c>
      <c r="W302" s="104">
        <v>0.7426</v>
      </c>
      <c r="X302" s="104">
        <v>0.7007</v>
      </c>
      <c r="Y302" s="104">
        <v>0.7395</v>
      </c>
      <c r="Z302" s="104">
        <v>0.7667</v>
      </c>
      <c r="AA302" s="104">
        <v>0.5571</v>
      </c>
      <c r="AB302" s="104">
        <v>0.5547</v>
      </c>
      <c r="AC302" s="104">
        <v>0.5698</v>
      </c>
      <c r="AD302" s="104">
        <v>0.4944</v>
      </c>
      <c r="AE302" s="104">
        <v>0.5294</v>
      </c>
      <c r="AF302" s="104">
        <v>0.6729</v>
      </c>
      <c r="AG302" s="104">
        <v>0.8106</v>
      </c>
      <c r="AH302" s="104">
        <v>0.7656</v>
      </c>
      <c r="AI302" s="104">
        <v>0.7874</v>
      </c>
      <c r="AJ302" s="104">
        <v>0.7541</v>
      </c>
      <c r="AK302" s="104">
        <v>0.7062</v>
      </c>
      <c r="AL302" s="104">
        <v>0.884</v>
      </c>
      <c r="AM302" s="104">
        <v>0.7852</v>
      </c>
      <c r="AN302" s="104">
        <v>0.8881</v>
      </c>
      <c r="AO302" s="49"/>
      <c r="AP302" s="49"/>
      <c r="AQ302" s="49"/>
    </row>
    <row r="303">
      <c r="A303" s="13"/>
      <c r="B303" s="16"/>
      <c r="C303" s="87">
        <v>4.0</v>
      </c>
      <c r="D303" s="104">
        <v>1.0</v>
      </c>
      <c r="E303" s="104">
        <v>1.0</v>
      </c>
      <c r="F303" s="104">
        <v>1.0</v>
      </c>
      <c r="G303" s="104">
        <v>0.6472</v>
      </c>
      <c r="H303" s="104">
        <v>0.98</v>
      </c>
      <c r="I303" s="104">
        <v>0.9684</v>
      </c>
      <c r="J303" s="104">
        <v>0.866</v>
      </c>
      <c r="K303" s="92">
        <v>1.0</v>
      </c>
      <c r="L303" s="110">
        <v>0.324140000000001</v>
      </c>
      <c r="M303" s="104">
        <v>0.8814</v>
      </c>
      <c r="N303" s="48">
        <f t="shared" si="4"/>
        <v>0.7708742506</v>
      </c>
      <c r="O303" s="48">
        <f t="shared" si="1"/>
        <v>81.33160486</v>
      </c>
      <c r="P303" s="104">
        <v>8305.959317</v>
      </c>
      <c r="Q303" s="104">
        <v>4.894469</v>
      </c>
      <c r="R303" s="104">
        <v>0.7696</v>
      </c>
      <c r="S303" s="104">
        <v>0.7474</v>
      </c>
      <c r="T303" s="104">
        <v>0.7318</v>
      </c>
      <c r="U303" s="104">
        <v>0.7693</v>
      </c>
      <c r="V303" s="104">
        <v>0.7474</v>
      </c>
      <c r="W303" s="104">
        <v>0.7696</v>
      </c>
      <c r="X303" s="104">
        <v>0.7388</v>
      </c>
      <c r="Y303" s="104">
        <v>0.7688</v>
      </c>
      <c r="Z303" s="104">
        <v>0.7942</v>
      </c>
      <c r="AA303" s="104">
        <v>0.5997</v>
      </c>
      <c r="AB303" s="104">
        <v>0.5991</v>
      </c>
      <c r="AC303" s="104">
        <v>0.577</v>
      </c>
      <c r="AD303" s="104">
        <v>0.5684</v>
      </c>
      <c r="AE303" s="104">
        <v>0.5727</v>
      </c>
      <c r="AF303" s="104">
        <v>0.7177</v>
      </c>
      <c r="AG303" s="104">
        <v>0.8167</v>
      </c>
      <c r="AH303" s="104">
        <v>0.7874</v>
      </c>
      <c r="AI303" s="104">
        <v>0.8018</v>
      </c>
      <c r="AJ303" s="104">
        <v>0.7664</v>
      </c>
      <c r="AK303" s="104">
        <v>0.8018</v>
      </c>
      <c r="AL303" s="104">
        <v>0.8863</v>
      </c>
      <c r="AM303" s="104">
        <v>0.842</v>
      </c>
      <c r="AN303" s="104">
        <v>0.9107</v>
      </c>
      <c r="AO303" s="49"/>
      <c r="AP303" s="49"/>
      <c r="AQ303" s="49"/>
    </row>
    <row r="304">
      <c r="A304" s="13"/>
      <c r="B304" s="91" t="s">
        <v>25</v>
      </c>
      <c r="C304" s="87">
        <v>1.0</v>
      </c>
      <c r="D304" s="104">
        <v>1.0</v>
      </c>
      <c r="E304" s="104">
        <v>1.0</v>
      </c>
      <c r="F304" s="104">
        <v>1.0</v>
      </c>
      <c r="G304" s="104">
        <v>0.8327</v>
      </c>
      <c r="H304" s="104">
        <v>0.7887</v>
      </c>
      <c r="I304" s="104">
        <v>0.5511</v>
      </c>
      <c r="J304" s="104">
        <v>0.8975</v>
      </c>
      <c r="K304" s="92">
        <v>1.0</v>
      </c>
      <c r="L304" s="110">
        <v>0.324140000000001</v>
      </c>
      <c r="M304" s="104">
        <v>0.7986</v>
      </c>
      <c r="N304" s="48">
        <f t="shared" si="4"/>
        <v>0.6947259645</v>
      </c>
      <c r="O304" s="48">
        <f t="shared" si="1"/>
        <v>73.45474249</v>
      </c>
      <c r="P304" s="104">
        <v>9849.6286</v>
      </c>
      <c r="Q304" s="104">
        <v>9849.6286</v>
      </c>
      <c r="R304" s="104">
        <v>0.6279</v>
      </c>
      <c r="S304" s="104">
        <v>0.6933</v>
      </c>
      <c r="T304" s="104">
        <v>0.6627</v>
      </c>
      <c r="U304" s="104">
        <v>0.7699</v>
      </c>
      <c r="V304" s="104">
        <v>0.6933</v>
      </c>
      <c r="W304" s="104">
        <v>0.6279</v>
      </c>
      <c r="X304" s="104">
        <v>0.6245</v>
      </c>
      <c r="Y304" s="104">
        <v>0.6486</v>
      </c>
      <c r="Z304" s="104">
        <v>0.7482</v>
      </c>
      <c r="AA304" s="104">
        <v>0.4914</v>
      </c>
      <c r="AB304" s="104">
        <v>0.443</v>
      </c>
      <c r="AC304" s="104">
        <v>0.3673</v>
      </c>
      <c r="AD304" s="104">
        <v>0.8894</v>
      </c>
      <c r="AE304" s="104">
        <v>0.5199</v>
      </c>
      <c r="AF304" s="104">
        <v>0.7633</v>
      </c>
      <c r="AG304" s="104">
        <v>0.9231</v>
      </c>
      <c r="AH304" s="104">
        <v>0.5365</v>
      </c>
      <c r="AI304" s="104">
        <v>0.6786</v>
      </c>
      <c r="AJ304" s="104">
        <v>0.7085</v>
      </c>
      <c r="AK304" s="104">
        <v>0.6976</v>
      </c>
      <c r="AL304" s="104">
        <v>0.654</v>
      </c>
      <c r="AM304" s="104">
        <v>0.6751</v>
      </c>
      <c r="AN304" s="104">
        <v>0.7744</v>
      </c>
      <c r="AO304" s="49"/>
      <c r="AP304" s="49"/>
      <c r="AQ304" s="49"/>
    </row>
    <row r="305">
      <c r="A305" s="13"/>
      <c r="B305" s="13"/>
      <c r="C305" s="87">
        <v>2.0</v>
      </c>
      <c r="D305" s="104">
        <v>1.0</v>
      </c>
      <c r="E305" s="104">
        <v>1.0</v>
      </c>
      <c r="F305" s="104">
        <v>1.0</v>
      </c>
      <c r="G305" s="104">
        <v>0.8679</v>
      </c>
      <c r="H305" s="104">
        <v>0.8794</v>
      </c>
      <c r="I305" s="104">
        <v>0.6178</v>
      </c>
      <c r="J305" s="104">
        <v>0.9739</v>
      </c>
      <c r="K305" s="92">
        <v>1.0</v>
      </c>
      <c r="L305" s="110">
        <v>0.324140000000001</v>
      </c>
      <c r="M305" s="104">
        <v>0.8559</v>
      </c>
      <c r="N305" s="48">
        <f t="shared" si="4"/>
        <v>0.8147125958</v>
      </c>
      <c r="O305" s="48">
        <f t="shared" si="1"/>
        <v>83.09442157</v>
      </c>
      <c r="P305" s="104">
        <v>9849.6286</v>
      </c>
      <c r="Q305" s="104">
        <v>4.78526</v>
      </c>
      <c r="R305" s="104">
        <v>0.7754</v>
      </c>
      <c r="S305" s="104">
        <v>0.8353</v>
      </c>
      <c r="T305" s="104">
        <v>0.7479</v>
      </c>
      <c r="U305" s="104">
        <v>0.8272</v>
      </c>
      <c r="V305" s="104">
        <v>0.8353</v>
      </c>
      <c r="W305" s="104">
        <v>0.7754</v>
      </c>
      <c r="X305" s="104">
        <v>0.7684</v>
      </c>
      <c r="Y305" s="104">
        <v>0.7787</v>
      </c>
      <c r="Z305" s="104">
        <v>0.861</v>
      </c>
      <c r="AA305" s="104">
        <v>0.6692</v>
      </c>
      <c r="AB305" s="104">
        <v>0.6449</v>
      </c>
      <c r="AC305" s="104">
        <v>0.5803</v>
      </c>
      <c r="AD305" s="104">
        <v>0.8839</v>
      </c>
      <c r="AE305" s="104">
        <v>0.7006</v>
      </c>
      <c r="AF305" s="104">
        <v>0.8699</v>
      </c>
      <c r="AG305" s="104">
        <v>0.9465</v>
      </c>
      <c r="AH305" s="104">
        <v>0.6763</v>
      </c>
      <c r="AI305" s="104">
        <v>0.7889</v>
      </c>
      <c r="AJ305" s="104">
        <v>0.7995</v>
      </c>
      <c r="AK305" s="104">
        <v>0.717</v>
      </c>
      <c r="AL305" s="104">
        <v>0.9456</v>
      </c>
      <c r="AM305" s="104">
        <v>0.8156</v>
      </c>
      <c r="AN305" s="104">
        <v>0.9177</v>
      </c>
      <c r="AO305" s="49"/>
      <c r="AP305" s="49"/>
      <c r="AQ305" s="49"/>
    </row>
    <row r="306">
      <c r="A306" s="13"/>
      <c r="B306" s="13"/>
      <c r="C306" s="87">
        <v>3.0</v>
      </c>
      <c r="D306" s="104">
        <v>1.0</v>
      </c>
      <c r="E306" s="104">
        <v>1.0</v>
      </c>
      <c r="F306" s="104">
        <v>1.0</v>
      </c>
      <c r="G306" s="104">
        <v>0.8191</v>
      </c>
      <c r="H306" s="104">
        <v>0.9036</v>
      </c>
      <c r="I306" s="104">
        <v>0.6611</v>
      </c>
      <c r="J306" s="104">
        <v>0.9401</v>
      </c>
      <c r="K306" s="92">
        <v>1.0</v>
      </c>
      <c r="L306" s="110">
        <v>0.324140000000001</v>
      </c>
      <c r="M306" s="104">
        <v>0.8561</v>
      </c>
      <c r="N306" s="48">
        <f t="shared" si="4"/>
        <v>0.8516026417</v>
      </c>
      <c r="O306" s="48">
        <f t="shared" si="1"/>
        <v>85.33987429</v>
      </c>
      <c r="P306" s="104">
        <v>9849.6286</v>
      </c>
      <c r="Q306" s="104">
        <v>4.863133</v>
      </c>
      <c r="R306" s="104">
        <v>0.8216</v>
      </c>
      <c r="S306" s="104">
        <v>0.8716</v>
      </c>
      <c r="T306" s="104">
        <v>0.7904</v>
      </c>
      <c r="U306" s="104">
        <v>0.8553</v>
      </c>
      <c r="V306" s="104">
        <v>0.8716</v>
      </c>
      <c r="W306" s="104">
        <v>0.8216</v>
      </c>
      <c r="X306" s="104">
        <v>0.8153</v>
      </c>
      <c r="Y306" s="104">
        <v>0.8231</v>
      </c>
      <c r="Z306" s="104">
        <v>0.891</v>
      </c>
      <c r="AA306" s="104">
        <v>0.7296</v>
      </c>
      <c r="AB306" s="104">
        <v>0.7117</v>
      </c>
      <c r="AC306" s="104">
        <v>0.6933</v>
      </c>
      <c r="AD306" s="104">
        <v>0.8985</v>
      </c>
      <c r="AE306" s="104">
        <v>0.7827</v>
      </c>
      <c r="AF306" s="104">
        <v>0.9045</v>
      </c>
      <c r="AG306" s="104">
        <v>0.9576</v>
      </c>
      <c r="AH306" s="104">
        <v>0.7371</v>
      </c>
      <c r="AI306" s="104">
        <v>0.833</v>
      </c>
      <c r="AJ306" s="104">
        <v>0.8382</v>
      </c>
      <c r="AK306" s="104">
        <v>0.7204</v>
      </c>
      <c r="AL306" s="104">
        <v>0.9792</v>
      </c>
      <c r="AM306" s="104">
        <v>0.8301</v>
      </c>
      <c r="AN306" s="104">
        <v>0.9328</v>
      </c>
      <c r="AO306" s="49"/>
      <c r="AP306" s="49"/>
      <c r="AQ306" s="49"/>
    </row>
    <row r="307">
      <c r="A307" s="13"/>
      <c r="B307" s="16"/>
      <c r="C307" s="87">
        <v>4.0</v>
      </c>
      <c r="D307" s="104">
        <v>1.0</v>
      </c>
      <c r="E307" s="104">
        <v>1.0</v>
      </c>
      <c r="F307" s="104">
        <v>1.0</v>
      </c>
      <c r="G307" s="104">
        <v>0.7957</v>
      </c>
      <c r="H307" s="104">
        <v>0.913</v>
      </c>
      <c r="I307" s="104">
        <v>0.673</v>
      </c>
      <c r="J307" s="104">
        <v>0.9232</v>
      </c>
      <c r="K307" s="92">
        <v>1.0</v>
      </c>
      <c r="L307" s="110">
        <v>0.324140000000001</v>
      </c>
      <c r="M307" s="104">
        <v>0.8529</v>
      </c>
      <c r="N307" s="48">
        <f t="shared" si="4"/>
        <v>0.8682805594</v>
      </c>
      <c r="O307" s="48">
        <f t="shared" si="1"/>
        <v>86.20953293</v>
      </c>
      <c r="P307" s="104">
        <v>9849.6286</v>
      </c>
      <c r="Q307" s="104">
        <v>4.792324</v>
      </c>
      <c r="R307" s="104">
        <v>0.8419</v>
      </c>
      <c r="S307" s="104">
        <v>0.8871</v>
      </c>
      <c r="T307" s="104">
        <v>0.8136</v>
      </c>
      <c r="U307" s="104">
        <v>0.869</v>
      </c>
      <c r="V307" s="104">
        <v>0.8871</v>
      </c>
      <c r="W307" s="104">
        <v>0.8419</v>
      </c>
      <c r="X307" s="104">
        <v>0.8374</v>
      </c>
      <c r="Y307" s="104">
        <v>0.8429</v>
      </c>
      <c r="Z307" s="104">
        <v>0.9034</v>
      </c>
      <c r="AA307" s="104">
        <v>0.7571</v>
      </c>
      <c r="AB307" s="104">
        <v>0.7418</v>
      </c>
      <c r="AC307" s="104">
        <v>0.7569</v>
      </c>
      <c r="AD307" s="104">
        <v>0.8994</v>
      </c>
      <c r="AE307" s="104">
        <v>0.822</v>
      </c>
      <c r="AF307" s="104">
        <v>0.917</v>
      </c>
      <c r="AG307" s="104">
        <v>0.9596</v>
      </c>
      <c r="AH307" s="104">
        <v>0.7641</v>
      </c>
      <c r="AI307" s="104">
        <v>0.8507</v>
      </c>
      <c r="AJ307" s="104">
        <v>0.8537</v>
      </c>
      <c r="AK307" s="104">
        <v>0.7243</v>
      </c>
      <c r="AL307" s="104">
        <v>0.9979</v>
      </c>
      <c r="AM307" s="104">
        <v>0.8393</v>
      </c>
      <c r="AN307" s="104">
        <v>0.9417</v>
      </c>
      <c r="AO307" s="49"/>
      <c r="AP307" s="49"/>
      <c r="AQ307" s="49"/>
    </row>
    <row r="308">
      <c r="A308" s="13"/>
      <c r="B308" s="91" t="s">
        <v>26</v>
      </c>
      <c r="C308" s="87">
        <v>1.0</v>
      </c>
      <c r="D308" s="104">
        <v>1.0</v>
      </c>
      <c r="E308" s="104">
        <v>1.0</v>
      </c>
      <c r="F308" s="104">
        <v>1.0</v>
      </c>
      <c r="G308" s="104">
        <v>0.5872</v>
      </c>
      <c r="H308" s="104">
        <v>0.719</v>
      </c>
      <c r="I308" s="104">
        <v>0.2258</v>
      </c>
      <c r="J308" s="104">
        <v>0.7337</v>
      </c>
      <c r="K308" s="92">
        <v>1.0</v>
      </c>
      <c r="L308" s="110">
        <v>0.324140000000001</v>
      </c>
      <c r="M308" s="104">
        <v>0.5874</v>
      </c>
      <c r="N308" s="48">
        <f t="shared" si="4"/>
        <v>0.6279988262</v>
      </c>
      <c r="O308" s="48">
        <f t="shared" si="1"/>
        <v>61.14330021</v>
      </c>
      <c r="P308" s="104">
        <v>6988.619101</v>
      </c>
      <c r="Q308" s="104">
        <v>6.194472</v>
      </c>
      <c r="R308" s="104">
        <v>0.5751</v>
      </c>
      <c r="S308" s="104">
        <v>0.5936</v>
      </c>
      <c r="T308" s="104">
        <v>0.7018</v>
      </c>
      <c r="U308" s="104">
        <v>0.7776</v>
      </c>
      <c r="V308" s="104">
        <v>0.5936</v>
      </c>
      <c r="W308" s="104">
        <v>0.5751</v>
      </c>
      <c r="X308" s="104">
        <v>0.5408</v>
      </c>
      <c r="Y308" s="104">
        <v>0.5869</v>
      </c>
      <c r="Z308" s="104">
        <v>0.6394</v>
      </c>
      <c r="AA308" s="104">
        <v>0.4304</v>
      </c>
      <c r="AB308" s="104">
        <v>0.3549</v>
      </c>
      <c r="AC308" s="104">
        <v>0.8189</v>
      </c>
      <c r="AD308" s="104">
        <v>0.2998</v>
      </c>
      <c r="AE308" s="104">
        <v>0.4389</v>
      </c>
      <c r="AF308" s="104">
        <v>0.5434</v>
      </c>
      <c r="AG308" s="104">
        <v>0.9244</v>
      </c>
      <c r="AH308" s="104">
        <v>0.5082</v>
      </c>
      <c r="AI308" s="104">
        <v>0.6558</v>
      </c>
      <c r="AJ308" s="104">
        <v>0.6912</v>
      </c>
      <c r="AK308" s="104">
        <v>0.3621</v>
      </c>
      <c r="AL308" s="104">
        <v>0.9728</v>
      </c>
      <c r="AM308" s="104">
        <v>0.5278</v>
      </c>
      <c r="AN308" s="104">
        <v>0.6961</v>
      </c>
      <c r="AO308" s="70"/>
      <c r="AP308" s="70"/>
      <c r="AQ308" s="70"/>
    </row>
    <row r="309">
      <c r="A309" s="13"/>
      <c r="B309" s="13"/>
      <c r="C309" s="87">
        <v>2.0</v>
      </c>
      <c r="D309" s="104">
        <v>1.0</v>
      </c>
      <c r="E309" s="104">
        <v>1.0</v>
      </c>
      <c r="F309" s="104">
        <v>1.0</v>
      </c>
      <c r="G309" s="104">
        <v>0.834</v>
      </c>
      <c r="H309" s="104">
        <v>0.8345</v>
      </c>
      <c r="I309" s="104">
        <v>0.3777</v>
      </c>
      <c r="J309" s="104">
        <v>0.8225</v>
      </c>
      <c r="K309" s="92">
        <v>1.0</v>
      </c>
      <c r="L309" s="110">
        <v>0.324140000000001</v>
      </c>
      <c r="M309" s="104">
        <v>0.7362</v>
      </c>
      <c r="N309" s="48">
        <f t="shared" si="4"/>
        <v>0.7498955216</v>
      </c>
      <c r="O309" s="48">
        <f t="shared" si="1"/>
        <v>74.43870021</v>
      </c>
      <c r="P309" s="104">
        <v>6988.619101</v>
      </c>
      <c r="Q309" s="104">
        <v>5.936947</v>
      </c>
      <c r="R309" s="104">
        <v>0.725</v>
      </c>
      <c r="S309" s="104">
        <v>0.7303</v>
      </c>
      <c r="T309" s="104">
        <v>0.7583</v>
      </c>
      <c r="U309" s="104">
        <v>0.8141</v>
      </c>
      <c r="V309" s="104">
        <v>0.7303</v>
      </c>
      <c r="W309" s="104">
        <v>0.725</v>
      </c>
      <c r="X309" s="104">
        <v>0.7005</v>
      </c>
      <c r="Y309" s="104">
        <v>0.7354</v>
      </c>
      <c r="Z309" s="104">
        <v>0.7812</v>
      </c>
      <c r="AA309" s="104">
        <v>0.5903</v>
      </c>
      <c r="AB309" s="104">
        <v>0.5548</v>
      </c>
      <c r="AC309" s="104">
        <v>0.8583</v>
      </c>
      <c r="AD309" s="104">
        <v>0.5327</v>
      </c>
      <c r="AE309" s="104">
        <v>0.6574</v>
      </c>
      <c r="AF309" s="104">
        <v>0.7226</v>
      </c>
      <c r="AG309" s="104">
        <v>0.9237</v>
      </c>
      <c r="AH309" s="104">
        <v>0.6922</v>
      </c>
      <c r="AI309" s="104">
        <v>0.7914</v>
      </c>
      <c r="AJ309" s="104">
        <v>0.7971</v>
      </c>
      <c r="AK309" s="104">
        <v>0.4929</v>
      </c>
      <c r="AL309" s="104">
        <v>0.9661</v>
      </c>
      <c r="AM309" s="104">
        <v>0.6528</v>
      </c>
      <c r="AN309" s="104">
        <v>0.8275</v>
      </c>
      <c r="AO309" s="70"/>
      <c r="AP309" s="70"/>
      <c r="AQ309" s="70"/>
    </row>
    <row r="310">
      <c r="A310" s="13"/>
      <c r="B310" s="13"/>
      <c r="C310" s="87">
        <v>3.0</v>
      </c>
      <c r="D310" s="104">
        <v>1.0</v>
      </c>
      <c r="E310" s="104">
        <v>1.0</v>
      </c>
      <c r="F310" s="104">
        <v>1.0</v>
      </c>
      <c r="G310" s="104">
        <v>0.7633</v>
      </c>
      <c r="H310" s="104">
        <v>0.9012</v>
      </c>
      <c r="I310" s="104">
        <v>0.4248</v>
      </c>
      <c r="J310" s="104">
        <v>0.8696</v>
      </c>
      <c r="K310" s="92">
        <v>1.0</v>
      </c>
      <c r="L310" s="110">
        <v>0.324140000000001</v>
      </c>
      <c r="M310" s="104">
        <v>0.7603</v>
      </c>
      <c r="N310" s="48">
        <f t="shared" si="4"/>
        <v>0.8273964048</v>
      </c>
      <c r="O310" s="48">
        <f t="shared" si="1"/>
        <v>79.98750934</v>
      </c>
      <c r="P310" s="104">
        <v>6988.619101</v>
      </c>
      <c r="Q310" s="104">
        <v>5.993452</v>
      </c>
      <c r="R310" s="104">
        <v>0.8079</v>
      </c>
      <c r="S310" s="104">
        <v>0.8243</v>
      </c>
      <c r="T310" s="104">
        <v>0.7976</v>
      </c>
      <c r="U310" s="104">
        <v>0.8447</v>
      </c>
      <c r="V310" s="104">
        <v>0.8243</v>
      </c>
      <c r="W310" s="104">
        <v>0.8079</v>
      </c>
      <c r="X310" s="104">
        <v>0.7976</v>
      </c>
      <c r="Y310" s="104">
        <v>0.8126</v>
      </c>
      <c r="Z310" s="104">
        <v>0.8588</v>
      </c>
      <c r="AA310" s="104">
        <v>0.6965</v>
      </c>
      <c r="AB310" s="104">
        <v>0.6807</v>
      </c>
      <c r="AC310" s="104">
        <v>0.8695</v>
      </c>
      <c r="AD310" s="104">
        <v>0.7379</v>
      </c>
      <c r="AE310" s="104">
        <v>0.7983</v>
      </c>
      <c r="AF310" s="104">
        <v>0.8482</v>
      </c>
      <c r="AG310" s="104">
        <v>0.9232</v>
      </c>
      <c r="AH310" s="104">
        <v>0.7689</v>
      </c>
      <c r="AI310" s="104">
        <v>0.839</v>
      </c>
      <c r="AJ310" s="104">
        <v>0.8356</v>
      </c>
      <c r="AK310" s="104">
        <v>0.6201</v>
      </c>
      <c r="AL310" s="104">
        <v>0.966</v>
      </c>
      <c r="AM310" s="104">
        <v>0.7553</v>
      </c>
      <c r="AN310" s="104">
        <v>0.8936</v>
      </c>
      <c r="AO310" s="70"/>
      <c r="AP310" s="70"/>
      <c r="AQ310" s="70"/>
    </row>
    <row r="311">
      <c r="A311" s="13"/>
      <c r="B311" s="16"/>
      <c r="C311" s="87">
        <v>4.0</v>
      </c>
      <c r="D311" s="104">
        <v>1.0</v>
      </c>
      <c r="E311" s="104">
        <v>1.0</v>
      </c>
      <c r="F311" s="104">
        <v>1.0</v>
      </c>
      <c r="G311" s="104">
        <v>0.7246</v>
      </c>
      <c r="H311" s="104">
        <v>0.9336</v>
      </c>
      <c r="I311" s="104">
        <v>0.5226</v>
      </c>
      <c r="J311" s="104">
        <v>0.8815</v>
      </c>
      <c r="K311" s="92">
        <v>1.0</v>
      </c>
      <c r="L311" s="110">
        <v>0.324140000000001</v>
      </c>
      <c r="M311" s="104">
        <v>0.792</v>
      </c>
      <c r="N311" s="48">
        <f t="shared" si="4"/>
        <v>0.8645410302</v>
      </c>
      <c r="O311" s="48">
        <f t="shared" si="1"/>
        <v>83.47596306</v>
      </c>
      <c r="P311" s="104">
        <v>6988.619101</v>
      </c>
      <c r="Q311" s="104">
        <v>5.865146</v>
      </c>
      <c r="R311" s="104">
        <v>0.8481</v>
      </c>
      <c r="S311" s="104">
        <v>0.8675</v>
      </c>
      <c r="T311" s="104">
        <v>0.8345</v>
      </c>
      <c r="U311" s="104">
        <v>0.8653</v>
      </c>
      <c r="V311" s="104">
        <v>0.8675</v>
      </c>
      <c r="W311" s="104">
        <v>0.8481</v>
      </c>
      <c r="X311" s="104">
        <v>0.843</v>
      </c>
      <c r="Y311" s="104">
        <v>0.8499</v>
      </c>
      <c r="Z311" s="104">
        <v>0.8916</v>
      </c>
      <c r="AA311" s="104">
        <v>0.7521</v>
      </c>
      <c r="AB311" s="104">
        <v>0.744</v>
      </c>
      <c r="AC311" s="104">
        <v>0.8715</v>
      </c>
      <c r="AD311" s="104">
        <v>0.8283</v>
      </c>
      <c r="AE311" s="104">
        <v>0.8493</v>
      </c>
      <c r="AF311" s="104">
        <v>0.8975</v>
      </c>
      <c r="AG311" s="104">
        <v>0.9235</v>
      </c>
      <c r="AH311" s="104">
        <v>0.8095</v>
      </c>
      <c r="AI311" s="104">
        <v>0.8628</v>
      </c>
      <c r="AJ311" s="104">
        <v>0.8553</v>
      </c>
      <c r="AK311" s="104">
        <v>0.7086</v>
      </c>
      <c r="AL311" s="104">
        <v>0.9648</v>
      </c>
      <c r="AM311" s="104">
        <v>0.817</v>
      </c>
      <c r="AN311" s="104">
        <v>0.9234</v>
      </c>
      <c r="AO311" s="70"/>
      <c r="AP311" s="70"/>
      <c r="AQ311" s="70"/>
    </row>
    <row r="312">
      <c r="A312" s="13"/>
      <c r="B312" s="91" t="s">
        <v>27</v>
      </c>
      <c r="C312" s="87">
        <v>1.0</v>
      </c>
      <c r="D312" s="104">
        <v>1.0</v>
      </c>
      <c r="E312" s="104">
        <v>1.0</v>
      </c>
      <c r="F312" s="104">
        <v>1.0</v>
      </c>
      <c r="G312" s="104">
        <v>0.4558</v>
      </c>
      <c r="H312" s="104">
        <v>0.8631</v>
      </c>
      <c r="I312" s="104">
        <v>0.6634</v>
      </c>
      <c r="J312" s="104">
        <v>0.7368</v>
      </c>
      <c r="K312" s="92">
        <v>1.0</v>
      </c>
      <c r="L312" s="110">
        <v>0.324140000000001</v>
      </c>
      <c r="M312" s="104">
        <v>0.7191</v>
      </c>
      <c r="N312" s="48">
        <f t="shared" si="4"/>
        <v>0.6402760175</v>
      </c>
      <c r="O312" s="48">
        <f t="shared" si="1"/>
        <v>67.0711969</v>
      </c>
      <c r="P312" s="104">
        <v>11770.729116</v>
      </c>
      <c r="Q312" s="104">
        <v>5.451385</v>
      </c>
      <c r="R312" s="104">
        <v>0.6862</v>
      </c>
      <c r="S312" s="104">
        <v>0.5782</v>
      </c>
      <c r="T312" s="104">
        <v>0.5874</v>
      </c>
      <c r="U312" s="104">
        <v>0.6901</v>
      </c>
      <c r="V312" s="104">
        <v>0.5782</v>
      </c>
      <c r="W312" s="104">
        <v>0.6862</v>
      </c>
      <c r="X312" s="104">
        <v>0.5874</v>
      </c>
      <c r="Y312" s="104">
        <v>0.6622</v>
      </c>
      <c r="Z312" s="104">
        <v>0.6205</v>
      </c>
      <c r="AA312" s="104">
        <v>0.4135</v>
      </c>
      <c r="AB312" s="104">
        <v>0.4003</v>
      </c>
      <c r="AC312" s="104">
        <v>0.7264</v>
      </c>
      <c r="AD312" s="104">
        <v>0.2382</v>
      </c>
      <c r="AE312" s="104">
        <v>0.3587</v>
      </c>
      <c r="AF312" s="104">
        <v>0.4831</v>
      </c>
      <c r="AG312" s="104">
        <v>0.7078</v>
      </c>
      <c r="AH312" s="104">
        <v>0.8355</v>
      </c>
      <c r="AI312" s="104">
        <v>0.7664</v>
      </c>
      <c r="AJ312" s="104">
        <v>0.6491</v>
      </c>
      <c r="AK312" s="104">
        <v>0.6147</v>
      </c>
      <c r="AL312" s="104">
        <v>0.661</v>
      </c>
      <c r="AM312" s="104">
        <v>0.637</v>
      </c>
      <c r="AN312" s="104">
        <v>0.7621</v>
      </c>
      <c r="AO312" s="49"/>
      <c r="AP312" s="49"/>
      <c r="AQ312" s="49"/>
    </row>
    <row r="313">
      <c r="A313" s="13"/>
      <c r="B313" s="13"/>
      <c r="C313" s="87">
        <v>2.0</v>
      </c>
      <c r="D313" s="104">
        <v>1.0</v>
      </c>
      <c r="E313" s="104">
        <v>1.0</v>
      </c>
      <c r="F313" s="104">
        <v>1.0</v>
      </c>
      <c r="G313" s="104">
        <v>0.5874</v>
      </c>
      <c r="H313" s="104">
        <v>0.9214</v>
      </c>
      <c r="I313" s="104">
        <v>0.699</v>
      </c>
      <c r="J313" s="104">
        <v>0.8081</v>
      </c>
      <c r="K313" s="92">
        <v>1.0</v>
      </c>
      <c r="L313" s="110">
        <v>0.324140000000001</v>
      </c>
      <c r="M313" s="104">
        <v>0.789</v>
      </c>
      <c r="N313" s="48">
        <f t="shared" si="4"/>
        <v>0.7459152352</v>
      </c>
      <c r="O313" s="48">
        <f t="shared" si="1"/>
        <v>76.28593751</v>
      </c>
      <c r="P313" s="104">
        <v>11770.729116</v>
      </c>
      <c r="Q313" s="104">
        <v>5.471904</v>
      </c>
      <c r="R313" s="104">
        <v>0.7564</v>
      </c>
      <c r="S313" s="104">
        <v>0.7087</v>
      </c>
      <c r="T313" s="104">
        <v>0.7133</v>
      </c>
      <c r="U313" s="104">
        <v>0.7621</v>
      </c>
      <c r="V313" s="104">
        <v>0.7087</v>
      </c>
      <c r="W313" s="104">
        <v>0.7564</v>
      </c>
      <c r="X313" s="104">
        <v>0.7133</v>
      </c>
      <c r="Y313" s="104">
        <v>0.7499</v>
      </c>
      <c r="Z313" s="104">
        <v>0.7577</v>
      </c>
      <c r="AA313" s="104">
        <v>0.5674</v>
      </c>
      <c r="AB313" s="104">
        <v>0.5628</v>
      </c>
      <c r="AC313" s="104">
        <v>0.7839</v>
      </c>
      <c r="AD313" s="104">
        <v>0.4708</v>
      </c>
      <c r="AE313" s="104">
        <v>0.5883</v>
      </c>
      <c r="AF313" s="104">
        <v>0.6761</v>
      </c>
      <c r="AG313" s="104">
        <v>0.7871</v>
      </c>
      <c r="AH313" s="104">
        <v>0.812</v>
      </c>
      <c r="AI313" s="104">
        <v>0.7993</v>
      </c>
      <c r="AJ313" s="104">
        <v>0.7454</v>
      </c>
      <c r="AK313" s="104">
        <v>0.6792</v>
      </c>
      <c r="AL313" s="104">
        <v>0.8432</v>
      </c>
      <c r="AM313" s="104">
        <v>0.7524</v>
      </c>
      <c r="AN313" s="104">
        <v>0.863</v>
      </c>
      <c r="AO313" s="49"/>
      <c r="AP313" s="49"/>
      <c r="AQ313" s="49"/>
    </row>
    <row r="314">
      <c r="A314" s="13"/>
      <c r="B314" s="13"/>
      <c r="C314" s="87">
        <v>3.0</v>
      </c>
      <c r="D314" s="104">
        <v>1.0</v>
      </c>
      <c r="E314" s="104">
        <v>1.0</v>
      </c>
      <c r="F314" s="104">
        <v>1.0</v>
      </c>
      <c r="G314" s="104">
        <v>0.6731</v>
      </c>
      <c r="H314" s="104">
        <v>0.9526</v>
      </c>
      <c r="I314" s="104">
        <v>0.7266</v>
      </c>
      <c r="J314" s="104">
        <v>0.8644</v>
      </c>
      <c r="K314" s="92">
        <v>1.0</v>
      </c>
      <c r="L314" s="110">
        <v>0.324140000000001</v>
      </c>
      <c r="M314" s="104">
        <v>0.8337</v>
      </c>
      <c r="N314" s="48">
        <f t="shared" si="4"/>
        <v>0.800670693</v>
      </c>
      <c r="O314" s="48">
        <f t="shared" si="1"/>
        <v>81.37224162</v>
      </c>
      <c r="P314" s="104">
        <v>11770.729116</v>
      </c>
      <c r="Q314" s="104">
        <v>5.416977</v>
      </c>
      <c r="R314" s="104">
        <v>0.7922</v>
      </c>
      <c r="S314" s="104">
        <v>0.7858</v>
      </c>
      <c r="T314" s="104">
        <v>0.7746</v>
      </c>
      <c r="U314" s="104">
        <v>0.7996</v>
      </c>
      <c r="V314" s="104">
        <v>0.7858</v>
      </c>
      <c r="W314" s="104">
        <v>0.7922</v>
      </c>
      <c r="X314" s="104">
        <v>0.7746</v>
      </c>
      <c r="Y314" s="104">
        <v>0.7926</v>
      </c>
      <c r="Z314" s="104">
        <v>0.8281</v>
      </c>
      <c r="AA314" s="104">
        <v>0.6449</v>
      </c>
      <c r="AB314" s="104">
        <v>0.6419</v>
      </c>
      <c r="AC314" s="104">
        <v>0.774</v>
      </c>
      <c r="AD314" s="104">
        <v>0.6915</v>
      </c>
      <c r="AE314" s="104">
        <v>0.7304</v>
      </c>
      <c r="AF314" s="104">
        <v>0.8124</v>
      </c>
      <c r="AG314" s="104">
        <v>0.8475</v>
      </c>
      <c r="AH314" s="104">
        <v>0.7923</v>
      </c>
      <c r="AI314" s="104">
        <v>0.819</v>
      </c>
      <c r="AJ314" s="104">
        <v>0.7937</v>
      </c>
      <c r="AK314" s="104">
        <v>0.6955</v>
      </c>
      <c r="AL314" s="104">
        <v>0.8736</v>
      </c>
      <c r="AM314" s="104">
        <v>0.7745</v>
      </c>
      <c r="AN314" s="104">
        <v>0.8808</v>
      </c>
      <c r="AO314" s="49"/>
      <c r="AP314" s="49"/>
      <c r="AQ314" s="49"/>
    </row>
    <row r="315">
      <c r="A315" s="16"/>
      <c r="B315" s="16"/>
      <c r="C315" s="87">
        <v>4.0</v>
      </c>
      <c r="D315" s="104">
        <v>1.0</v>
      </c>
      <c r="E315" s="104">
        <v>1.0</v>
      </c>
      <c r="F315" s="104">
        <v>1.0</v>
      </c>
      <c r="G315" s="104">
        <v>0.7137</v>
      </c>
      <c r="H315" s="104">
        <v>0.9475</v>
      </c>
      <c r="I315" s="104">
        <v>0.7343</v>
      </c>
      <c r="J315" s="104">
        <v>0.8888</v>
      </c>
      <c r="K315" s="92">
        <v>1.0</v>
      </c>
      <c r="L315" s="110">
        <v>0.324140000000001</v>
      </c>
      <c r="M315" s="104">
        <v>0.8491</v>
      </c>
      <c r="N315" s="48">
        <f t="shared" si="4"/>
        <v>0.8194484561</v>
      </c>
      <c r="O315" s="48">
        <f t="shared" si="1"/>
        <v>83.11827494</v>
      </c>
      <c r="P315" s="104">
        <v>11770.729116</v>
      </c>
      <c r="Q315" s="104">
        <v>5.854666</v>
      </c>
      <c r="R315" s="104">
        <v>0.8036</v>
      </c>
      <c r="S315" s="104">
        <v>0.8157</v>
      </c>
      <c r="T315" s="104">
        <v>0.7926</v>
      </c>
      <c r="U315" s="104">
        <v>0.8148</v>
      </c>
      <c r="V315" s="104">
        <v>0.8157</v>
      </c>
      <c r="W315" s="104">
        <v>0.8036</v>
      </c>
      <c r="X315" s="104">
        <v>0.7926</v>
      </c>
      <c r="Y315" s="104">
        <v>0.805</v>
      </c>
      <c r="Z315" s="104">
        <v>0.8515</v>
      </c>
      <c r="AA315" s="104">
        <v>0.6727</v>
      </c>
      <c r="AB315" s="104">
        <v>0.6678</v>
      </c>
      <c r="AC315" s="104">
        <v>0.7592</v>
      </c>
      <c r="AD315" s="104">
        <v>0.7815</v>
      </c>
      <c r="AE315" s="104">
        <v>0.7702</v>
      </c>
      <c r="AF315" s="104">
        <v>0.859</v>
      </c>
      <c r="AG315" s="104">
        <v>0.8757</v>
      </c>
      <c r="AH315" s="104">
        <v>0.7784</v>
      </c>
      <c r="AI315" s="104">
        <v>0.8242</v>
      </c>
      <c r="AJ315" s="104">
        <v>0.8092</v>
      </c>
      <c r="AK315" s="104">
        <v>0.7012</v>
      </c>
      <c r="AL315" s="104">
        <v>0.8874</v>
      </c>
      <c r="AM315" s="104">
        <v>0.7834</v>
      </c>
      <c r="AN315" s="104">
        <v>0.8883</v>
      </c>
      <c r="AO315" s="49"/>
      <c r="AP315" s="49"/>
      <c r="AQ315" s="49"/>
    </row>
    <row r="316">
      <c r="A316" s="71"/>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row>
    <row r="317">
      <c r="A317" s="71"/>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row>
    <row r="318">
      <c r="A318" s="71"/>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row>
    <row r="319">
      <c r="A319" s="71"/>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row>
    <row r="320">
      <c r="A320" s="71"/>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row>
    <row r="321">
      <c r="A321" s="71"/>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row>
    <row r="322">
      <c r="A322" s="71"/>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row>
    <row r="323">
      <c r="A323" s="71"/>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row>
    <row r="324">
      <c r="A324" s="71"/>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row>
    <row r="325">
      <c r="A325" s="71"/>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row>
    <row r="326">
      <c r="A326" s="71"/>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row>
    <row r="327">
      <c r="A327" s="71"/>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row>
    <row r="328">
      <c r="A328" s="71"/>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row>
    <row r="329">
      <c r="A329" s="71"/>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row>
    <row r="330">
      <c r="A330" s="71"/>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row>
    <row r="331">
      <c r="A331" s="71"/>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row>
    <row r="332">
      <c r="A332" s="71"/>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row>
    <row r="333">
      <c r="A333" s="71"/>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row>
    <row r="334">
      <c r="A334" s="71"/>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row>
    <row r="335">
      <c r="A335" s="71"/>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row>
    <row r="336">
      <c r="A336" s="71"/>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row>
    <row r="337">
      <c r="A337" s="71"/>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row>
    <row r="338">
      <c r="A338" s="71"/>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row>
    <row r="339">
      <c r="A339" s="71"/>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row>
    <row r="340">
      <c r="A340" s="71"/>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row>
    <row r="341">
      <c r="A341" s="71"/>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row>
    <row r="342">
      <c r="A342" s="71"/>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row>
    <row r="343">
      <c r="A343" s="71"/>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row>
    <row r="344">
      <c r="A344" s="71"/>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row>
    <row r="345">
      <c r="A345" s="71"/>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row>
    <row r="346">
      <c r="A346" s="71"/>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row>
    <row r="347">
      <c r="A347" s="71"/>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row>
    <row r="348">
      <c r="A348" s="71"/>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row>
    <row r="349">
      <c r="A349" s="71"/>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row>
    <row r="350">
      <c r="A350" s="71"/>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row>
    <row r="351">
      <c r="A351" s="71"/>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row>
    <row r="352">
      <c r="A352" s="71"/>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row>
    <row r="353">
      <c r="A353" s="71"/>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row>
    <row r="354">
      <c r="A354" s="71"/>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row>
    <row r="355">
      <c r="A355" s="71"/>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row>
    <row r="356">
      <c r="A356" s="71"/>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row>
    <row r="357">
      <c r="A357" s="71"/>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row>
    <row r="358">
      <c r="A358" s="71"/>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row>
    <row r="359">
      <c r="A359" s="71"/>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row>
    <row r="360">
      <c r="A360" s="71"/>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row>
    <row r="361">
      <c r="A361" s="71"/>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row>
    <row r="362">
      <c r="A362" s="71"/>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row>
    <row r="363">
      <c r="A363" s="71"/>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row>
    <row r="364">
      <c r="A364" s="71"/>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row>
    <row r="365">
      <c r="A365" s="71"/>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row>
    <row r="366">
      <c r="A366" s="71"/>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row>
    <row r="367">
      <c r="A367" s="71"/>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row>
    <row r="368">
      <c r="A368" s="71"/>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row>
    <row r="369">
      <c r="A369" s="71"/>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row>
    <row r="370">
      <c r="A370" s="71"/>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row>
    <row r="371">
      <c r="A371" s="71"/>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row>
    <row r="372">
      <c r="A372" s="71"/>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row>
    <row r="373">
      <c r="A373" s="71"/>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row>
    <row r="374">
      <c r="A374" s="71"/>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row>
    <row r="375">
      <c r="A375" s="71"/>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row>
    <row r="376">
      <c r="A376" s="71"/>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row>
    <row r="377">
      <c r="A377" s="71"/>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row>
    <row r="378">
      <c r="A378" s="71"/>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row>
    <row r="379">
      <c r="A379" s="71"/>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row>
    <row r="380">
      <c r="A380" s="71"/>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row>
    <row r="381">
      <c r="A381" s="71"/>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row>
    <row r="382">
      <c r="A382" s="71"/>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row>
    <row r="383">
      <c r="A383" s="71"/>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row>
    <row r="384">
      <c r="A384" s="71"/>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row>
    <row r="385">
      <c r="A385" s="71"/>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row>
    <row r="386">
      <c r="A386" s="71"/>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row>
    <row r="387">
      <c r="A387" s="71"/>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row>
    <row r="388">
      <c r="A388" s="71"/>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row>
    <row r="389">
      <c r="A389" s="71"/>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row>
    <row r="390">
      <c r="A390" s="71"/>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row>
    <row r="391">
      <c r="A391" s="71"/>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row>
    <row r="392">
      <c r="A392" s="71"/>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row>
    <row r="393">
      <c r="A393" s="71"/>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row>
    <row r="394">
      <c r="A394" s="71"/>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row>
    <row r="395">
      <c r="A395" s="71"/>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row>
    <row r="396">
      <c r="A396" s="71"/>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row>
    <row r="397">
      <c r="A397" s="71"/>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row>
    <row r="398">
      <c r="A398" s="71"/>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row>
    <row r="399">
      <c r="A399" s="71"/>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row>
    <row r="400">
      <c r="A400" s="71"/>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row>
    <row r="401">
      <c r="A401" s="71"/>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row>
    <row r="402">
      <c r="A402" s="71"/>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row>
    <row r="403">
      <c r="A403" s="71"/>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row>
    <row r="404">
      <c r="A404" s="71"/>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row>
    <row r="405">
      <c r="A405" s="71"/>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row>
    <row r="406">
      <c r="A406" s="71"/>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row>
    <row r="407">
      <c r="A407" s="71"/>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row>
    <row r="408">
      <c r="A408" s="71"/>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row>
    <row r="409">
      <c r="A409" s="71"/>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row>
    <row r="410">
      <c r="A410" s="71"/>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row>
    <row r="411">
      <c r="A411" s="71"/>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row>
    <row r="412">
      <c r="A412" s="71"/>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row>
    <row r="413">
      <c r="A413" s="71"/>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row>
    <row r="414">
      <c r="A414" s="71"/>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row>
    <row r="415">
      <c r="A415" s="71"/>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row>
    <row r="416">
      <c r="A416" s="71"/>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row>
    <row r="417">
      <c r="A417" s="71"/>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row>
    <row r="418">
      <c r="A418" s="71"/>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row>
    <row r="419">
      <c r="A419" s="71"/>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row>
    <row r="420">
      <c r="A420" s="71"/>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row>
    <row r="421">
      <c r="A421" s="71"/>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row>
    <row r="422">
      <c r="A422" s="71"/>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row>
    <row r="423">
      <c r="A423" s="71"/>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row>
    <row r="424">
      <c r="A424" s="71"/>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row>
    <row r="425">
      <c r="A425" s="71"/>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row>
    <row r="426">
      <c r="A426" s="71"/>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row>
    <row r="427">
      <c r="A427" s="71"/>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row>
    <row r="428">
      <c r="A428" s="71"/>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row>
    <row r="429">
      <c r="A429" s="71"/>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row>
    <row r="430">
      <c r="A430" s="71"/>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row>
    <row r="431">
      <c r="A431" s="71"/>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row>
    <row r="432">
      <c r="A432" s="71"/>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row>
    <row r="433">
      <c r="A433" s="71"/>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row>
    <row r="434">
      <c r="A434" s="71"/>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row>
    <row r="435">
      <c r="A435" s="71"/>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row>
    <row r="436">
      <c r="A436" s="71"/>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row>
    <row r="437">
      <c r="A437" s="71"/>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row>
    <row r="438">
      <c r="A438" s="71"/>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row>
    <row r="439">
      <c r="A439" s="71"/>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row>
    <row r="440">
      <c r="A440" s="71"/>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row>
    <row r="441">
      <c r="A441" s="71"/>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row>
    <row r="442">
      <c r="A442" s="71"/>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row>
    <row r="443">
      <c r="A443" s="71"/>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row>
    <row r="444">
      <c r="A444" s="71"/>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row>
    <row r="445">
      <c r="A445" s="71"/>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row>
    <row r="446">
      <c r="A446" s="71"/>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row>
    <row r="447">
      <c r="A447" s="71"/>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row>
    <row r="448">
      <c r="A448" s="71"/>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row>
    <row r="449">
      <c r="A449" s="71"/>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row>
    <row r="450">
      <c r="A450" s="71"/>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row>
    <row r="451">
      <c r="A451" s="71"/>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row>
    <row r="452">
      <c r="A452" s="71"/>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row>
    <row r="453">
      <c r="A453" s="71"/>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row>
    <row r="454">
      <c r="A454" s="71"/>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row>
    <row r="455">
      <c r="A455" s="71"/>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row>
    <row r="456">
      <c r="A456" s="71"/>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row>
    <row r="457">
      <c r="A457" s="71"/>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row>
    <row r="458">
      <c r="A458" s="71"/>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row>
    <row r="459">
      <c r="A459" s="71"/>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row>
    <row r="460">
      <c r="A460" s="71"/>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row>
    <row r="461">
      <c r="A461" s="71"/>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row>
    <row r="462">
      <c r="A462" s="71"/>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row>
    <row r="463">
      <c r="A463" s="71"/>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row>
    <row r="464">
      <c r="A464" s="71"/>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row>
    <row r="465">
      <c r="A465" s="71"/>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row>
    <row r="466">
      <c r="A466" s="71"/>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row>
    <row r="467">
      <c r="A467" s="71"/>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row>
    <row r="468">
      <c r="A468" s="71"/>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row>
    <row r="469">
      <c r="A469" s="71"/>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row>
    <row r="470">
      <c r="A470" s="71"/>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row>
    <row r="471">
      <c r="A471" s="71"/>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row>
    <row r="472">
      <c r="A472" s="71"/>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row>
    <row r="473">
      <c r="A473" s="71"/>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row>
    <row r="474">
      <c r="A474" s="71"/>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row>
    <row r="475">
      <c r="A475" s="71"/>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row>
    <row r="476">
      <c r="A476" s="71"/>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row>
    <row r="477">
      <c r="A477" s="71"/>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row>
    <row r="478">
      <c r="A478" s="71"/>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row>
    <row r="479">
      <c r="A479" s="71"/>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row>
    <row r="480">
      <c r="A480" s="71"/>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row>
    <row r="481">
      <c r="A481" s="71"/>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row>
    <row r="482">
      <c r="A482" s="71"/>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row>
    <row r="483">
      <c r="A483" s="71"/>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row>
    <row r="484">
      <c r="A484" s="71"/>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row>
    <row r="485">
      <c r="A485" s="71"/>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row>
    <row r="486">
      <c r="A486" s="71"/>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row>
    <row r="487">
      <c r="A487" s="71"/>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row>
    <row r="488">
      <c r="A488" s="71"/>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row>
    <row r="489">
      <c r="A489" s="71"/>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row>
    <row r="490">
      <c r="A490" s="71"/>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row>
    <row r="491">
      <c r="A491" s="71"/>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row>
    <row r="492">
      <c r="A492" s="71"/>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row>
    <row r="493">
      <c r="A493" s="71"/>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row>
    <row r="494">
      <c r="A494" s="71"/>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row>
    <row r="495">
      <c r="A495" s="71"/>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row>
    <row r="496">
      <c r="A496" s="71"/>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row>
    <row r="497">
      <c r="A497" s="71"/>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row>
    <row r="498">
      <c r="A498" s="71"/>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row>
    <row r="499">
      <c r="A499" s="71"/>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row>
    <row r="500">
      <c r="A500" s="71"/>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row>
    <row r="501">
      <c r="A501" s="71"/>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row>
    <row r="502">
      <c r="A502" s="71"/>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row>
    <row r="503">
      <c r="A503" s="71"/>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row>
    <row r="504">
      <c r="A504" s="71"/>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row>
    <row r="505">
      <c r="A505" s="71"/>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row>
    <row r="506">
      <c r="A506" s="71"/>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row>
    <row r="507">
      <c r="A507" s="71"/>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row>
    <row r="508">
      <c r="A508" s="71"/>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row>
    <row r="509">
      <c r="A509" s="71"/>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row>
    <row r="510">
      <c r="A510" s="71"/>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row>
    <row r="511">
      <c r="A511" s="71"/>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row>
    <row r="512">
      <c r="A512" s="71"/>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row>
    <row r="513">
      <c r="A513" s="71"/>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row>
    <row r="514">
      <c r="A514" s="71"/>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row>
    <row r="515">
      <c r="A515" s="71"/>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row>
    <row r="516">
      <c r="A516" s="71"/>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row>
    <row r="517">
      <c r="A517" s="71"/>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row>
    <row r="518">
      <c r="A518" s="71"/>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row>
    <row r="519">
      <c r="A519" s="71"/>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row>
    <row r="520">
      <c r="A520" s="71"/>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row>
    <row r="521">
      <c r="A521" s="71"/>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row>
    <row r="522">
      <c r="A522" s="71"/>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row>
    <row r="523">
      <c r="A523" s="71"/>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row>
    <row r="524">
      <c r="A524" s="71"/>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row>
    <row r="525">
      <c r="A525" s="71"/>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row>
    <row r="526">
      <c r="A526" s="71"/>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row>
    <row r="527">
      <c r="A527" s="71"/>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row>
    <row r="528">
      <c r="A528" s="71"/>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row>
    <row r="529">
      <c r="A529" s="71"/>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row>
    <row r="530">
      <c r="A530" s="71"/>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row>
    <row r="531">
      <c r="A531" s="71"/>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row>
    <row r="532">
      <c r="A532" s="71"/>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row>
    <row r="533">
      <c r="A533" s="71"/>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row>
    <row r="534">
      <c r="A534" s="71"/>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row>
    <row r="535">
      <c r="A535" s="71"/>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row>
    <row r="536">
      <c r="A536" s="71"/>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row>
    <row r="537">
      <c r="A537" s="71"/>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row>
    <row r="538">
      <c r="A538" s="71"/>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row>
    <row r="539">
      <c r="A539" s="71"/>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row>
    <row r="540">
      <c r="A540" s="71"/>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row>
    <row r="541">
      <c r="A541" s="71"/>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row>
    <row r="542">
      <c r="A542" s="71"/>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row>
    <row r="543">
      <c r="A543" s="71"/>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row>
    <row r="544">
      <c r="A544" s="71"/>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row>
    <row r="545">
      <c r="A545" s="71"/>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row>
    <row r="546">
      <c r="A546" s="71"/>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row>
    <row r="547">
      <c r="A547" s="71"/>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row>
    <row r="548">
      <c r="A548" s="71"/>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row>
    <row r="549">
      <c r="A549" s="71"/>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row>
    <row r="550">
      <c r="A550" s="71"/>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row>
    <row r="551">
      <c r="A551" s="71"/>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row>
    <row r="552">
      <c r="A552" s="71"/>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row>
    <row r="553">
      <c r="A553" s="71"/>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row>
    <row r="554">
      <c r="A554" s="71"/>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row>
    <row r="555">
      <c r="A555" s="71"/>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row>
    <row r="556">
      <c r="A556" s="71"/>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row>
    <row r="557">
      <c r="A557" s="71"/>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row>
    <row r="558">
      <c r="A558" s="71"/>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row>
    <row r="559">
      <c r="A559" s="71"/>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row>
    <row r="560">
      <c r="A560" s="71"/>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row>
    <row r="561">
      <c r="A561" s="71"/>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row>
    <row r="562">
      <c r="A562" s="71"/>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row>
    <row r="563">
      <c r="A563" s="71"/>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row>
    <row r="564">
      <c r="A564" s="71"/>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row>
    <row r="565">
      <c r="A565" s="71"/>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row>
    <row r="566">
      <c r="A566" s="71"/>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row>
    <row r="567">
      <c r="A567" s="71"/>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row>
    <row r="568">
      <c r="A568" s="71"/>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row>
    <row r="569">
      <c r="A569" s="71"/>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row>
    <row r="570">
      <c r="A570" s="71"/>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row>
    <row r="571">
      <c r="A571" s="71"/>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row>
    <row r="572">
      <c r="A572" s="71"/>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row>
    <row r="573">
      <c r="A573" s="71"/>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row>
    <row r="574">
      <c r="A574" s="71"/>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row>
    <row r="575">
      <c r="A575" s="71"/>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row>
    <row r="576">
      <c r="A576" s="71"/>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row>
    <row r="577">
      <c r="A577" s="71"/>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row>
    <row r="578">
      <c r="A578" s="71"/>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row>
    <row r="579">
      <c r="A579" s="71"/>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row>
    <row r="580">
      <c r="A580" s="71"/>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row>
    <row r="581">
      <c r="A581" s="71"/>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row>
    <row r="582">
      <c r="A582" s="71"/>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row>
    <row r="583">
      <c r="A583" s="71"/>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row>
    <row r="584">
      <c r="A584" s="71"/>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row>
    <row r="585">
      <c r="A585" s="71"/>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row>
    <row r="586">
      <c r="A586" s="71"/>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row>
    <row r="587">
      <c r="A587" s="71"/>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row>
    <row r="588">
      <c r="A588" s="71"/>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row>
    <row r="589">
      <c r="A589" s="71"/>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row>
    <row r="590">
      <c r="A590" s="71"/>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row>
    <row r="591">
      <c r="A591" s="71"/>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row>
    <row r="592">
      <c r="A592" s="71"/>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row>
    <row r="593">
      <c r="A593" s="71"/>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row>
    <row r="594">
      <c r="A594" s="71"/>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row>
    <row r="595">
      <c r="A595" s="71"/>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row>
    <row r="596">
      <c r="A596" s="71"/>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row>
    <row r="597">
      <c r="A597" s="71"/>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row>
    <row r="598">
      <c r="A598" s="71"/>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row>
    <row r="599">
      <c r="A599" s="71"/>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row>
    <row r="600">
      <c r="A600" s="71"/>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row>
    <row r="601">
      <c r="A601" s="71"/>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row>
    <row r="602">
      <c r="A602" s="71"/>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row>
    <row r="603">
      <c r="A603" s="71"/>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row>
    <row r="604">
      <c r="A604" s="71"/>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row>
    <row r="605">
      <c r="A605" s="71"/>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row>
    <row r="606">
      <c r="A606" s="71"/>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row>
    <row r="607">
      <c r="A607" s="71"/>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row>
    <row r="608">
      <c r="A608" s="71"/>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row>
    <row r="609">
      <c r="A609" s="71"/>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row>
    <row r="610">
      <c r="A610" s="71"/>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row>
    <row r="611">
      <c r="A611" s="71"/>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c r="AC611" s="72"/>
      <c r="AD611" s="72"/>
      <c r="AE611" s="72"/>
      <c r="AF611" s="72"/>
      <c r="AG611" s="72"/>
      <c r="AH611" s="72"/>
      <c r="AI611" s="72"/>
      <c r="AJ611" s="72"/>
      <c r="AK611" s="72"/>
      <c r="AL611" s="72"/>
      <c r="AM611" s="72"/>
      <c r="AN611" s="72"/>
      <c r="AO611" s="72"/>
      <c r="AP611" s="72"/>
      <c r="AQ611" s="72"/>
    </row>
    <row r="612">
      <c r="A612" s="71"/>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c r="AC612" s="72"/>
      <c r="AD612" s="72"/>
      <c r="AE612" s="72"/>
      <c r="AF612" s="72"/>
      <c r="AG612" s="72"/>
      <c r="AH612" s="72"/>
      <c r="AI612" s="72"/>
      <c r="AJ612" s="72"/>
      <c r="AK612" s="72"/>
      <c r="AL612" s="72"/>
      <c r="AM612" s="72"/>
      <c r="AN612" s="72"/>
      <c r="AO612" s="72"/>
      <c r="AP612" s="72"/>
      <c r="AQ612" s="72"/>
    </row>
    <row r="613">
      <c r="A613" s="71"/>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c r="AC613" s="72"/>
      <c r="AD613" s="72"/>
      <c r="AE613" s="72"/>
      <c r="AF613" s="72"/>
      <c r="AG613" s="72"/>
      <c r="AH613" s="72"/>
      <c r="AI613" s="72"/>
      <c r="AJ613" s="72"/>
      <c r="AK613" s="72"/>
      <c r="AL613" s="72"/>
      <c r="AM613" s="72"/>
      <c r="AN613" s="72"/>
      <c r="AO613" s="72"/>
      <c r="AP613" s="72"/>
      <c r="AQ613" s="72"/>
    </row>
    <row r="614">
      <c r="A614" s="71"/>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c r="AC614" s="72"/>
      <c r="AD614" s="72"/>
      <c r="AE614" s="72"/>
      <c r="AF614" s="72"/>
      <c r="AG614" s="72"/>
      <c r="AH614" s="72"/>
      <c r="AI614" s="72"/>
      <c r="AJ614" s="72"/>
      <c r="AK614" s="72"/>
      <c r="AL614" s="72"/>
      <c r="AM614" s="72"/>
      <c r="AN614" s="72"/>
      <c r="AO614" s="72"/>
      <c r="AP614" s="72"/>
      <c r="AQ614" s="72"/>
    </row>
    <row r="615">
      <c r="A615" s="71"/>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c r="AC615" s="72"/>
      <c r="AD615" s="72"/>
      <c r="AE615" s="72"/>
      <c r="AF615" s="72"/>
      <c r="AG615" s="72"/>
      <c r="AH615" s="72"/>
      <c r="AI615" s="72"/>
      <c r="AJ615" s="72"/>
      <c r="AK615" s="72"/>
      <c r="AL615" s="72"/>
      <c r="AM615" s="72"/>
      <c r="AN615" s="72"/>
      <c r="AO615" s="72"/>
      <c r="AP615" s="72"/>
      <c r="AQ615" s="72"/>
    </row>
    <row r="616">
      <c r="A616" s="71"/>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c r="AC616" s="72"/>
      <c r="AD616" s="72"/>
      <c r="AE616" s="72"/>
      <c r="AF616" s="72"/>
      <c r="AG616" s="72"/>
      <c r="AH616" s="72"/>
      <c r="AI616" s="72"/>
      <c r="AJ616" s="72"/>
      <c r="AK616" s="72"/>
      <c r="AL616" s="72"/>
      <c r="AM616" s="72"/>
      <c r="AN616" s="72"/>
      <c r="AO616" s="72"/>
      <c r="AP616" s="72"/>
      <c r="AQ616" s="72"/>
    </row>
    <row r="617">
      <c r="A617" s="71"/>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c r="AC617" s="72"/>
      <c r="AD617" s="72"/>
      <c r="AE617" s="72"/>
      <c r="AF617" s="72"/>
      <c r="AG617" s="72"/>
      <c r="AH617" s="72"/>
      <c r="AI617" s="72"/>
      <c r="AJ617" s="72"/>
      <c r="AK617" s="72"/>
      <c r="AL617" s="72"/>
      <c r="AM617" s="72"/>
      <c r="AN617" s="72"/>
      <c r="AO617" s="72"/>
      <c r="AP617" s="72"/>
      <c r="AQ617" s="72"/>
    </row>
    <row r="618">
      <c r="A618" s="71"/>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c r="AC618" s="72"/>
      <c r="AD618" s="72"/>
      <c r="AE618" s="72"/>
      <c r="AF618" s="72"/>
      <c r="AG618" s="72"/>
      <c r="AH618" s="72"/>
      <c r="AI618" s="72"/>
      <c r="AJ618" s="72"/>
      <c r="AK618" s="72"/>
      <c r="AL618" s="72"/>
      <c r="AM618" s="72"/>
      <c r="AN618" s="72"/>
      <c r="AO618" s="72"/>
      <c r="AP618" s="72"/>
      <c r="AQ618" s="72"/>
    </row>
    <row r="619">
      <c r="A619" s="71"/>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c r="AC619" s="72"/>
      <c r="AD619" s="72"/>
      <c r="AE619" s="72"/>
      <c r="AF619" s="72"/>
      <c r="AG619" s="72"/>
      <c r="AH619" s="72"/>
      <c r="AI619" s="72"/>
      <c r="AJ619" s="72"/>
      <c r="AK619" s="72"/>
      <c r="AL619" s="72"/>
      <c r="AM619" s="72"/>
      <c r="AN619" s="72"/>
      <c r="AO619" s="72"/>
      <c r="AP619" s="72"/>
      <c r="AQ619" s="72"/>
    </row>
    <row r="620">
      <c r="A620" s="71"/>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c r="AC620" s="72"/>
      <c r="AD620" s="72"/>
      <c r="AE620" s="72"/>
      <c r="AF620" s="72"/>
      <c r="AG620" s="72"/>
      <c r="AH620" s="72"/>
      <c r="AI620" s="72"/>
      <c r="AJ620" s="72"/>
      <c r="AK620" s="72"/>
      <c r="AL620" s="72"/>
      <c r="AM620" s="72"/>
      <c r="AN620" s="72"/>
      <c r="AO620" s="72"/>
      <c r="AP620" s="72"/>
      <c r="AQ620" s="72"/>
    </row>
    <row r="621">
      <c r="A621" s="71"/>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row>
    <row r="622">
      <c r="A622" s="71"/>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c r="AC622" s="72"/>
      <c r="AD622" s="72"/>
      <c r="AE622" s="72"/>
      <c r="AF622" s="72"/>
      <c r="AG622" s="72"/>
      <c r="AH622" s="72"/>
      <c r="AI622" s="72"/>
      <c r="AJ622" s="72"/>
      <c r="AK622" s="72"/>
      <c r="AL622" s="72"/>
      <c r="AM622" s="72"/>
      <c r="AN622" s="72"/>
      <c r="AO622" s="72"/>
      <c r="AP622" s="72"/>
      <c r="AQ622" s="72"/>
    </row>
    <row r="623">
      <c r="A623" s="71"/>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c r="AC623" s="72"/>
      <c r="AD623" s="72"/>
      <c r="AE623" s="72"/>
      <c r="AF623" s="72"/>
      <c r="AG623" s="72"/>
      <c r="AH623" s="72"/>
      <c r="AI623" s="72"/>
      <c r="AJ623" s="72"/>
      <c r="AK623" s="72"/>
      <c r="AL623" s="72"/>
      <c r="AM623" s="72"/>
      <c r="AN623" s="72"/>
      <c r="AO623" s="72"/>
      <c r="AP623" s="72"/>
      <c r="AQ623" s="72"/>
    </row>
    <row r="624">
      <c r="A624" s="71"/>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c r="AC624" s="72"/>
      <c r="AD624" s="72"/>
      <c r="AE624" s="72"/>
      <c r="AF624" s="72"/>
      <c r="AG624" s="72"/>
      <c r="AH624" s="72"/>
      <c r="AI624" s="72"/>
      <c r="AJ624" s="72"/>
      <c r="AK624" s="72"/>
      <c r="AL624" s="72"/>
      <c r="AM624" s="72"/>
      <c r="AN624" s="72"/>
      <c r="AO624" s="72"/>
      <c r="AP624" s="72"/>
      <c r="AQ624" s="72"/>
    </row>
    <row r="625">
      <c r="A625" s="71"/>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c r="AC625" s="72"/>
      <c r="AD625" s="72"/>
      <c r="AE625" s="72"/>
      <c r="AF625" s="72"/>
      <c r="AG625" s="72"/>
      <c r="AH625" s="72"/>
      <c r="AI625" s="72"/>
      <c r="AJ625" s="72"/>
      <c r="AK625" s="72"/>
      <c r="AL625" s="72"/>
      <c r="AM625" s="72"/>
      <c r="AN625" s="72"/>
      <c r="AO625" s="72"/>
      <c r="AP625" s="72"/>
      <c r="AQ625" s="72"/>
    </row>
    <row r="626">
      <c r="A626" s="71"/>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c r="AC626" s="72"/>
      <c r="AD626" s="72"/>
      <c r="AE626" s="72"/>
      <c r="AF626" s="72"/>
      <c r="AG626" s="72"/>
      <c r="AH626" s="72"/>
      <c r="AI626" s="72"/>
      <c r="AJ626" s="72"/>
      <c r="AK626" s="72"/>
      <c r="AL626" s="72"/>
      <c r="AM626" s="72"/>
      <c r="AN626" s="72"/>
      <c r="AO626" s="72"/>
      <c r="AP626" s="72"/>
      <c r="AQ626" s="72"/>
    </row>
    <row r="627">
      <c r="A627" s="71"/>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c r="AC627" s="72"/>
      <c r="AD627" s="72"/>
      <c r="AE627" s="72"/>
      <c r="AF627" s="72"/>
      <c r="AG627" s="72"/>
      <c r="AH627" s="72"/>
      <c r="AI627" s="72"/>
      <c r="AJ627" s="72"/>
      <c r="AK627" s="72"/>
      <c r="AL627" s="72"/>
      <c r="AM627" s="72"/>
      <c r="AN627" s="72"/>
      <c r="AO627" s="72"/>
      <c r="AP627" s="72"/>
      <c r="AQ627" s="72"/>
    </row>
    <row r="628">
      <c r="A628" s="71"/>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c r="AC628" s="72"/>
      <c r="AD628" s="72"/>
      <c r="AE628" s="72"/>
      <c r="AF628" s="72"/>
      <c r="AG628" s="72"/>
      <c r="AH628" s="72"/>
      <c r="AI628" s="72"/>
      <c r="AJ628" s="72"/>
      <c r="AK628" s="72"/>
      <c r="AL628" s="72"/>
      <c r="AM628" s="72"/>
      <c r="AN628" s="72"/>
      <c r="AO628" s="72"/>
      <c r="AP628" s="72"/>
      <c r="AQ628" s="72"/>
    </row>
    <row r="629">
      <c r="A629" s="71"/>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c r="AC629" s="72"/>
      <c r="AD629" s="72"/>
      <c r="AE629" s="72"/>
      <c r="AF629" s="72"/>
      <c r="AG629" s="72"/>
      <c r="AH629" s="72"/>
      <c r="AI629" s="72"/>
      <c r="AJ629" s="72"/>
      <c r="AK629" s="72"/>
      <c r="AL629" s="72"/>
      <c r="AM629" s="72"/>
      <c r="AN629" s="72"/>
      <c r="AO629" s="72"/>
      <c r="AP629" s="72"/>
      <c r="AQ629" s="72"/>
    </row>
    <row r="630">
      <c r="A630" s="71"/>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c r="AC630" s="72"/>
      <c r="AD630" s="72"/>
      <c r="AE630" s="72"/>
      <c r="AF630" s="72"/>
      <c r="AG630" s="72"/>
      <c r="AH630" s="72"/>
      <c r="AI630" s="72"/>
      <c r="AJ630" s="72"/>
      <c r="AK630" s="72"/>
      <c r="AL630" s="72"/>
      <c r="AM630" s="72"/>
      <c r="AN630" s="72"/>
      <c r="AO630" s="72"/>
      <c r="AP630" s="72"/>
      <c r="AQ630" s="72"/>
    </row>
    <row r="631">
      <c r="A631" s="71"/>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c r="AC631" s="72"/>
      <c r="AD631" s="72"/>
      <c r="AE631" s="72"/>
      <c r="AF631" s="72"/>
      <c r="AG631" s="72"/>
      <c r="AH631" s="72"/>
      <c r="AI631" s="72"/>
      <c r="AJ631" s="72"/>
      <c r="AK631" s="72"/>
      <c r="AL631" s="72"/>
      <c r="AM631" s="72"/>
      <c r="AN631" s="72"/>
      <c r="AO631" s="72"/>
      <c r="AP631" s="72"/>
      <c r="AQ631" s="72"/>
    </row>
    <row r="632">
      <c r="A632" s="71"/>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c r="AC632" s="72"/>
      <c r="AD632" s="72"/>
      <c r="AE632" s="72"/>
      <c r="AF632" s="72"/>
      <c r="AG632" s="72"/>
      <c r="AH632" s="72"/>
      <c r="AI632" s="72"/>
      <c r="AJ632" s="72"/>
      <c r="AK632" s="72"/>
      <c r="AL632" s="72"/>
      <c r="AM632" s="72"/>
      <c r="AN632" s="72"/>
      <c r="AO632" s="72"/>
      <c r="AP632" s="72"/>
      <c r="AQ632" s="72"/>
    </row>
    <row r="633">
      <c r="A633" s="71"/>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c r="AC633" s="72"/>
      <c r="AD633" s="72"/>
      <c r="AE633" s="72"/>
      <c r="AF633" s="72"/>
      <c r="AG633" s="72"/>
      <c r="AH633" s="72"/>
      <c r="AI633" s="72"/>
      <c r="AJ633" s="72"/>
      <c r="AK633" s="72"/>
      <c r="AL633" s="72"/>
      <c r="AM633" s="72"/>
      <c r="AN633" s="72"/>
      <c r="AO633" s="72"/>
      <c r="AP633" s="72"/>
      <c r="AQ633" s="72"/>
    </row>
    <row r="634">
      <c r="A634" s="71"/>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c r="AC634" s="72"/>
      <c r="AD634" s="72"/>
      <c r="AE634" s="72"/>
      <c r="AF634" s="72"/>
      <c r="AG634" s="72"/>
      <c r="AH634" s="72"/>
      <c r="AI634" s="72"/>
      <c r="AJ634" s="72"/>
      <c r="AK634" s="72"/>
      <c r="AL634" s="72"/>
      <c r="AM634" s="72"/>
      <c r="AN634" s="72"/>
      <c r="AO634" s="72"/>
      <c r="AP634" s="72"/>
      <c r="AQ634" s="72"/>
    </row>
    <row r="635">
      <c r="A635" s="71"/>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c r="AC635" s="72"/>
      <c r="AD635" s="72"/>
      <c r="AE635" s="72"/>
      <c r="AF635" s="72"/>
      <c r="AG635" s="72"/>
      <c r="AH635" s="72"/>
      <c r="AI635" s="72"/>
      <c r="AJ635" s="72"/>
      <c r="AK635" s="72"/>
      <c r="AL635" s="72"/>
      <c r="AM635" s="72"/>
      <c r="AN635" s="72"/>
      <c r="AO635" s="72"/>
      <c r="AP635" s="72"/>
      <c r="AQ635" s="72"/>
    </row>
    <row r="636">
      <c r="A636" s="71"/>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c r="AC636" s="72"/>
      <c r="AD636" s="72"/>
      <c r="AE636" s="72"/>
      <c r="AF636" s="72"/>
      <c r="AG636" s="72"/>
      <c r="AH636" s="72"/>
      <c r="AI636" s="72"/>
      <c r="AJ636" s="72"/>
      <c r="AK636" s="72"/>
      <c r="AL636" s="72"/>
      <c r="AM636" s="72"/>
      <c r="AN636" s="72"/>
      <c r="AO636" s="72"/>
      <c r="AP636" s="72"/>
      <c r="AQ636" s="72"/>
    </row>
    <row r="637">
      <c r="A637" s="71"/>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c r="AC637" s="72"/>
      <c r="AD637" s="72"/>
      <c r="AE637" s="72"/>
      <c r="AF637" s="72"/>
      <c r="AG637" s="72"/>
      <c r="AH637" s="72"/>
      <c r="AI637" s="72"/>
      <c r="AJ637" s="72"/>
      <c r="AK637" s="72"/>
      <c r="AL637" s="72"/>
      <c r="AM637" s="72"/>
      <c r="AN637" s="72"/>
      <c r="AO637" s="72"/>
      <c r="AP637" s="72"/>
      <c r="AQ637" s="72"/>
    </row>
    <row r="638">
      <c r="A638" s="71"/>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c r="AC638" s="72"/>
      <c r="AD638" s="72"/>
      <c r="AE638" s="72"/>
      <c r="AF638" s="72"/>
      <c r="AG638" s="72"/>
      <c r="AH638" s="72"/>
      <c r="AI638" s="72"/>
      <c r="AJ638" s="72"/>
      <c r="AK638" s="72"/>
      <c r="AL638" s="72"/>
      <c r="AM638" s="72"/>
      <c r="AN638" s="72"/>
      <c r="AO638" s="72"/>
      <c r="AP638" s="72"/>
      <c r="AQ638" s="72"/>
    </row>
    <row r="639">
      <c r="A639" s="71"/>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c r="AC639" s="72"/>
      <c r="AD639" s="72"/>
      <c r="AE639" s="72"/>
      <c r="AF639" s="72"/>
      <c r="AG639" s="72"/>
      <c r="AH639" s="72"/>
      <c r="AI639" s="72"/>
      <c r="AJ639" s="72"/>
      <c r="AK639" s="72"/>
      <c r="AL639" s="72"/>
      <c r="AM639" s="72"/>
      <c r="AN639" s="72"/>
      <c r="AO639" s="72"/>
      <c r="AP639" s="72"/>
      <c r="AQ639" s="72"/>
    </row>
    <row r="640">
      <c r="A640" s="71"/>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c r="AC640" s="72"/>
      <c r="AD640" s="72"/>
      <c r="AE640" s="72"/>
      <c r="AF640" s="72"/>
      <c r="AG640" s="72"/>
      <c r="AH640" s="72"/>
      <c r="AI640" s="72"/>
      <c r="AJ640" s="72"/>
      <c r="AK640" s="72"/>
      <c r="AL640" s="72"/>
      <c r="AM640" s="72"/>
      <c r="AN640" s="72"/>
      <c r="AO640" s="72"/>
      <c r="AP640" s="72"/>
      <c r="AQ640" s="72"/>
    </row>
    <row r="641">
      <c r="A641" s="71"/>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c r="AC641" s="72"/>
      <c r="AD641" s="72"/>
      <c r="AE641" s="72"/>
      <c r="AF641" s="72"/>
      <c r="AG641" s="72"/>
      <c r="AH641" s="72"/>
      <c r="AI641" s="72"/>
      <c r="AJ641" s="72"/>
      <c r="AK641" s="72"/>
      <c r="AL641" s="72"/>
      <c r="AM641" s="72"/>
      <c r="AN641" s="72"/>
      <c r="AO641" s="72"/>
      <c r="AP641" s="72"/>
      <c r="AQ641" s="72"/>
    </row>
    <row r="642">
      <c r="A642" s="71"/>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c r="AC642" s="72"/>
      <c r="AD642" s="72"/>
      <c r="AE642" s="72"/>
      <c r="AF642" s="72"/>
      <c r="AG642" s="72"/>
      <c r="AH642" s="72"/>
      <c r="AI642" s="72"/>
      <c r="AJ642" s="72"/>
      <c r="AK642" s="72"/>
      <c r="AL642" s="72"/>
      <c r="AM642" s="72"/>
      <c r="AN642" s="72"/>
      <c r="AO642" s="72"/>
      <c r="AP642" s="72"/>
      <c r="AQ642" s="72"/>
    </row>
    <row r="643">
      <c r="A643" s="71"/>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c r="AC643" s="72"/>
      <c r="AD643" s="72"/>
      <c r="AE643" s="72"/>
      <c r="AF643" s="72"/>
      <c r="AG643" s="72"/>
      <c r="AH643" s="72"/>
      <c r="AI643" s="72"/>
      <c r="AJ643" s="72"/>
      <c r="AK643" s="72"/>
      <c r="AL643" s="72"/>
      <c r="AM643" s="72"/>
      <c r="AN643" s="72"/>
      <c r="AO643" s="72"/>
      <c r="AP643" s="72"/>
      <c r="AQ643" s="72"/>
    </row>
    <row r="644">
      <c r="A644" s="71"/>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c r="AC644" s="72"/>
      <c r="AD644" s="72"/>
      <c r="AE644" s="72"/>
      <c r="AF644" s="72"/>
      <c r="AG644" s="72"/>
      <c r="AH644" s="72"/>
      <c r="AI644" s="72"/>
      <c r="AJ644" s="72"/>
      <c r="AK644" s="72"/>
      <c r="AL644" s="72"/>
      <c r="AM644" s="72"/>
      <c r="AN644" s="72"/>
      <c r="AO644" s="72"/>
      <c r="AP644" s="72"/>
      <c r="AQ644" s="72"/>
    </row>
    <row r="645">
      <c r="A645" s="71"/>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c r="AC645" s="72"/>
      <c r="AD645" s="72"/>
      <c r="AE645" s="72"/>
      <c r="AF645" s="72"/>
      <c r="AG645" s="72"/>
      <c r="AH645" s="72"/>
      <c r="AI645" s="72"/>
      <c r="AJ645" s="72"/>
      <c r="AK645" s="72"/>
      <c r="AL645" s="72"/>
      <c r="AM645" s="72"/>
      <c r="AN645" s="72"/>
      <c r="AO645" s="72"/>
      <c r="AP645" s="72"/>
      <c r="AQ645" s="72"/>
    </row>
    <row r="646">
      <c r="A646" s="71"/>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c r="AC646" s="72"/>
      <c r="AD646" s="72"/>
      <c r="AE646" s="72"/>
      <c r="AF646" s="72"/>
      <c r="AG646" s="72"/>
      <c r="AH646" s="72"/>
      <c r="AI646" s="72"/>
      <c r="AJ646" s="72"/>
      <c r="AK646" s="72"/>
      <c r="AL646" s="72"/>
      <c r="AM646" s="72"/>
      <c r="AN646" s="72"/>
      <c r="AO646" s="72"/>
      <c r="AP646" s="72"/>
      <c r="AQ646" s="72"/>
    </row>
    <row r="647">
      <c r="A647" s="71"/>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c r="AC647" s="72"/>
      <c r="AD647" s="72"/>
      <c r="AE647" s="72"/>
      <c r="AF647" s="72"/>
      <c r="AG647" s="72"/>
      <c r="AH647" s="72"/>
      <c r="AI647" s="72"/>
      <c r="AJ647" s="72"/>
      <c r="AK647" s="72"/>
      <c r="AL647" s="72"/>
      <c r="AM647" s="72"/>
      <c r="AN647" s="72"/>
      <c r="AO647" s="72"/>
      <c r="AP647" s="72"/>
      <c r="AQ647" s="72"/>
    </row>
    <row r="648">
      <c r="A648" s="71"/>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c r="AC648" s="72"/>
      <c r="AD648" s="72"/>
      <c r="AE648" s="72"/>
      <c r="AF648" s="72"/>
      <c r="AG648" s="72"/>
      <c r="AH648" s="72"/>
      <c r="AI648" s="72"/>
      <c r="AJ648" s="72"/>
      <c r="AK648" s="72"/>
      <c r="AL648" s="72"/>
      <c r="AM648" s="72"/>
      <c r="AN648" s="72"/>
      <c r="AO648" s="72"/>
      <c r="AP648" s="72"/>
      <c r="AQ648" s="72"/>
    </row>
    <row r="649">
      <c r="A649" s="71"/>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c r="AC649" s="72"/>
      <c r="AD649" s="72"/>
      <c r="AE649" s="72"/>
      <c r="AF649" s="72"/>
      <c r="AG649" s="72"/>
      <c r="AH649" s="72"/>
      <c r="AI649" s="72"/>
      <c r="AJ649" s="72"/>
      <c r="AK649" s="72"/>
      <c r="AL649" s="72"/>
      <c r="AM649" s="72"/>
      <c r="AN649" s="72"/>
      <c r="AO649" s="72"/>
      <c r="AP649" s="72"/>
      <c r="AQ649" s="72"/>
    </row>
    <row r="650">
      <c r="A650" s="71"/>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c r="AC650" s="72"/>
      <c r="AD650" s="72"/>
      <c r="AE650" s="72"/>
      <c r="AF650" s="72"/>
      <c r="AG650" s="72"/>
      <c r="AH650" s="72"/>
      <c r="AI650" s="72"/>
      <c r="AJ650" s="72"/>
      <c r="AK650" s="72"/>
      <c r="AL650" s="72"/>
      <c r="AM650" s="72"/>
      <c r="AN650" s="72"/>
      <c r="AO650" s="72"/>
      <c r="AP650" s="72"/>
      <c r="AQ650" s="72"/>
    </row>
    <row r="651">
      <c r="A651" s="71"/>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c r="AC651" s="72"/>
      <c r="AD651" s="72"/>
      <c r="AE651" s="72"/>
      <c r="AF651" s="72"/>
      <c r="AG651" s="72"/>
      <c r="AH651" s="72"/>
      <c r="AI651" s="72"/>
      <c r="AJ651" s="72"/>
      <c r="AK651" s="72"/>
      <c r="AL651" s="72"/>
      <c r="AM651" s="72"/>
      <c r="AN651" s="72"/>
      <c r="AO651" s="72"/>
      <c r="AP651" s="72"/>
      <c r="AQ651" s="72"/>
    </row>
    <row r="652">
      <c r="A652" s="71"/>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c r="AC652" s="72"/>
      <c r="AD652" s="72"/>
      <c r="AE652" s="72"/>
      <c r="AF652" s="72"/>
      <c r="AG652" s="72"/>
      <c r="AH652" s="72"/>
      <c r="AI652" s="72"/>
      <c r="AJ652" s="72"/>
      <c r="AK652" s="72"/>
      <c r="AL652" s="72"/>
      <c r="AM652" s="72"/>
      <c r="AN652" s="72"/>
      <c r="AO652" s="72"/>
      <c r="AP652" s="72"/>
      <c r="AQ652" s="72"/>
    </row>
    <row r="653">
      <c r="A653" s="71"/>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c r="AC653" s="72"/>
      <c r="AD653" s="72"/>
      <c r="AE653" s="72"/>
      <c r="AF653" s="72"/>
      <c r="AG653" s="72"/>
      <c r="AH653" s="72"/>
      <c r="AI653" s="72"/>
      <c r="AJ653" s="72"/>
      <c r="AK653" s="72"/>
      <c r="AL653" s="72"/>
      <c r="AM653" s="72"/>
      <c r="AN653" s="72"/>
      <c r="AO653" s="72"/>
      <c r="AP653" s="72"/>
      <c r="AQ653" s="72"/>
    </row>
    <row r="654">
      <c r="A654" s="71"/>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c r="AC654" s="72"/>
      <c r="AD654" s="72"/>
      <c r="AE654" s="72"/>
      <c r="AF654" s="72"/>
      <c r="AG654" s="72"/>
      <c r="AH654" s="72"/>
      <c r="AI654" s="72"/>
      <c r="AJ654" s="72"/>
      <c r="AK654" s="72"/>
      <c r="AL654" s="72"/>
      <c r="AM654" s="72"/>
      <c r="AN654" s="72"/>
      <c r="AO654" s="72"/>
      <c r="AP654" s="72"/>
      <c r="AQ654" s="72"/>
    </row>
    <row r="655">
      <c r="A655" s="71"/>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c r="AC655" s="72"/>
      <c r="AD655" s="72"/>
      <c r="AE655" s="72"/>
      <c r="AF655" s="72"/>
      <c r="AG655" s="72"/>
      <c r="AH655" s="72"/>
      <c r="AI655" s="72"/>
      <c r="AJ655" s="72"/>
      <c r="AK655" s="72"/>
      <c r="AL655" s="72"/>
      <c r="AM655" s="72"/>
      <c r="AN655" s="72"/>
      <c r="AO655" s="72"/>
      <c r="AP655" s="72"/>
      <c r="AQ655" s="72"/>
    </row>
    <row r="656">
      <c r="A656" s="71"/>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c r="AC656" s="72"/>
      <c r="AD656" s="72"/>
      <c r="AE656" s="72"/>
      <c r="AF656" s="72"/>
      <c r="AG656" s="72"/>
      <c r="AH656" s="72"/>
      <c r="AI656" s="72"/>
      <c r="AJ656" s="72"/>
      <c r="AK656" s="72"/>
      <c r="AL656" s="72"/>
      <c r="AM656" s="72"/>
      <c r="AN656" s="72"/>
      <c r="AO656" s="72"/>
      <c r="AP656" s="72"/>
      <c r="AQ656" s="72"/>
    </row>
    <row r="657">
      <c r="A657" s="71"/>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c r="AC657" s="72"/>
      <c r="AD657" s="72"/>
      <c r="AE657" s="72"/>
      <c r="AF657" s="72"/>
      <c r="AG657" s="72"/>
      <c r="AH657" s="72"/>
      <c r="AI657" s="72"/>
      <c r="AJ657" s="72"/>
      <c r="AK657" s="72"/>
      <c r="AL657" s="72"/>
      <c r="AM657" s="72"/>
      <c r="AN657" s="72"/>
      <c r="AO657" s="72"/>
      <c r="AP657" s="72"/>
      <c r="AQ657" s="72"/>
    </row>
    <row r="658">
      <c r="A658" s="71"/>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c r="AC658" s="72"/>
      <c r="AD658" s="72"/>
      <c r="AE658" s="72"/>
      <c r="AF658" s="72"/>
      <c r="AG658" s="72"/>
      <c r="AH658" s="72"/>
      <c r="AI658" s="72"/>
      <c r="AJ658" s="72"/>
      <c r="AK658" s="72"/>
      <c r="AL658" s="72"/>
      <c r="AM658" s="72"/>
      <c r="AN658" s="72"/>
      <c r="AO658" s="72"/>
      <c r="AP658" s="72"/>
      <c r="AQ658" s="72"/>
    </row>
    <row r="659">
      <c r="A659" s="71"/>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c r="AC659" s="72"/>
      <c r="AD659" s="72"/>
      <c r="AE659" s="72"/>
      <c r="AF659" s="72"/>
      <c r="AG659" s="72"/>
      <c r="AH659" s="72"/>
      <c r="AI659" s="72"/>
      <c r="AJ659" s="72"/>
      <c r="AK659" s="72"/>
      <c r="AL659" s="72"/>
      <c r="AM659" s="72"/>
      <c r="AN659" s="72"/>
      <c r="AO659" s="72"/>
      <c r="AP659" s="72"/>
      <c r="AQ659" s="72"/>
    </row>
    <row r="660">
      <c r="A660" s="71"/>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c r="AC660" s="72"/>
      <c r="AD660" s="72"/>
      <c r="AE660" s="72"/>
      <c r="AF660" s="72"/>
      <c r="AG660" s="72"/>
      <c r="AH660" s="72"/>
      <c r="AI660" s="72"/>
      <c r="AJ660" s="72"/>
      <c r="AK660" s="72"/>
      <c r="AL660" s="72"/>
      <c r="AM660" s="72"/>
      <c r="AN660" s="72"/>
      <c r="AO660" s="72"/>
      <c r="AP660" s="72"/>
      <c r="AQ660" s="72"/>
    </row>
    <row r="661">
      <c r="A661" s="71"/>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c r="AC661" s="72"/>
      <c r="AD661" s="72"/>
      <c r="AE661" s="72"/>
      <c r="AF661" s="72"/>
      <c r="AG661" s="72"/>
      <c r="AH661" s="72"/>
      <c r="AI661" s="72"/>
      <c r="AJ661" s="72"/>
      <c r="AK661" s="72"/>
      <c r="AL661" s="72"/>
      <c r="AM661" s="72"/>
      <c r="AN661" s="72"/>
      <c r="AO661" s="72"/>
      <c r="AP661" s="72"/>
      <c r="AQ661" s="72"/>
    </row>
    <row r="662">
      <c r="A662" s="71"/>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c r="AC662" s="72"/>
      <c r="AD662" s="72"/>
      <c r="AE662" s="72"/>
      <c r="AF662" s="72"/>
      <c r="AG662" s="72"/>
      <c r="AH662" s="72"/>
      <c r="AI662" s="72"/>
      <c r="AJ662" s="72"/>
      <c r="AK662" s="72"/>
      <c r="AL662" s="72"/>
      <c r="AM662" s="72"/>
      <c r="AN662" s="72"/>
      <c r="AO662" s="72"/>
      <c r="AP662" s="72"/>
      <c r="AQ662" s="72"/>
    </row>
    <row r="663">
      <c r="A663" s="71"/>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c r="AC663" s="72"/>
      <c r="AD663" s="72"/>
      <c r="AE663" s="72"/>
      <c r="AF663" s="72"/>
      <c r="AG663" s="72"/>
      <c r="AH663" s="72"/>
      <c r="AI663" s="72"/>
      <c r="AJ663" s="72"/>
      <c r="AK663" s="72"/>
      <c r="AL663" s="72"/>
      <c r="AM663" s="72"/>
      <c r="AN663" s="72"/>
      <c r="AO663" s="72"/>
      <c r="AP663" s="72"/>
      <c r="AQ663" s="72"/>
    </row>
    <row r="664">
      <c r="A664" s="71"/>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c r="AC664" s="72"/>
      <c r="AD664" s="72"/>
      <c r="AE664" s="72"/>
      <c r="AF664" s="72"/>
      <c r="AG664" s="72"/>
      <c r="AH664" s="72"/>
      <c r="AI664" s="72"/>
      <c r="AJ664" s="72"/>
      <c r="AK664" s="72"/>
      <c r="AL664" s="72"/>
      <c r="AM664" s="72"/>
      <c r="AN664" s="72"/>
      <c r="AO664" s="72"/>
      <c r="AP664" s="72"/>
      <c r="AQ664" s="72"/>
    </row>
    <row r="665">
      <c r="A665" s="71"/>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c r="AC665" s="72"/>
      <c r="AD665" s="72"/>
      <c r="AE665" s="72"/>
      <c r="AF665" s="72"/>
      <c r="AG665" s="72"/>
      <c r="AH665" s="72"/>
      <c r="AI665" s="72"/>
      <c r="AJ665" s="72"/>
      <c r="AK665" s="72"/>
      <c r="AL665" s="72"/>
      <c r="AM665" s="72"/>
      <c r="AN665" s="72"/>
      <c r="AO665" s="72"/>
      <c r="AP665" s="72"/>
      <c r="AQ665" s="72"/>
    </row>
    <row r="666">
      <c r="A666" s="71"/>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c r="AC666" s="72"/>
      <c r="AD666" s="72"/>
      <c r="AE666" s="72"/>
      <c r="AF666" s="72"/>
      <c r="AG666" s="72"/>
      <c r="AH666" s="72"/>
      <c r="AI666" s="72"/>
      <c r="AJ666" s="72"/>
      <c r="AK666" s="72"/>
      <c r="AL666" s="72"/>
      <c r="AM666" s="72"/>
      <c r="AN666" s="72"/>
      <c r="AO666" s="72"/>
      <c r="AP666" s="72"/>
      <c r="AQ666" s="72"/>
    </row>
    <row r="667">
      <c r="A667" s="71"/>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c r="AC667" s="72"/>
      <c r="AD667" s="72"/>
      <c r="AE667" s="72"/>
      <c r="AF667" s="72"/>
      <c r="AG667" s="72"/>
      <c r="AH667" s="72"/>
      <c r="AI667" s="72"/>
      <c r="AJ667" s="72"/>
      <c r="AK667" s="72"/>
      <c r="AL667" s="72"/>
      <c r="AM667" s="72"/>
      <c r="AN667" s="72"/>
      <c r="AO667" s="72"/>
      <c r="AP667" s="72"/>
      <c r="AQ667" s="72"/>
    </row>
    <row r="668">
      <c r="A668" s="71"/>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c r="AC668" s="72"/>
      <c r="AD668" s="72"/>
      <c r="AE668" s="72"/>
      <c r="AF668" s="72"/>
      <c r="AG668" s="72"/>
      <c r="AH668" s="72"/>
      <c r="AI668" s="72"/>
      <c r="AJ668" s="72"/>
      <c r="AK668" s="72"/>
      <c r="AL668" s="72"/>
      <c r="AM668" s="72"/>
      <c r="AN668" s="72"/>
      <c r="AO668" s="72"/>
      <c r="AP668" s="72"/>
      <c r="AQ668" s="72"/>
    </row>
    <row r="669">
      <c r="A669" s="71"/>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c r="AC669" s="72"/>
      <c r="AD669" s="72"/>
      <c r="AE669" s="72"/>
      <c r="AF669" s="72"/>
      <c r="AG669" s="72"/>
      <c r="AH669" s="72"/>
      <c r="AI669" s="72"/>
      <c r="AJ669" s="72"/>
      <c r="AK669" s="72"/>
      <c r="AL669" s="72"/>
      <c r="AM669" s="72"/>
      <c r="AN669" s="72"/>
      <c r="AO669" s="72"/>
      <c r="AP669" s="72"/>
      <c r="AQ669" s="72"/>
    </row>
    <row r="670">
      <c r="A670" s="71"/>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c r="AC670" s="72"/>
      <c r="AD670" s="72"/>
      <c r="AE670" s="72"/>
      <c r="AF670" s="72"/>
      <c r="AG670" s="72"/>
      <c r="AH670" s="72"/>
      <c r="AI670" s="72"/>
      <c r="AJ670" s="72"/>
      <c r="AK670" s="72"/>
      <c r="AL670" s="72"/>
      <c r="AM670" s="72"/>
      <c r="AN670" s="72"/>
      <c r="AO670" s="72"/>
      <c r="AP670" s="72"/>
      <c r="AQ670" s="72"/>
    </row>
    <row r="671">
      <c r="A671" s="71"/>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c r="AC671" s="72"/>
      <c r="AD671" s="72"/>
      <c r="AE671" s="72"/>
      <c r="AF671" s="72"/>
      <c r="AG671" s="72"/>
      <c r="AH671" s="72"/>
      <c r="AI671" s="72"/>
      <c r="AJ671" s="72"/>
      <c r="AK671" s="72"/>
      <c r="AL671" s="72"/>
      <c r="AM671" s="72"/>
      <c r="AN671" s="72"/>
      <c r="AO671" s="72"/>
      <c r="AP671" s="72"/>
      <c r="AQ671" s="72"/>
    </row>
    <row r="672">
      <c r="A672" s="71"/>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c r="AC672" s="72"/>
      <c r="AD672" s="72"/>
      <c r="AE672" s="72"/>
      <c r="AF672" s="72"/>
      <c r="AG672" s="72"/>
      <c r="AH672" s="72"/>
      <c r="AI672" s="72"/>
      <c r="AJ672" s="72"/>
      <c r="AK672" s="72"/>
      <c r="AL672" s="72"/>
      <c r="AM672" s="72"/>
      <c r="AN672" s="72"/>
      <c r="AO672" s="72"/>
      <c r="AP672" s="72"/>
      <c r="AQ672" s="72"/>
    </row>
    <row r="673">
      <c r="A673" s="71"/>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c r="AC673" s="72"/>
      <c r="AD673" s="72"/>
      <c r="AE673" s="72"/>
      <c r="AF673" s="72"/>
      <c r="AG673" s="72"/>
      <c r="AH673" s="72"/>
      <c r="AI673" s="72"/>
      <c r="AJ673" s="72"/>
      <c r="AK673" s="72"/>
      <c r="AL673" s="72"/>
      <c r="AM673" s="72"/>
      <c r="AN673" s="72"/>
      <c r="AO673" s="72"/>
      <c r="AP673" s="72"/>
      <c r="AQ673" s="72"/>
    </row>
    <row r="674">
      <c r="A674" s="71"/>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c r="AC674" s="72"/>
      <c r="AD674" s="72"/>
      <c r="AE674" s="72"/>
      <c r="AF674" s="72"/>
      <c r="AG674" s="72"/>
      <c r="AH674" s="72"/>
      <c r="AI674" s="72"/>
      <c r="AJ674" s="72"/>
      <c r="AK674" s="72"/>
      <c r="AL674" s="72"/>
      <c r="AM674" s="72"/>
      <c r="AN674" s="72"/>
      <c r="AO674" s="72"/>
      <c r="AP674" s="72"/>
      <c r="AQ674" s="72"/>
    </row>
    <row r="675">
      <c r="A675" s="71"/>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c r="AC675" s="72"/>
      <c r="AD675" s="72"/>
      <c r="AE675" s="72"/>
      <c r="AF675" s="72"/>
      <c r="AG675" s="72"/>
      <c r="AH675" s="72"/>
      <c r="AI675" s="72"/>
      <c r="AJ675" s="72"/>
      <c r="AK675" s="72"/>
      <c r="AL675" s="72"/>
      <c r="AM675" s="72"/>
      <c r="AN675" s="72"/>
      <c r="AO675" s="72"/>
      <c r="AP675" s="72"/>
      <c r="AQ675" s="72"/>
    </row>
    <row r="676">
      <c r="A676" s="71"/>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c r="AC676" s="72"/>
      <c r="AD676" s="72"/>
      <c r="AE676" s="72"/>
      <c r="AF676" s="72"/>
      <c r="AG676" s="72"/>
      <c r="AH676" s="72"/>
      <c r="AI676" s="72"/>
      <c r="AJ676" s="72"/>
      <c r="AK676" s="72"/>
      <c r="AL676" s="72"/>
      <c r="AM676" s="72"/>
      <c r="AN676" s="72"/>
      <c r="AO676" s="72"/>
      <c r="AP676" s="72"/>
      <c r="AQ676" s="72"/>
    </row>
    <row r="677">
      <c r="A677" s="71"/>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c r="AC677" s="72"/>
      <c r="AD677" s="72"/>
      <c r="AE677" s="72"/>
      <c r="AF677" s="72"/>
      <c r="AG677" s="72"/>
      <c r="AH677" s="72"/>
      <c r="AI677" s="72"/>
      <c r="AJ677" s="72"/>
      <c r="AK677" s="72"/>
      <c r="AL677" s="72"/>
      <c r="AM677" s="72"/>
      <c r="AN677" s="72"/>
      <c r="AO677" s="72"/>
      <c r="AP677" s="72"/>
      <c r="AQ677" s="72"/>
    </row>
    <row r="678">
      <c r="A678" s="71"/>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c r="AC678" s="72"/>
      <c r="AD678" s="72"/>
      <c r="AE678" s="72"/>
      <c r="AF678" s="72"/>
      <c r="AG678" s="72"/>
      <c r="AH678" s="72"/>
      <c r="AI678" s="72"/>
      <c r="AJ678" s="72"/>
      <c r="AK678" s="72"/>
      <c r="AL678" s="72"/>
      <c r="AM678" s="72"/>
      <c r="AN678" s="72"/>
      <c r="AO678" s="72"/>
      <c r="AP678" s="72"/>
      <c r="AQ678" s="72"/>
    </row>
    <row r="679">
      <c r="A679" s="71"/>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c r="AC679" s="72"/>
      <c r="AD679" s="72"/>
      <c r="AE679" s="72"/>
      <c r="AF679" s="72"/>
      <c r="AG679" s="72"/>
      <c r="AH679" s="72"/>
      <c r="AI679" s="72"/>
      <c r="AJ679" s="72"/>
      <c r="AK679" s="72"/>
      <c r="AL679" s="72"/>
      <c r="AM679" s="72"/>
      <c r="AN679" s="72"/>
      <c r="AO679" s="72"/>
      <c r="AP679" s="72"/>
      <c r="AQ679" s="72"/>
    </row>
    <row r="680">
      <c r="A680" s="71"/>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c r="AC680" s="72"/>
      <c r="AD680" s="72"/>
      <c r="AE680" s="72"/>
      <c r="AF680" s="72"/>
      <c r="AG680" s="72"/>
      <c r="AH680" s="72"/>
      <c r="AI680" s="72"/>
      <c r="AJ680" s="72"/>
      <c r="AK680" s="72"/>
      <c r="AL680" s="72"/>
      <c r="AM680" s="72"/>
      <c r="AN680" s="72"/>
      <c r="AO680" s="72"/>
      <c r="AP680" s="72"/>
      <c r="AQ680" s="72"/>
    </row>
    <row r="681">
      <c r="A681" s="71"/>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c r="AC681" s="72"/>
      <c r="AD681" s="72"/>
      <c r="AE681" s="72"/>
      <c r="AF681" s="72"/>
      <c r="AG681" s="72"/>
      <c r="AH681" s="72"/>
      <c r="AI681" s="72"/>
      <c r="AJ681" s="72"/>
      <c r="AK681" s="72"/>
      <c r="AL681" s="72"/>
      <c r="AM681" s="72"/>
      <c r="AN681" s="72"/>
      <c r="AO681" s="72"/>
      <c r="AP681" s="72"/>
      <c r="AQ681" s="72"/>
    </row>
    <row r="682">
      <c r="A682" s="71"/>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c r="AC682" s="72"/>
      <c r="AD682" s="72"/>
      <c r="AE682" s="72"/>
      <c r="AF682" s="72"/>
      <c r="AG682" s="72"/>
      <c r="AH682" s="72"/>
      <c r="AI682" s="72"/>
      <c r="AJ682" s="72"/>
      <c r="AK682" s="72"/>
      <c r="AL682" s="72"/>
      <c r="AM682" s="72"/>
      <c r="AN682" s="72"/>
      <c r="AO682" s="72"/>
      <c r="AP682" s="72"/>
      <c r="AQ682" s="72"/>
    </row>
    <row r="683">
      <c r="A683" s="71"/>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c r="AC683" s="72"/>
      <c r="AD683" s="72"/>
      <c r="AE683" s="72"/>
      <c r="AF683" s="72"/>
      <c r="AG683" s="72"/>
      <c r="AH683" s="72"/>
      <c r="AI683" s="72"/>
      <c r="AJ683" s="72"/>
      <c r="AK683" s="72"/>
      <c r="AL683" s="72"/>
      <c r="AM683" s="72"/>
      <c r="AN683" s="72"/>
      <c r="AO683" s="72"/>
      <c r="AP683" s="72"/>
      <c r="AQ683" s="72"/>
    </row>
    <row r="684">
      <c r="A684" s="71"/>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c r="AC684" s="72"/>
      <c r="AD684" s="72"/>
      <c r="AE684" s="72"/>
      <c r="AF684" s="72"/>
      <c r="AG684" s="72"/>
      <c r="AH684" s="72"/>
      <c r="AI684" s="72"/>
      <c r="AJ684" s="72"/>
      <c r="AK684" s="72"/>
      <c r="AL684" s="72"/>
      <c r="AM684" s="72"/>
      <c r="AN684" s="72"/>
      <c r="AO684" s="72"/>
      <c r="AP684" s="72"/>
      <c r="AQ684" s="72"/>
    </row>
    <row r="685">
      <c r="A685" s="71"/>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c r="AC685" s="72"/>
      <c r="AD685" s="72"/>
      <c r="AE685" s="72"/>
      <c r="AF685" s="72"/>
      <c r="AG685" s="72"/>
      <c r="AH685" s="72"/>
      <c r="AI685" s="72"/>
      <c r="AJ685" s="72"/>
      <c r="AK685" s="72"/>
      <c r="AL685" s="72"/>
      <c r="AM685" s="72"/>
      <c r="AN685" s="72"/>
      <c r="AO685" s="72"/>
      <c r="AP685" s="72"/>
      <c r="AQ685" s="72"/>
    </row>
    <row r="686">
      <c r="A686" s="71"/>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c r="AC686" s="72"/>
      <c r="AD686" s="72"/>
      <c r="AE686" s="72"/>
      <c r="AF686" s="72"/>
      <c r="AG686" s="72"/>
      <c r="AH686" s="72"/>
      <c r="AI686" s="72"/>
      <c r="AJ686" s="72"/>
      <c r="AK686" s="72"/>
      <c r="AL686" s="72"/>
      <c r="AM686" s="72"/>
      <c r="AN686" s="72"/>
      <c r="AO686" s="72"/>
      <c r="AP686" s="72"/>
      <c r="AQ686" s="72"/>
    </row>
    <row r="687">
      <c r="A687" s="71"/>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c r="AC687" s="72"/>
      <c r="AD687" s="72"/>
      <c r="AE687" s="72"/>
      <c r="AF687" s="72"/>
      <c r="AG687" s="72"/>
      <c r="AH687" s="72"/>
      <c r="AI687" s="72"/>
      <c r="AJ687" s="72"/>
      <c r="AK687" s="72"/>
      <c r="AL687" s="72"/>
      <c r="AM687" s="72"/>
      <c r="AN687" s="72"/>
      <c r="AO687" s="72"/>
      <c r="AP687" s="72"/>
      <c r="AQ687" s="72"/>
    </row>
    <row r="688">
      <c r="A688" s="71"/>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c r="AC688" s="72"/>
      <c r="AD688" s="72"/>
      <c r="AE688" s="72"/>
      <c r="AF688" s="72"/>
      <c r="AG688" s="72"/>
      <c r="AH688" s="72"/>
      <c r="AI688" s="72"/>
      <c r="AJ688" s="72"/>
      <c r="AK688" s="72"/>
      <c r="AL688" s="72"/>
      <c r="AM688" s="72"/>
      <c r="AN688" s="72"/>
      <c r="AO688" s="72"/>
      <c r="AP688" s="72"/>
      <c r="AQ688" s="72"/>
    </row>
    <row r="689">
      <c r="A689" s="71"/>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c r="AC689" s="72"/>
      <c r="AD689" s="72"/>
      <c r="AE689" s="72"/>
      <c r="AF689" s="72"/>
      <c r="AG689" s="72"/>
      <c r="AH689" s="72"/>
      <c r="AI689" s="72"/>
      <c r="AJ689" s="72"/>
      <c r="AK689" s="72"/>
      <c r="AL689" s="72"/>
      <c r="AM689" s="72"/>
      <c r="AN689" s="72"/>
      <c r="AO689" s="72"/>
      <c r="AP689" s="72"/>
      <c r="AQ689" s="72"/>
    </row>
    <row r="690">
      <c r="A690" s="71"/>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c r="AC690" s="72"/>
      <c r="AD690" s="72"/>
      <c r="AE690" s="72"/>
      <c r="AF690" s="72"/>
      <c r="AG690" s="72"/>
      <c r="AH690" s="72"/>
      <c r="AI690" s="72"/>
      <c r="AJ690" s="72"/>
      <c r="AK690" s="72"/>
      <c r="AL690" s="72"/>
      <c r="AM690" s="72"/>
      <c r="AN690" s="72"/>
      <c r="AO690" s="72"/>
      <c r="AP690" s="72"/>
      <c r="AQ690" s="72"/>
    </row>
    <row r="691">
      <c r="A691" s="71"/>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c r="AC691" s="72"/>
      <c r="AD691" s="72"/>
      <c r="AE691" s="72"/>
      <c r="AF691" s="72"/>
      <c r="AG691" s="72"/>
      <c r="AH691" s="72"/>
      <c r="AI691" s="72"/>
      <c r="AJ691" s="72"/>
      <c r="AK691" s="72"/>
      <c r="AL691" s="72"/>
      <c r="AM691" s="72"/>
      <c r="AN691" s="72"/>
      <c r="AO691" s="72"/>
      <c r="AP691" s="72"/>
      <c r="AQ691" s="72"/>
    </row>
    <row r="692">
      <c r="A692" s="71"/>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c r="AC692" s="72"/>
      <c r="AD692" s="72"/>
      <c r="AE692" s="72"/>
      <c r="AF692" s="72"/>
      <c r="AG692" s="72"/>
      <c r="AH692" s="72"/>
      <c r="AI692" s="72"/>
      <c r="AJ692" s="72"/>
      <c r="AK692" s="72"/>
      <c r="AL692" s="72"/>
      <c r="AM692" s="72"/>
      <c r="AN692" s="72"/>
      <c r="AO692" s="72"/>
      <c r="AP692" s="72"/>
      <c r="AQ692" s="72"/>
    </row>
    <row r="693">
      <c r="A693" s="71"/>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c r="AC693" s="72"/>
      <c r="AD693" s="72"/>
      <c r="AE693" s="72"/>
      <c r="AF693" s="72"/>
      <c r="AG693" s="72"/>
      <c r="AH693" s="72"/>
      <c r="AI693" s="72"/>
      <c r="AJ693" s="72"/>
      <c r="AK693" s="72"/>
      <c r="AL693" s="72"/>
      <c r="AM693" s="72"/>
      <c r="AN693" s="72"/>
      <c r="AO693" s="72"/>
      <c r="AP693" s="72"/>
      <c r="AQ693" s="72"/>
    </row>
    <row r="694">
      <c r="A694" s="71"/>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c r="AC694" s="72"/>
      <c r="AD694" s="72"/>
      <c r="AE694" s="72"/>
      <c r="AF694" s="72"/>
      <c r="AG694" s="72"/>
      <c r="AH694" s="72"/>
      <c r="AI694" s="72"/>
      <c r="AJ694" s="72"/>
      <c r="AK694" s="72"/>
      <c r="AL694" s="72"/>
      <c r="AM694" s="72"/>
      <c r="AN694" s="72"/>
      <c r="AO694" s="72"/>
      <c r="AP694" s="72"/>
      <c r="AQ694" s="72"/>
    </row>
    <row r="695">
      <c r="A695" s="71"/>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c r="AC695" s="72"/>
      <c r="AD695" s="72"/>
      <c r="AE695" s="72"/>
      <c r="AF695" s="72"/>
      <c r="AG695" s="72"/>
      <c r="AH695" s="72"/>
      <c r="AI695" s="72"/>
      <c r="AJ695" s="72"/>
      <c r="AK695" s="72"/>
      <c r="AL695" s="72"/>
      <c r="AM695" s="72"/>
      <c r="AN695" s="72"/>
      <c r="AO695" s="72"/>
      <c r="AP695" s="72"/>
      <c r="AQ695" s="72"/>
    </row>
    <row r="696">
      <c r="A696" s="71"/>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c r="AC696" s="72"/>
      <c r="AD696" s="72"/>
      <c r="AE696" s="72"/>
      <c r="AF696" s="72"/>
      <c r="AG696" s="72"/>
      <c r="AH696" s="72"/>
      <c r="AI696" s="72"/>
      <c r="AJ696" s="72"/>
      <c r="AK696" s="72"/>
      <c r="AL696" s="72"/>
      <c r="AM696" s="72"/>
      <c r="AN696" s="72"/>
      <c r="AO696" s="72"/>
      <c r="AP696" s="72"/>
      <c r="AQ696" s="72"/>
    </row>
    <row r="697">
      <c r="A697" s="71"/>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c r="AC697" s="72"/>
      <c r="AD697" s="72"/>
      <c r="AE697" s="72"/>
      <c r="AF697" s="72"/>
      <c r="AG697" s="72"/>
      <c r="AH697" s="72"/>
      <c r="AI697" s="72"/>
      <c r="AJ697" s="72"/>
      <c r="AK697" s="72"/>
      <c r="AL697" s="72"/>
      <c r="AM697" s="72"/>
      <c r="AN697" s="72"/>
      <c r="AO697" s="72"/>
      <c r="AP697" s="72"/>
      <c r="AQ697" s="72"/>
    </row>
    <row r="698">
      <c r="A698" s="71"/>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c r="AC698" s="72"/>
      <c r="AD698" s="72"/>
      <c r="AE698" s="72"/>
      <c r="AF698" s="72"/>
      <c r="AG698" s="72"/>
      <c r="AH698" s="72"/>
      <c r="AI698" s="72"/>
      <c r="AJ698" s="72"/>
      <c r="AK698" s="72"/>
      <c r="AL698" s="72"/>
      <c r="AM698" s="72"/>
      <c r="AN698" s="72"/>
      <c r="AO698" s="72"/>
      <c r="AP698" s="72"/>
      <c r="AQ698" s="72"/>
    </row>
    <row r="699">
      <c r="A699" s="71"/>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c r="AC699" s="72"/>
      <c r="AD699" s="72"/>
      <c r="AE699" s="72"/>
      <c r="AF699" s="72"/>
      <c r="AG699" s="72"/>
      <c r="AH699" s="72"/>
      <c r="AI699" s="72"/>
      <c r="AJ699" s="72"/>
      <c r="AK699" s="72"/>
      <c r="AL699" s="72"/>
      <c r="AM699" s="72"/>
      <c r="AN699" s="72"/>
      <c r="AO699" s="72"/>
      <c r="AP699" s="72"/>
      <c r="AQ699" s="72"/>
    </row>
    <row r="700">
      <c r="A700" s="71"/>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c r="AC700" s="72"/>
      <c r="AD700" s="72"/>
      <c r="AE700" s="72"/>
      <c r="AF700" s="72"/>
      <c r="AG700" s="72"/>
      <c r="AH700" s="72"/>
      <c r="AI700" s="72"/>
      <c r="AJ700" s="72"/>
      <c r="AK700" s="72"/>
      <c r="AL700" s="72"/>
      <c r="AM700" s="72"/>
      <c r="AN700" s="72"/>
      <c r="AO700" s="72"/>
      <c r="AP700" s="72"/>
      <c r="AQ700" s="72"/>
    </row>
    <row r="701">
      <c r="A701" s="71"/>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c r="AC701" s="72"/>
      <c r="AD701" s="72"/>
      <c r="AE701" s="72"/>
      <c r="AF701" s="72"/>
      <c r="AG701" s="72"/>
      <c r="AH701" s="72"/>
      <c r="AI701" s="72"/>
      <c r="AJ701" s="72"/>
      <c r="AK701" s="72"/>
      <c r="AL701" s="72"/>
      <c r="AM701" s="72"/>
      <c r="AN701" s="72"/>
      <c r="AO701" s="72"/>
      <c r="AP701" s="72"/>
      <c r="AQ701" s="72"/>
    </row>
    <row r="702">
      <c r="A702" s="71"/>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c r="AC702" s="72"/>
      <c r="AD702" s="72"/>
      <c r="AE702" s="72"/>
      <c r="AF702" s="72"/>
      <c r="AG702" s="72"/>
      <c r="AH702" s="72"/>
      <c r="AI702" s="72"/>
      <c r="AJ702" s="72"/>
      <c r="AK702" s="72"/>
      <c r="AL702" s="72"/>
      <c r="AM702" s="72"/>
      <c r="AN702" s="72"/>
      <c r="AO702" s="72"/>
      <c r="AP702" s="72"/>
      <c r="AQ702" s="72"/>
    </row>
    <row r="703">
      <c r="A703" s="71"/>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c r="AC703" s="72"/>
      <c r="AD703" s="72"/>
      <c r="AE703" s="72"/>
      <c r="AF703" s="72"/>
      <c r="AG703" s="72"/>
      <c r="AH703" s="72"/>
      <c r="AI703" s="72"/>
      <c r="AJ703" s="72"/>
      <c r="AK703" s="72"/>
      <c r="AL703" s="72"/>
      <c r="AM703" s="72"/>
      <c r="AN703" s="72"/>
      <c r="AO703" s="72"/>
      <c r="AP703" s="72"/>
      <c r="AQ703" s="72"/>
    </row>
    <row r="704">
      <c r="A704" s="71"/>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c r="AC704" s="72"/>
      <c r="AD704" s="72"/>
      <c r="AE704" s="72"/>
      <c r="AF704" s="72"/>
      <c r="AG704" s="72"/>
      <c r="AH704" s="72"/>
      <c r="AI704" s="72"/>
      <c r="AJ704" s="72"/>
      <c r="AK704" s="72"/>
      <c r="AL704" s="72"/>
      <c r="AM704" s="72"/>
      <c r="AN704" s="72"/>
      <c r="AO704" s="72"/>
      <c r="AP704" s="72"/>
      <c r="AQ704" s="72"/>
    </row>
    <row r="705">
      <c r="A705" s="71"/>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c r="AC705" s="72"/>
      <c r="AD705" s="72"/>
      <c r="AE705" s="72"/>
      <c r="AF705" s="72"/>
      <c r="AG705" s="72"/>
      <c r="AH705" s="72"/>
      <c r="AI705" s="72"/>
      <c r="AJ705" s="72"/>
      <c r="AK705" s="72"/>
      <c r="AL705" s="72"/>
      <c r="AM705" s="72"/>
      <c r="AN705" s="72"/>
      <c r="AO705" s="72"/>
      <c r="AP705" s="72"/>
      <c r="AQ705" s="72"/>
    </row>
    <row r="706">
      <c r="A706" s="71"/>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c r="AC706" s="72"/>
      <c r="AD706" s="72"/>
      <c r="AE706" s="72"/>
      <c r="AF706" s="72"/>
      <c r="AG706" s="72"/>
      <c r="AH706" s="72"/>
      <c r="AI706" s="72"/>
      <c r="AJ706" s="72"/>
      <c r="AK706" s="72"/>
      <c r="AL706" s="72"/>
      <c r="AM706" s="72"/>
      <c r="AN706" s="72"/>
      <c r="AO706" s="72"/>
      <c r="AP706" s="72"/>
      <c r="AQ706" s="72"/>
    </row>
    <row r="707">
      <c r="A707" s="71"/>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c r="AC707" s="72"/>
      <c r="AD707" s="72"/>
      <c r="AE707" s="72"/>
      <c r="AF707" s="72"/>
      <c r="AG707" s="72"/>
      <c r="AH707" s="72"/>
      <c r="AI707" s="72"/>
      <c r="AJ707" s="72"/>
      <c r="AK707" s="72"/>
      <c r="AL707" s="72"/>
      <c r="AM707" s="72"/>
      <c r="AN707" s="72"/>
      <c r="AO707" s="72"/>
      <c r="AP707" s="72"/>
      <c r="AQ707" s="72"/>
    </row>
    <row r="708">
      <c r="A708" s="71"/>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c r="AC708" s="72"/>
      <c r="AD708" s="72"/>
      <c r="AE708" s="72"/>
      <c r="AF708" s="72"/>
      <c r="AG708" s="72"/>
      <c r="AH708" s="72"/>
      <c r="AI708" s="72"/>
      <c r="AJ708" s="72"/>
      <c r="AK708" s="72"/>
      <c r="AL708" s="72"/>
      <c r="AM708" s="72"/>
      <c r="AN708" s="72"/>
      <c r="AO708" s="72"/>
      <c r="AP708" s="72"/>
      <c r="AQ708" s="72"/>
    </row>
    <row r="709">
      <c r="A709" s="71"/>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c r="AC709" s="72"/>
      <c r="AD709" s="72"/>
      <c r="AE709" s="72"/>
      <c r="AF709" s="72"/>
      <c r="AG709" s="72"/>
      <c r="AH709" s="72"/>
      <c r="AI709" s="72"/>
      <c r="AJ709" s="72"/>
      <c r="AK709" s="72"/>
      <c r="AL709" s="72"/>
      <c r="AM709" s="72"/>
      <c r="AN709" s="72"/>
      <c r="AO709" s="72"/>
      <c r="AP709" s="72"/>
      <c r="AQ709" s="72"/>
    </row>
    <row r="710">
      <c r="A710" s="71"/>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c r="AC710" s="72"/>
      <c r="AD710" s="72"/>
      <c r="AE710" s="72"/>
      <c r="AF710" s="72"/>
      <c r="AG710" s="72"/>
      <c r="AH710" s="72"/>
      <c r="AI710" s="72"/>
      <c r="AJ710" s="72"/>
      <c r="AK710" s="72"/>
      <c r="AL710" s="72"/>
      <c r="AM710" s="72"/>
      <c r="AN710" s="72"/>
      <c r="AO710" s="72"/>
      <c r="AP710" s="72"/>
      <c r="AQ710" s="72"/>
    </row>
    <row r="711">
      <c r="A711" s="71"/>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c r="AC711" s="72"/>
      <c r="AD711" s="72"/>
      <c r="AE711" s="72"/>
      <c r="AF711" s="72"/>
      <c r="AG711" s="72"/>
      <c r="AH711" s="72"/>
      <c r="AI711" s="72"/>
      <c r="AJ711" s="72"/>
      <c r="AK711" s="72"/>
      <c r="AL711" s="72"/>
      <c r="AM711" s="72"/>
      <c r="AN711" s="72"/>
      <c r="AO711" s="72"/>
      <c r="AP711" s="72"/>
      <c r="AQ711" s="72"/>
    </row>
    <row r="712">
      <c r="A712" s="71"/>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c r="AC712" s="72"/>
      <c r="AD712" s="72"/>
      <c r="AE712" s="72"/>
      <c r="AF712" s="72"/>
      <c r="AG712" s="72"/>
      <c r="AH712" s="72"/>
      <c r="AI712" s="72"/>
      <c r="AJ712" s="72"/>
      <c r="AK712" s="72"/>
      <c r="AL712" s="72"/>
      <c r="AM712" s="72"/>
      <c r="AN712" s="72"/>
      <c r="AO712" s="72"/>
      <c r="AP712" s="72"/>
      <c r="AQ712" s="72"/>
    </row>
    <row r="713">
      <c r="A713" s="71"/>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c r="AC713" s="72"/>
      <c r="AD713" s="72"/>
      <c r="AE713" s="72"/>
      <c r="AF713" s="72"/>
      <c r="AG713" s="72"/>
      <c r="AH713" s="72"/>
      <c r="AI713" s="72"/>
      <c r="AJ713" s="72"/>
      <c r="AK713" s="72"/>
      <c r="AL713" s="72"/>
      <c r="AM713" s="72"/>
      <c r="AN713" s="72"/>
      <c r="AO713" s="72"/>
      <c r="AP713" s="72"/>
      <c r="AQ713" s="72"/>
    </row>
    <row r="714">
      <c r="A714" s="71"/>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c r="AC714" s="72"/>
      <c r="AD714" s="72"/>
      <c r="AE714" s="72"/>
      <c r="AF714" s="72"/>
      <c r="AG714" s="72"/>
      <c r="AH714" s="72"/>
      <c r="AI714" s="72"/>
      <c r="AJ714" s="72"/>
      <c r="AK714" s="72"/>
      <c r="AL714" s="72"/>
      <c r="AM714" s="72"/>
      <c r="AN714" s="72"/>
      <c r="AO714" s="72"/>
      <c r="AP714" s="72"/>
      <c r="AQ714" s="72"/>
    </row>
    <row r="715">
      <c r="A715" s="71"/>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c r="AC715" s="72"/>
      <c r="AD715" s="72"/>
      <c r="AE715" s="72"/>
      <c r="AF715" s="72"/>
      <c r="AG715" s="72"/>
      <c r="AH715" s="72"/>
      <c r="AI715" s="72"/>
      <c r="AJ715" s="72"/>
      <c r="AK715" s="72"/>
      <c r="AL715" s="72"/>
      <c r="AM715" s="72"/>
      <c r="AN715" s="72"/>
      <c r="AO715" s="72"/>
      <c r="AP715" s="72"/>
      <c r="AQ715" s="72"/>
    </row>
    <row r="716">
      <c r="A716" s="71"/>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c r="AC716" s="72"/>
      <c r="AD716" s="72"/>
      <c r="AE716" s="72"/>
      <c r="AF716" s="72"/>
      <c r="AG716" s="72"/>
      <c r="AH716" s="72"/>
      <c r="AI716" s="72"/>
      <c r="AJ716" s="72"/>
      <c r="AK716" s="72"/>
      <c r="AL716" s="72"/>
      <c r="AM716" s="72"/>
      <c r="AN716" s="72"/>
      <c r="AO716" s="72"/>
      <c r="AP716" s="72"/>
      <c r="AQ716" s="72"/>
    </row>
    <row r="717">
      <c r="A717" s="71"/>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c r="AC717" s="72"/>
      <c r="AD717" s="72"/>
      <c r="AE717" s="72"/>
      <c r="AF717" s="72"/>
      <c r="AG717" s="72"/>
      <c r="AH717" s="72"/>
      <c r="AI717" s="72"/>
      <c r="AJ717" s="72"/>
      <c r="AK717" s="72"/>
      <c r="AL717" s="72"/>
      <c r="AM717" s="72"/>
      <c r="AN717" s="72"/>
      <c r="AO717" s="72"/>
      <c r="AP717" s="72"/>
      <c r="AQ717" s="72"/>
    </row>
    <row r="718">
      <c r="A718" s="71"/>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c r="AC718" s="72"/>
      <c r="AD718" s="72"/>
      <c r="AE718" s="72"/>
      <c r="AF718" s="72"/>
      <c r="AG718" s="72"/>
      <c r="AH718" s="72"/>
      <c r="AI718" s="72"/>
      <c r="AJ718" s="72"/>
      <c r="AK718" s="72"/>
      <c r="AL718" s="72"/>
      <c r="AM718" s="72"/>
      <c r="AN718" s="72"/>
      <c r="AO718" s="72"/>
      <c r="AP718" s="72"/>
      <c r="AQ718" s="72"/>
    </row>
    <row r="719">
      <c r="A719" s="71"/>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c r="AC719" s="72"/>
      <c r="AD719" s="72"/>
      <c r="AE719" s="72"/>
      <c r="AF719" s="72"/>
      <c r="AG719" s="72"/>
      <c r="AH719" s="72"/>
      <c r="AI719" s="72"/>
      <c r="AJ719" s="72"/>
      <c r="AK719" s="72"/>
      <c r="AL719" s="72"/>
      <c r="AM719" s="72"/>
      <c r="AN719" s="72"/>
      <c r="AO719" s="72"/>
      <c r="AP719" s="72"/>
      <c r="AQ719" s="72"/>
    </row>
    <row r="720">
      <c r="A720" s="71"/>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c r="AC720" s="72"/>
      <c r="AD720" s="72"/>
      <c r="AE720" s="72"/>
      <c r="AF720" s="72"/>
      <c r="AG720" s="72"/>
      <c r="AH720" s="72"/>
      <c r="AI720" s="72"/>
      <c r="AJ720" s="72"/>
      <c r="AK720" s="72"/>
      <c r="AL720" s="72"/>
      <c r="AM720" s="72"/>
      <c r="AN720" s="72"/>
      <c r="AO720" s="72"/>
      <c r="AP720" s="72"/>
      <c r="AQ720" s="72"/>
    </row>
    <row r="721">
      <c r="A721" s="71"/>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c r="AC721" s="72"/>
      <c r="AD721" s="72"/>
      <c r="AE721" s="72"/>
      <c r="AF721" s="72"/>
      <c r="AG721" s="72"/>
      <c r="AH721" s="72"/>
      <c r="AI721" s="72"/>
      <c r="AJ721" s="72"/>
      <c r="AK721" s="72"/>
      <c r="AL721" s="72"/>
      <c r="AM721" s="72"/>
      <c r="AN721" s="72"/>
      <c r="AO721" s="72"/>
      <c r="AP721" s="72"/>
      <c r="AQ721" s="72"/>
    </row>
    <row r="722">
      <c r="A722" s="71"/>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c r="AC722" s="72"/>
      <c r="AD722" s="72"/>
      <c r="AE722" s="72"/>
      <c r="AF722" s="72"/>
      <c r="AG722" s="72"/>
      <c r="AH722" s="72"/>
      <c r="AI722" s="72"/>
      <c r="AJ722" s="72"/>
      <c r="AK722" s="72"/>
      <c r="AL722" s="72"/>
      <c r="AM722" s="72"/>
      <c r="AN722" s="72"/>
      <c r="AO722" s="72"/>
      <c r="AP722" s="72"/>
      <c r="AQ722" s="72"/>
    </row>
    <row r="723">
      <c r="A723" s="71"/>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c r="AC723" s="72"/>
      <c r="AD723" s="72"/>
      <c r="AE723" s="72"/>
      <c r="AF723" s="72"/>
      <c r="AG723" s="72"/>
      <c r="AH723" s="72"/>
      <c r="AI723" s="72"/>
      <c r="AJ723" s="72"/>
      <c r="AK723" s="72"/>
      <c r="AL723" s="72"/>
      <c r="AM723" s="72"/>
      <c r="AN723" s="72"/>
      <c r="AO723" s="72"/>
      <c r="AP723" s="72"/>
      <c r="AQ723" s="72"/>
    </row>
    <row r="724">
      <c r="A724" s="71"/>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c r="AC724" s="72"/>
      <c r="AD724" s="72"/>
      <c r="AE724" s="72"/>
      <c r="AF724" s="72"/>
      <c r="AG724" s="72"/>
      <c r="AH724" s="72"/>
      <c r="AI724" s="72"/>
      <c r="AJ724" s="72"/>
      <c r="AK724" s="72"/>
      <c r="AL724" s="72"/>
      <c r="AM724" s="72"/>
      <c r="AN724" s="72"/>
      <c r="AO724" s="72"/>
      <c r="AP724" s="72"/>
      <c r="AQ724" s="72"/>
    </row>
    <row r="725">
      <c r="A725" s="71"/>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c r="AC725" s="72"/>
      <c r="AD725" s="72"/>
      <c r="AE725" s="72"/>
      <c r="AF725" s="72"/>
      <c r="AG725" s="72"/>
      <c r="AH725" s="72"/>
      <c r="AI725" s="72"/>
      <c r="AJ725" s="72"/>
      <c r="AK725" s="72"/>
      <c r="AL725" s="72"/>
      <c r="AM725" s="72"/>
      <c r="AN725" s="72"/>
      <c r="AO725" s="72"/>
      <c r="AP725" s="72"/>
      <c r="AQ725" s="72"/>
    </row>
    <row r="726">
      <c r="A726" s="71"/>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c r="AC726" s="72"/>
      <c r="AD726" s="72"/>
      <c r="AE726" s="72"/>
      <c r="AF726" s="72"/>
      <c r="AG726" s="72"/>
      <c r="AH726" s="72"/>
      <c r="AI726" s="72"/>
      <c r="AJ726" s="72"/>
      <c r="AK726" s="72"/>
      <c r="AL726" s="72"/>
      <c r="AM726" s="72"/>
      <c r="AN726" s="72"/>
      <c r="AO726" s="72"/>
      <c r="AP726" s="72"/>
      <c r="AQ726" s="72"/>
    </row>
    <row r="727">
      <c r="A727" s="71"/>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c r="AC727" s="72"/>
      <c r="AD727" s="72"/>
      <c r="AE727" s="72"/>
      <c r="AF727" s="72"/>
      <c r="AG727" s="72"/>
      <c r="AH727" s="72"/>
      <c r="AI727" s="72"/>
      <c r="AJ727" s="72"/>
      <c r="AK727" s="72"/>
      <c r="AL727" s="72"/>
      <c r="AM727" s="72"/>
      <c r="AN727" s="72"/>
      <c r="AO727" s="72"/>
      <c r="AP727" s="72"/>
      <c r="AQ727" s="72"/>
    </row>
    <row r="728">
      <c r="A728" s="71"/>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c r="AC728" s="72"/>
      <c r="AD728" s="72"/>
      <c r="AE728" s="72"/>
      <c r="AF728" s="72"/>
      <c r="AG728" s="72"/>
      <c r="AH728" s="72"/>
      <c r="AI728" s="72"/>
      <c r="AJ728" s="72"/>
      <c r="AK728" s="72"/>
      <c r="AL728" s="72"/>
      <c r="AM728" s="72"/>
      <c r="AN728" s="72"/>
      <c r="AO728" s="72"/>
      <c r="AP728" s="72"/>
      <c r="AQ728" s="72"/>
    </row>
    <row r="729">
      <c r="A729" s="71"/>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c r="AC729" s="72"/>
      <c r="AD729" s="72"/>
      <c r="AE729" s="72"/>
      <c r="AF729" s="72"/>
      <c r="AG729" s="72"/>
      <c r="AH729" s="72"/>
      <c r="AI729" s="72"/>
      <c r="AJ729" s="72"/>
      <c r="AK729" s="72"/>
      <c r="AL729" s="72"/>
      <c r="AM729" s="72"/>
      <c r="AN729" s="72"/>
      <c r="AO729" s="72"/>
      <c r="AP729" s="72"/>
      <c r="AQ729" s="72"/>
    </row>
    <row r="730">
      <c r="A730" s="71"/>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row>
    <row r="731">
      <c r="A731" s="71"/>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row>
    <row r="732">
      <c r="A732" s="71"/>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row>
    <row r="733">
      <c r="A733" s="71"/>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row>
    <row r="734">
      <c r="A734" s="71"/>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row>
    <row r="735">
      <c r="A735" s="71"/>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row>
    <row r="736">
      <c r="A736" s="71"/>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row>
    <row r="737">
      <c r="A737" s="71"/>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row>
    <row r="738">
      <c r="A738" s="71"/>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row>
    <row r="739">
      <c r="A739" s="71"/>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row>
    <row r="740">
      <c r="A740" s="71"/>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row>
    <row r="741">
      <c r="A741" s="71"/>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row>
    <row r="742">
      <c r="A742" s="71"/>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row>
    <row r="743">
      <c r="A743" s="71"/>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row>
    <row r="744">
      <c r="A744" s="71"/>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row>
    <row r="745">
      <c r="A745" s="71"/>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row>
    <row r="746">
      <c r="A746" s="71"/>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row>
    <row r="747">
      <c r="A747" s="71"/>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row>
    <row r="748">
      <c r="A748" s="71"/>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row>
    <row r="749">
      <c r="A749" s="71"/>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row>
    <row r="750">
      <c r="A750" s="71"/>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row>
    <row r="751">
      <c r="A751" s="71"/>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row>
    <row r="752">
      <c r="A752" s="71"/>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row>
    <row r="753">
      <c r="A753" s="71"/>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row>
    <row r="754">
      <c r="A754" s="71"/>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row>
    <row r="755">
      <c r="A755" s="71"/>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row>
    <row r="756">
      <c r="A756" s="71"/>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row>
    <row r="757">
      <c r="A757" s="71"/>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row>
    <row r="758">
      <c r="A758" s="71"/>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row>
    <row r="759">
      <c r="A759" s="71"/>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row>
    <row r="760">
      <c r="A760" s="71"/>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row>
    <row r="761">
      <c r="A761" s="71"/>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row>
    <row r="762">
      <c r="A762" s="71"/>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row>
    <row r="763">
      <c r="A763" s="71"/>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row>
    <row r="764">
      <c r="A764" s="71"/>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row>
    <row r="765">
      <c r="A765" s="71"/>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row>
    <row r="766">
      <c r="A766" s="71"/>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row>
    <row r="767">
      <c r="A767" s="71"/>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row>
    <row r="768">
      <c r="A768" s="71"/>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row>
    <row r="769">
      <c r="A769" s="71"/>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row>
    <row r="770">
      <c r="A770" s="71"/>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row>
    <row r="771">
      <c r="A771" s="71"/>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row>
    <row r="772">
      <c r="A772" s="71"/>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row>
    <row r="773">
      <c r="A773" s="71"/>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row>
    <row r="774">
      <c r="A774" s="71"/>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row>
    <row r="775">
      <c r="A775" s="71"/>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row>
    <row r="776">
      <c r="A776" s="71"/>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row>
    <row r="777">
      <c r="A777" s="71"/>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row>
    <row r="778">
      <c r="A778" s="71"/>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row>
    <row r="779">
      <c r="A779" s="71"/>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row>
    <row r="780">
      <c r="A780" s="71"/>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row>
    <row r="781">
      <c r="A781" s="71"/>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row>
    <row r="782">
      <c r="A782" s="71"/>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row>
    <row r="783">
      <c r="A783" s="71"/>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row>
    <row r="784">
      <c r="A784" s="71"/>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row>
    <row r="785">
      <c r="A785" s="71"/>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row>
    <row r="786">
      <c r="A786" s="71"/>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row>
    <row r="787">
      <c r="A787" s="71"/>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row>
    <row r="788">
      <c r="A788" s="71"/>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row>
    <row r="789">
      <c r="A789" s="71"/>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row>
    <row r="790">
      <c r="A790" s="71"/>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row>
    <row r="791">
      <c r="A791" s="71"/>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row>
    <row r="792">
      <c r="A792" s="71"/>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row>
    <row r="793">
      <c r="A793" s="71"/>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row>
    <row r="794">
      <c r="A794" s="71"/>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row>
    <row r="795">
      <c r="A795" s="71"/>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row>
    <row r="796">
      <c r="A796" s="71"/>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row>
    <row r="797">
      <c r="A797" s="71"/>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row>
    <row r="798">
      <c r="A798" s="71"/>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row>
    <row r="799">
      <c r="A799" s="71"/>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row>
    <row r="800">
      <c r="A800" s="71"/>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row>
    <row r="801">
      <c r="A801" s="71"/>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row>
    <row r="802">
      <c r="A802" s="71"/>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row>
    <row r="803">
      <c r="A803" s="71"/>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row>
    <row r="804">
      <c r="A804" s="71"/>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row>
    <row r="805">
      <c r="A805" s="71"/>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row>
    <row r="806">
      <c r="A806" s="71"/>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row>
    <row r="807">
      <c r="A807" s="71"/>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row>
    <row r="808">
      <c r="A808" s="71"/>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row>
    <row r="809">
      <c r="A809" s="71"/>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row>
    <row r="810">
      <c r="A810" s="71"/>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row>
    <row r="811">
      <c r="A811" s="71"/>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row>
    <row r="812">
      <c r="A812" s="71"/>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row>
    <row r="813">
      <c r="A813" s="71"/>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row>
    <row r="814">
      <c r="A814" s="71"/>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row>
    <row r="815">
      <c r="A815" s="71"/>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row>
    <row r="816">
      <c r="A816" s="71"/>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row>
    <row r="817">
      <c r="A817" s="71"/>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row>
    <row r="818">
      <c r="A818" s="71"/>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row>
    <row r="819">
      <c r="A819" s="71"/>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row>
    <row r="820">
      <c r="A820" s="71"/>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row>
    <row r="821">
      <c r="A821" s="71"/>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row>
    <row r="822">
      <c r="A822" s="71"/>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row>
    <row r="823">
      <c r="A823" s="71"/>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row>
    <row r="824">
      <c r="A824" s="71"/>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row>
    <row r="825">
      <c r="A825" s="71"/>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row>
    <row r="826">
      <c r="A826" s="71"/>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row>
    <row r="827">
      <c r="A827" s="71"/>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row>
    <row r="828">
      <c r="A828" s="71"/>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row>
    <row r="829">
      <c r="A829" s="71"/>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row>
    <row r="830">
      <c r="A830" s="71"/>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row>
    <row r="831">
      <c r="A831" s="71"/>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row>
    <row r="832">
      <c r="A832" s="71"/>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row>
    <row r="833">
      <c r="A833" s="71"/>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row>
    <row r="834">
      <c r="A834" s="71"/>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row>
    <row r="835">
      <c r="A835" s="71"/>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row>
    <row r="836">
      <c r="A836" s="71"/>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row>
    <row r="837">
      <c r="A837" s="71"/>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row>
    <row r="838">
      <c r="A838" s="71"/>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row>
    <row r="839">
      <c r="A839" s="71"/>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row>
    <row r="840">
      <c r="A840" s="71"/>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row>
    <row r="841">
      <c r="A841" s="71"/>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row>
    <row r="842">
      <c r="A842" s="71"/>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row>
    <row r="843">
      <c r="A843" s="71"/>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row>
    <row r="844">
      <c r="A844" s="71"/>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row>
    <row r="845">
      <c r="A845" s="71"/>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row>
    <row r="846">
      <c r="A846" s="71"/>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row>
    <row r="847">
      <c r="A847" s="71"/>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row>
    <row r="848">
      <c r="A848" s="71"/>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row>
    <row r="849">
      <c r="A849" s="71"/>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row>
    <row r="850">
      <c r="A850" s="71"/>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row>
    <row r="851">
      <c r="A851" s="71"/>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row>
    <row r="852">
      <c r="A852" s="71"/>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row>
    <row r="853">
      <c r="A853" s="71"/>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row>
    <row r="854">
      <c r="A854" s="71"/>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row>
    <row r="855">
      <c r="A855" s="71"/>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row>
    <row r="856">
      <c r="A856" s="71"/>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row>
    <row r="857">
      <c r="A857" s="71"/>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row>
    <row r="858">
      <c r="A858" s="71"/>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row>
    <row r="859">
      <c r="A859" s="71"/>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row>
    <row r="860">
      <c r="A860" s="71"/>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row>
    <row r="861">
      <c r="A861" s="71"/>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row>
    <row r="862">
      <c r="A862" s="71"/>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row>
    <row r="863">
      <c r="A863" s="71"/>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row>
    <row r="864">
      <c r="A864" s="71"/>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row>
    <row r="865">
      <c r="A865" s="71"/>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row>
    <row r="866">
      <c r="A866" s="71"/>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row>
    <row r="867">
      <c r="A867" s="71"/>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row>
    <row r="868">
      <c r="A868" s="71"/>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row>
    <row r="869">
      <c r="A869" s="71"/>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row>
    <row r="870">
      <c r="A870" s="71"/>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row>
    <row r="871">
      <c r="A871" s="71"/>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row>
    <row r="872">
      <c r="A872" s="71"/>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row>
    <row r="873">
      <c r="A873" s="71"/>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row>
    <row r="874">
      <c r="A874" s="71"/>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row>
    <row r="875">
      <c r="A875" s="71"/>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row>
    <row r="876">
      <c r="A876" s="71"/>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row>
    <row r="877">
      <c r="A877" s="71"/>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row>
    <row r="878">
      <c r="A878" s="71"/>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row>
    <row r="879">
      <c r="A879" s="71"/>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row>
    <row r="880">
      <c r="A880" s="71"/>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row>
    <row r="881">
      <c r="A881" s="71"/>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row>
    <row r="882">
      <c r="A882" s="71"/>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row>
    <row r="883">
      <c r="A883" s="71"/>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row>
    <row r="884">
      <c r="A884" s="71"/>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row>
    <row r="885">
      <c r="A885" s="71"/>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row>
    <row r="886">
      <c r="A886" s="71"/>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row>
    <row r="887">
      <c r="A887" s="71"/>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row>
    <row r="888">
      <c r="A888" s="71"/>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row>
    <row r="889">
      <c r="A889" s="71"/>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row>
    <row r="890">
      <c r="A890" s="71"/>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row>
    <row r="891">
      <c r="A891" s="71"/>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row>
    <row r="892">
      <c r="A892" s="71"/>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row>
    <row r="893">
      <c r="A893" s="71"/>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row>
    <row r="894">
      <c r="A894" s="71"/>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row>
    <row r="895">
      <c r="A895" s="71"/>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row>
    <row r="896">
      <c r="A896" s="71"/>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row>
    <row r="897">
      <c r="A897" s="71"/>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row>
    <row r="898">
      <c r="A898" s="71"/>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row>
    <row r="899">
      <c r="A899" s="71"/>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row>
    <row r="900">
      <c r="A900" s="71"/>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row>
    <row r="901">
      <c r="A901" s="71"/>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row>
    <row r="902">
      <c r="A902" s="71"/>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row>
    <row r="903">
      <c r="A903" s="71"/>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row>
    <row r="904">
      <c r="A904" s="71"/>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row>
    <row r="905">
      <c r="A905" s="71"/>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row>
    <row r="906">
      <c r="A906" s="71"/>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row>
    <row r="907">
      <c r="A907" s="71"/>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row>
    <row r="908">
      <c r="A908" s="71"/>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row>
    <row r="909">
      <c r="A909" s="71"/>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row>
    <row r="910">
      <c r="A910" s="71"/>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row>
    <row r="911">
      <c r="A911" s="71"/>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row>
    <row r="912">
      <c r="A912" s="71"/>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row>
    <row r="913">
      <c r="A913" s="71"/>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row>
    <row r="914">
      <c r="A914" s="71"/>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row>
    <row r="915">
      <c r="A915" s="71"/>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row>
    <row r="916">
      <c r="A916" s="71"/>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row>
    <row r="917">
      <c r="A917" s="71"/>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row>
    <row r="918">
      <c r="A918" s="71"/>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row>
    <row r="919">
      <c r="A919" s="71"/>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row>
    <row r="920">
      <c r="A920" s="71"/>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row>
    <row r="921">
      <c r="A921" s="71"/>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row>
    <row r="922">
      <c r="A922" s="71"/>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row>
    <row r="923">
      <c r="A923" s="71"/>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row>
    <row r="924">
      <c r="A924" s="71"/>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row>
    <row r="925">
      <c r="A925" s="71"/>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row>
    <row r="926">
      <c r="A926" s="71"/>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row>
    <row r="927">
      <c r="A927" s="71"/>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row>
    <row r="928">
      <c r="A928" s="71"/>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row>
    <row r="929">
      <c r="A929" s="71"/>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row>
    <row r="930">
      <c r="A930" s="71"/>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row>
    <row r="931">
      <c r="A931" s="71"/>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row>
    <row r="932">
      <c r="A932" s="71"/>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row>
    <row r="933">
      <c r="A933" s="71"/>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row>
    <row r="934">
      <c r="A934" s="71"/>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row>
    <row r="935">
      <c r="A935" s="71"/>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row>
    <row r="936">
      <c r="A936" s="71"/>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row>
    <row r="937">
      <c r="A937" s="71"/>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row>
    <row r="938">
      <c r="A938" s="71"/>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row>
    <row r="939">
      <c r="A939" s="71"/>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row>
    <row r="940">
      <c r="A940" s="71"/>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row>
    <row r="941">
      <c r="A941" s="71"/>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row>
    <row r="942">
      <c r="A942" s="71"/>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row>
    <row r="943">
      <c r="A943" s="71"/>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row>
    <row r="944">
      <c r="A944" s="71"/>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row>
    <row r="945">
      <c r="A945" s="71"/>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row>
    <row r="946">
      <c r="A946" s="71"/>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row>
    <row r="947">
      <c r="A947" s="71"/>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row>
    <row r="948">
      <c r="A948" s="71"/>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row>
    <row r="949">
      <c r="A949" s="71"/>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row>
    <row r="950">
      <c r="A950" s="71"/>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row>
    <row r="951">
      <c r="A951" s="71"/>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row>
    <row r="952">
      <c r="A952" s="71"/>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row>
    <row r="953">
      <c r="A953" s="71"/>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row>
    <row r="954">
      <c r="A954" s="71"/>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row>
    <row r="955">
      <c r="A955" s="71"/>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row>
    <row r="956">
      <c r="A956" s="71"/>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row>
    <row r="957">
      <c r="A957" s="71"/>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row>
    <row r="958">
      <c r="A958" s="71"/>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row>
    <row r="959">
      <c r="A959" s="71"/>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row>
    <row r="960">
      <c r="A960" s="71"/>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row>
    <row r="961">
      <c r="A961" s="71"/>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row>
    <row r="962">
      <c r="A962" s="71"/>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row>
    <row r="963">
      <c r="A963" s="71"/>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row>
    <row r="964">
      <c r="A964" s="71"/>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row>
    <row r="965">
      <c r="A965" s="71"/>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row>
    <row r="966">
      <c r="A966" s="71"/>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row>
    <row r="967">
      <c r="A967" s="71"/>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row>
    <row r="968">
      <c r="A968" s="71"/>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row>
    <row r="969">
      <c r="A969" s="71"/>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row>
    <row r="970">
      <c r="A970" s="71"/>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row>
    <row r="971">
      <c r="A971" s="71"/>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row>
    <row r="972">
      <c r="A972" s="71"/>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row>
    <row r="973">
      <c r="A973" s="71"/>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row>
    <row r="974">
      <c r="A974" s="71"/>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row>
    <row r="975">
      <c r="A975" s="71"/>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row>
    <row r="976">
      <c r="A976" s="71"/>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row>
    <row r="977">
      <c r="A977" s="71"/>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row>
    <row r="978">
      <c r="A978" s="71"/>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row>
    <row r="979">
      <c r="A979" s="71"/>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row>
    <row r="980">
      <c r="A980" s="71"/>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row>
    <row r="981">
      <c r="A981" s="71"/>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row>
    <row r="982">
      <c r="A982" s="71"/>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row>
    <row r="983">
      <c r="A983" s="71"/>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row>
    <row r="984">
      <c r="A984" s="71"/>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c r="AB984" s="72"/>
      <c r="AC984" s="72"/>
      <c r="AD984" s="72"/>
      <c r="AE984" s="72"/>
      <c r="AF984" s="72"/>
      <c r="AG984" s="72"/>
      <c r="AH984" s="72"/>
      <c r="AI984" s="72"/>
      <c r="AJ984" s="72"/>
      <c r="AK984" s="72"/>
      <c r="AL984" s="72"/>
      <c r="AM984" s="72"/>
      <c r="AN984" s="72"/>
      <c r="AO984" s="72"/>
      <c r="AP984" s="72"/>
      <c r="AQ984" s="72"/>
    </row>
    <row r="985">
      <c r="A985" s="71"/>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c r="AB985" s="72"/>
      <c r="AC985" s="72"/>
      <c r="AD985" s="72"/>
      <c r="AE985" s="72"/>
      <c r="AF985" s="72"/>
      <c r="AG985" s="72"/>
      <c r="AH985" s="72"/>
      <c r="AI985" s="72"/>
      <c r="AJ985" s="72"/>
      <c r="AK985" s="72"/>
      <c r="AL985" s="72"/>
      <c r="AM985" s="72"/>
      <c r="AN985" s="72"/>
      <c r="AO985" s="72"/>
      <c r="AP985" s="72"/>
      <c r="AQ985" s="72"/>
    </row>
    <row r="986">
      <c r="A986" s="71"/>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c r="AB986" s="72"/>
      <c r="AC986" s="72"/>
      <c r="AD986" s="72"/>
      <c r="AE986" s="72"/>
      <c r="AF986" s="72"/>
      <c r="AG986" s="72"/>
      <c r="AH986" s="72"/>
      <c r="AI986" s="72"/>
      <c r="AJ986" s="72"/>
      <c r="AK986" s="72"/>
      <c r="AL986" s="72"/>
      <c r="AM986" s="72"/>
      <c r="AN986" s="72"/>
      <c r="AO986" s="72"/>
      <c r="AP986" s="72"/>
      <c r="AQ986" s="72"/>
    </row>
    <row r="987">
      <c r="A987" s="71"/>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c r="AB987" s="72"/>
      <c r="AC987" s="72"/>
      <c r="AD987" s="72"/>
      <c r="AE987" s="72"/>
      <c r="AF987" s="72"/>
      <c r="AG987" s="72"/>
      <c r="AH987" s="72"/>
      <c r="AI987" s="72"/>
      <c r="AJ987" s="72"/>
      <c r="AK987" s="72"/>
      <c r="AL987" s="72"/>
      <c r="AM987" s="72"/>
      <c r="AN987" s="72"/>
      <c r="AO987" s="72"/>
      <c r="AP987" s="72"/>
      <c r="AQ987" s="72"/>
    </row>
    <row r="988">
      <c r="A988" s="71"/>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c r="AB988" s="72"/>
      <c r="AC988" s="72"/>
      <c r="AD988" s="72"/>
      <c r="AE988" s="72"/>
      <c r="AF988" s="72"/>
      <c r="AG988" s="72"/>
      <c r="AH988" s="72"/>
      <c r="AI988" s="72"/>
      <c r="AJ988" s="72"/>
      <c r="AK988" s="72"/>
      <c r="AL988" s="72"/>
      <c r="AM988" s="72"/>
      <c r="AN988" s="72"/>
      <c r="AO988" s="72"/>
      <c r="AP988" s="72"/>
      <c r="AQ988" s="72"/>
    </row>
    <row r="989">
      <c r="A989" s="71"/>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c r="AB989" s="72"/>
      <c r="AC989" s="72"/>
      <c r="AD989" s="72"/>
      <c r="AE989" s="72"/>
      <c r="AF989" s="72"/>
      <c r="AG989" s="72"/>
      <c r="AH989" s="72"/>
      <c r="AI989" s="72"/>
      <c r="AJ989" s="72"/>
      <c r="AK989" s="72"/>
      <c r="AL989" s="72"/>
      <c r="AM989" s="72"/>
      <c r="AN989" s="72"/>
      <c r="AO989" s="72"/>
      <c r="AP989" s="72"/>
      <c r="AQ989" s="72"/>
    </row>
    <row r="990">
      <c r="A990" s="71"/>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c r="AB990" s="72"/>
      <c r="AC990" s="72"/>
      <c r="AD990" s="72"/>
      <c r="AE990" s="72"/>
      <c r="AF990" s="72"/>
      <c r="AG990" s="72"/>
      <c r="AH990" s="72"/>
      <c r="AI990" s="72"/>
      <c r="AJ990" s="72"/>
      <c r="AK990" s="72"/>
      <c r="AL990" s="72"/>
      <c r="AM990" s="72"/>
      <c r="AN990" s="72"/>
      <c r="AO990" s="72"/>
      <c r="AP990" s="72"/>
      <c r="AQ990" s="72"/>
    </row>
    <row r="991">
      <c r="A991" s="71"/>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c r="AB991" s="72"/>
      <c r="AC991" s="72"/>
      <c r="AD991" s="72"/>
      <c r="AE991" s="72"/>
      <c r="AF991" s="72"/>
      <c r="AG991" s="72"/>
      <c r="AH991" s="72"/>
      <c r="AI991" s="72"/>
      <c r="AJ991" s="72"/>
      <c r="AK991" s="72"/>
      <c r="AL991" s="72"/>
      <c r="AM991" s="72"/>
      <c r="AN991" s="72"/>
      <c r="AO991" s="72"/>
      <c r="AP991" s="72"/>
      <c r="AQ991" s="72"/>
    </row>
    <row r="992">
      <c r="A992" s="71"/>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c r="AB992" s="72"/>
      <c r="AC992" s="72"/>
      <c r="AD992" s="72"/>
      <c r="AE992" s="72"/>
      <c r="AF992" s="72"/>
      <c r="AG992" s="72"/>
      <c r="AH992" s="72"/>
      <c r="AI992" s="72"/>
      <c r="AJ992" s="72"/>
      <c r="AK992" s="72"/>
      <c r="AL992" s="72"/>
      <c r="AM992" s="72"/>
      <c r="AN992" s="72"/>
      <c r="AO992" s="72"/>
      <c r="AP992" s="72"/>
      <c r="AQ992" s="72"/>
    </row>
    <row r="993">
      <c r="A993" s="71"/>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c r="AB993" s="72"/>
      <c r="AC993" s="72"/>
      <c r="AD993" s="72"/>
      <c r="AE993" s="72"/>
      <c r="AF993" s="72"/>
      <c r="AG993" s="72"/>
      <c r="AH993" s="72"/>
      <c r="AI993" s="72"/>
      <c r="AJ993" s="72"/>
      <c r="AK993" s="72"/>
      <c r="AL993" s="72"/>
      <c r="AM993" s="72"/>
      <c r="AN993" s="72"/>
      <c r="AO993" s="72"/>
      <c r="AP993" s="72"/>
      <c r="AQ993" s="72"/>
    </row>
    <row r="994">
      <c r="A994" s="71"/>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c r="AB994" s="72"/>
      <c r="AC994" s="72"/>
      <c r="AD994" s="72"/>
      <c r="AE994" s="72"/>
      <c r="AF994" s="72"/>
      <c r="AG994" s="72"/>
      <c r="AH994" s="72"/>
      <c r="AI994" s="72"/>
      <c r="AJ994" s="72"/>
      <c r="AK994" s="72"/>
      <c r="AL994" s="72"/>
      <c r="AM994" s="72"/>
      <c r="AN994" s="72"/>
      <c r="AO994" s="72"/>
      <c r="AP994" s="72"/>
      <c r="AQ994" s="72"/>
    </row>
    <row r="995">
      <c r="A995" s="71"/>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c r="AB995" s="72"/>
      <c r="AC995" s="72"/>
      <c r="AD995" s="72"/>
      <c r="AE995" s="72"/>
      <c r="AF995" s="72"/>
      <c r="AG995" s="72"/>
      <c r="AH995" s="72"/>
      <c r="AI995" s="72"/>
      <c r="AJ995" s="72"/>
      <c r="AK995" s="72"/>
      <c r="AL995" s="72"/>
      <c r="AM995" s="72"/>
      <c r="AN995" s="72"/>
      <c r="AO995" s="72"/>
      <c r="AP995" s="72"/>
      <c r="AQ995" s="72"/>
    </row>
    <row r="996">
      <c r="A996" s="71"/>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c r="AB996" s="72"/>
      <c r="AC996" s="72"/>
      <c r="AD996" s="72"/>
      <c r="AE996" s="72"/>
      <c r="AF996" s="72"/>
      <c r="AG996" s="72"/>
      <c r="AH996" s="72"/>
      <c r="AI996" s="72"/>
      <c r="AJ996" s="72"/>
      <c r="AK996" s="72"/>
      <c r="AL996" s="72"/>
      <c r="AM996" s="72"/>
      <c r="AN996" s="72"/>
      <c r="AO996" s="72"/>
      <c r="AP996" s="72"/>
      <c r="AQ996" s="72"/>
    </row>
    <row r="997">
      <c r="A997" s="71"/>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c r="AB997" s="72"/>
      <c r="AC997" s="72"/>
      <c r="AD997" s="72"/>
      <c r="AE997" s="72"/>
      <c r="AF997" s="72"/>
      <c r="AG997" s="72"/>
      <c r="AH997" s="72"/>
      <c r="AI997" s="72"/>
      <c r="AJ997" s="72"/>
      <c r="AK997" s="72"/>
      <c r="AL997" s="72"/>
      <c r="AM997" s="72"/>
      <c r="AN997" s="72"/>
      <c r="AO997" s="72"/>
      <c r="AP997" s="72"/>
      <c r="AQ997" s="72"/>
    </row>
    <row r="998">
      <c r="A998" s="71"/>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c r="AB998" s="72"/>
      <c r="AC998" s="72"/>
      <c r="AD998" s="72"/>
      <c r="AE998" s="72"/>
      <c r="AF998" s="72"/>
      <c r="AG998" s="72"/>
      <c r="AH998" s="72"/>
      <c r="AI998" s="72"/>
      <c r="AJ998" s="72"/>
      <c r="AK998" s="72"/>
      <c r="AL998" s="72"/>
      <c r="AM998" s="72"/>
      <c r="AN998" s="72"/>
      <c r="AO998" s="72"/>
      <c r="AP998" s="72"/>
      <c r="AQ998" s="72"/>
    </row>
    <row r="999">
      <c r="A999" s="71"/>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c r="AB999" s="72"/>
      <c r="AC999" s="72"/>
      <c r="AD999" s="72"/>
      <c r="AE999" s="72"/>
      <c r="AF999" s="72"/>
      <c r="AG999" s="72"/>
      <c r="AH999" s="72"/>
      <c r="AI999" s="72"/>
      <c r="AJ999" s="72"/>
      <c r="AK999" s="72"/>
      <c r="AL999" s="72"/>
      <c r="AM999" s="72"/>
      <c r="AN999" s="72"/>
      <c r="AO999" s="72"/>
      <c r="AP999" s="72"/>
      <c r="AQ999" s="72"/>
    </row>
    <row r="1000">
      <c r="A1000" s="71"/>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c r="AC1000" s="72"/>
      <c r="AD1000" s="72"/>
      <c r="AE1000" s="72"/>
      <c r="AF1000" s="72"/>
      <c r="AG1000" s="72"/>
      <c r="AH1000" s="72"/>
      <c r="AI1000" s="72"/>
      <c r="AJ1000" s="72"/>
      <c r="AK1000" s="72"/>
      <c r="AL1000" s="72"/>
      <c r="AM1000" s="72"/>
      <c r="AN1000" s="72"/>
      <c r="AO1000" s="72"/>
      <c r="AP1000" s="72"/>
      <c r="AQ1000" s="72"/>
    </row>
    <row r="1001">
      <c r="A1001" s="71"/>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c r="AB1001" s="72"/>
      <c r="AC1001" s="72"/>
      <c r="AD1001" s="72"/>
      <c r="AE1001" s="72"/>
      <c r="AF1001" s="72"/>
      <c r="AG1001" s="72"/>
      <c r="AH1001" s="72"/>
      <c r="AI1001" s="72"/>
      <c r="AJ1001" s="72"/>
      <c r="AK1001" s="72"/>
      <c r="AL1001" s="72"/>
      <c r="AM1001" s="72"/>
      <c r="AN1001" s="72"/>
      <c r="AO1001" s="72"/>
      <c r="AP1001" s="72"/>
      <c r="AQ1001" s="72"/>
    </row>
  </sheetData>
  <mergeCells count="125">
    <mergeCell ref="S2:S3"/>
    <mergeCell ref="T2:T3"/>
    <mergeCell ref="U2:U3"/>
    <mergeCell ref="V2:V3"/>
    <mergeCell ref="W2:W3"/>
    <mergeCell ref="X2:X3"/>
    <mergeCell ref="Y2:Y3"/>
    <mergeCell ref="Z2:Z3"/>
    <mergeCell ref="AA2:AA3"/>
    <mergeCell ref="AB2:AB3"/>
    <mergeCell ref="AC2:AF2"/>
    <mergeCell ref="AG2:AJ2"/>
    <mergeCell ref="A1:A3"/>
    <mergeCell ref="B1:B3"/>
    <mergeCell ref="C1:C3"/>
    <mergeCell ref="D1:O1"/>
    <mergeCell ref="P1:Q1"/>
    <mergeCell ref="R1:AN1"/>
    <mergeCell ref="D2:D3"/>
    <mergeCell ref="AK2:AN2"/>
    <mergeCell ref="G2:G3"/>
    <mergeCell ref="H2:H3"/>
    <mergeCell ref="I2:I3"/>
    <mergeCell ref="J2:J3"/>
    <mergeCell ref="K2:K3"/>
    <mergeCell ref="L2:L3"/>
    <mergeCell ref="M2:M3"/>
    <mergeCell ref="N2:N3"/>
    <mergeCell ref="O2:O3"/>
    <mergeCell ref="P2:P3"/>
    <mergeCell ref="Q2:Q3"/>
    <mergeCell ref="R2:R3"/>
    <mergeCell ref="E2:E3"/>
    <mergeCell ref="F2:F3"/>
    <mergeCell ref="A4:A27"/>
    <mergeCell ref="B4:B7"/>
    <mergeCell ref="B8:B11"/>
    <mergeCell ref="B12:B15"/>
    <mergeCell ref="B16:B19"/>
    <mergeCell ref="B132:B135"/>
    <mergeCell ref="B136:B139"/>
    <mergeCell ref="B104:B107"/>
    <mergeCell ref="B108:B111"/>
    <mergeCell ref="B112:B115"/>
    <mergeCell ref="B116:B119"/>
    <mergeCell ref="B120:B123"/>
    <mergeCell ref="B124:B127"/>
    <mergeCell ref="B128:B131"/>
    <mergeCell ref="B168:B171"/>
    <mergeCell ref="B172:B175"/>
    <mergeCell ref="B140:B143"/>
    <mergeCell ref="B144:B147"/>
    <mergeCell ref="B148:B151"/>
    <mergeCell ref="B152:B155"/>
    <mergeCell ref="B156:B159"/>
    <mergeCell ref="B160:B163"/>
    <mergeCell ref="B164:B167"/>
    <mergeCell ref="B204:B207"/>
    <mergeCell ref="B208:B211"/>
    <mergeCell ref="B176:B179"/>
    <mergeCell ref="B180:B183"/>
    <mergeCell ref="B184:B187"/>
    <mergeCell ref="B188:B191"/>
    <mergeCell ref="B192:B195"/>
    <mergeCell ref="B196:B199"/>
    <mergeCell ref="B200:B203"/>
    <mergeCell ref="A220:A243"/>
    <mergeCell ref="A244:A267"/>
    <mergeCell ref="A268:A291"/>
    <mergeCell ref="A292:A315"/>
    <mergeCell ref="A52:A75"/>
    <mergeCell ref="A76:A99"/>
    <mergeCell ref="A100:A123"/>
    <mergeCell ref="A124:A147"/>
    <mergeCell ref="A148:A171"/>
    <mergeCell ref="A172:A195"/>
    <mergeCell ref="A196:A219"/>
    <mergeCell ref="B240:B243"/>
    <mergeCell ref="B244:B247"/>
    <mergeCell ref="B248:B251"/>
    <mergeCell ref="B252:B255"/>
    <mergeCell ref="B256:B259"/>
    <mergeCell ref="B260:B263"/>
    <mergeCell ref="B264:B267"/>
    <mergeCell ref="B296:B299"/>
    <mergeCell ref="B300:B303"/>
    <mergeCell ref="B304:B307"/>
    <mergeCell ref="B308:B311"/>
    <mergeCell ref="B312:B315"/>
    <mergeCell ref="B268:B271"/>
    <mergeCell ref="B272:B275"/>
    <mergeCell ref="B276:B279"/>
    <mergeCell ref="B280:B283"/>
    <mergeCell ref="B284:B287"/>
    <mergeCell ref="B288:B291"/>
    <mergeCell ref="B292:B295"/>
    <mergeCell ref="B44:B47"/>
    <mergeCell ref="B48:B51"/>
    <mergeCell ref="B40:B43"/>
    <mergeCell ref="B52:B55"/>
    <mergeCell ref="B56:B59"/>
    <mergeCell ref="B60:B63"/>
    <mergeCell ref="B64:B67"/>
    <mergeCell ref="B68:B71"/>
    <mergeCell ref="B20:B23"/>
    <mergeCell ref="B24:B27"/>
    <mergeCell ref="A28:A51"/>
    <mergeCell ref="B28:B31"/>
    <mergeCell ref="B32:B35"/>
    <mergeCell ref="B36:B39"/>
    <mergeCell ref="B72:B75"/>
    <mergeCell ref="B76:B79"/>
    <mergeCell ref="B80:B83"/>
    <mergeCell ref="B84:B87"/>
    <mergeCell ref="B88:B91"/>
    <mergeCell ref="B92:B95"/>
    <mergeCell ref="B96:B99"/>
    <mergeCell ref="B100:B103"/>
    <mergeCell ref="B212:B215"/>
    <mergeCell ref="B216:B219"/>
    <mergeCell ref="B220:B223"/>
    <mergeCell ref="B224:B227"/>
    <mergeCell ref="B228:B231"/>
    <mergeCell ref="B232:B235"/>
    <mergeCell ref="B236:B23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75"/>
    <col customWidth="1" min="2" max="2" width="63.0"/>
    <col customWidth="1" min="3" max="3" width="38.38"/>
  </cols>
  <sheetData>
    <row r="1">
      <c r="A1" s="1" t="s">
        <v>0</v>
      </c>
      <c r="B1" s="2" t="s">
        <v>1</v>
      </c>
      <c r="C1" s="2" t="s">
        <v>51</v>
      </c>
      <c r="D1" s="3"/>
      <c r="E1" s="3"/>
      <c r="F1" s="3"/>
      <c r="G1" s="3"/>
      <c r="H1" s="3"/>
      <c r="I1" s="3"/>
      <c r="J1" s="3"/>
      <c r="K1" s="3"/>
      <c r="L1" s="3"/>
      <c r="M1" s="3"/>
      <c r="N1" s="3"/>
      <c r="O1" s="3"/>
      <c r="P1" s="3"/>
      <c r="Q1" s="3"/>
      <c r="R1" s="3"/>
      <c r="S1" s="3"/>
      <c r="T1" s="3"/>
      <c r="U1" s="3"/>
      <c r="V1" s="3"/>
      <c r="W1" s="3"/>
      <c r="X1" s="3"/>
      <c r="Y1" s="3"/>
    </row>
    <row r="2">
      <c r="A2" s="4">
        <v>1.0</v>
      </c>
      <c r="B2" s="114" t="s">
        <v>114</v>
      </c>
      <c r="C2" s="27"/>
      <c r="F2" s="3"/>
      <c r="G2" s="3"/>
      <c r="H2" s="3"/>
      <c r="I2" s="3"/>
      <c r="J2" s="3"/>
      <c r="K2" s="3"/>
      <c r="L2" s="3"/>
      <c r="M2" s="3"/>
      <c r="N2" s="3"/>
      <c r="O2" s="3"/>
      <c r="P2" s="3"/>
      <c r="Q2" s="3"/>
      <c r="R2" s="3"/>
      <c r="S2" s="3"/>
      <c r="T2" s="3"/>
      <c r="U2" s="3"/>
      <c r="V2" s="3"/>
      <c r="W2" s="3"/>
      <c r="X2" s="3"/>
      <c r="Y2" s="3"/>
    </row>
    <row r="3">
      <c r="A3" s="4">
        <v>2.0</v>
      </c>
      <c r="B3" s="5" t="s">
        <v>115</v>
      </c>
      <c r="C3" s="6"/>
      <c r="D3" s="3"/>
      <c r="E3" s="3"/>
      <c r="F3" s="3"/>
      <c r="G3" s="3"/>
      <c r="H3" s="3"/>
      <c r="I3" s="3"/>
      <c r="J3" s="3"/>
      <c r="K3" s="3"/>
      <c r="L3" s="3"/>
      <c r="M3" s="3"/>
      <c r="N3" s="3"/>
      <c r="O3" s="3"/>
      <c r="P3" s="3"/>
      <c r="Q3" s="3"/>
      <c r="R3" s="3"/>
      <c r="S3" s="3"/>
      <c r="T3" s="3"/>
      <c r="U3" s="3"/>
      <c r="V3" s="3"/>
      <c r="W3" s="3"/>
      <c r="X3" s="3"/>
      <c r="Y3" s="3"/>
    </row>
    <row r="4">
      <c r="A4" s="115">
        <v>3.0</v>
      </c>
      <c r="B4" s="116" t="s">
        <v>116</v>
      </c>
      <c r="C4" s="116" t="s">
        <v>117</v>
      </c>
      <c r="D4" s="3"/>
      <c r="E4" s="3"/>
      <c r="F4" s="3"/>
      <c r="G4" s="3"/>
      <c r="H4" s="3"/>
      <c r="I4" s="3"/>
      <c r="J4" s="3"/>
      <c r="K4" s="3"/>
      <c r="L4" s="3"/>
      <c r="M4" s="3"/>
      <c r="N4" s="3"/>
      <c r="O4" s="3"/>
      <c r="P4" s="3"/>
      <c r="Q4" s="3"/>
      <c r="R4" s="3"/>
      <c r="S4" s="3"/>
      <c r="T4" s="3"/>
      <c r="U4" s="3"/>
      <c r="V4" s="3"/>
      <c r="W4" s="3"/>
      <c r="X4" s="3"/>
      <c r="Y4" s="3"/>
    </row>
    <row r="5">
      <c r="A5" s="4">
        <v>4.0</v>
      </c>
      <c r="B5" s="5" t="s">
        <v>118</v>
      </c>
      <c r="C5" s="6"/>
      <c r="D5" s="3"/>
      <c r="E5" s="3"/>
      <c r="F5" s="3"/>
      <c r="G5" s="3"/>
      <c r="H5" s="3"/>
      <c r="I5" s="3"/>
      <c r="J5" s="3"/>
      <c r="K5" s="3"/>
      <c r="L5" s="3"/>
      <c r="M5" s="3"/>
      <c r="N5" s="3"/>
      <c r="O5" s="3"/>
      <c r="P5" s="3"/>
      <c r="Q5" s="3"/>
      <c r="R5" s="3"/>
      <c r="S5" s="3"/>
      <c r="T5" s="3"/>
      <c r="U5" s="3"/>
      <c r="V5" s="3"/>
      <c r="W5" s="3"/>
      <c r="X5" s="3"/>
      <c r="Y5" s="3"/>
    </row>
    <row r="6">
      <c r="A6" s="4">
        <v>5.0</v>
      </c>
      <c r="B6" s="5" t="s">
        <v>119</v>
      </c>
      <c r="C6" s="6"/>
      <c r="D6" s="3"/>
      <c r="E6" s="3"/>
      <c r="F6" s="3"/>
      <c r="G6" s="3"/>
      <c r="H6" s="3"/>
      <c r="I6" s="3"/>
      <c r="J6" s="3"/>
      <c r="K6" s="3"/>
      <c r="L6" s="3"/>
      <c r="M6" s="3"/>
      <c r="N6" s="3"/>
      <c r="O6" s="3"/>
      <c r="P6" s="3"/>
      <c r="Q6" s="3"/>
      <c r="R6" s="3"/>
      <c r="S6" s="3"/>
      <c r="T6" s="3"/>
      <c r="U6" s="3"/>
      <c r="V6" s="3"/>
      <c r="W6" s="3"/>
      <c r="X6" s="3"/>
      <c r="Y6" s="3"/>
    </row>
    <row r="7">
      <c r="A7" s="4">
        <v>6.0</v>
      </c>
      <c r="B7" s="5" t="s">
        <v>120</v>
      </c>
      <c r="C7" s="6"/>
      <c r="D7" s="3"/>
      <c r="E7" s="3"/>
      <c r="F7" s="3"/>
      <c r="G7" s="3"/>
      <c r="H7" s="3"/>
      <c r="I7" s="3"/>
      <c r="J7" s="3"/>
      <c r="K7" s="3"/>
      <c r="L7" s="3"/>
      <c r="M7" s="3"/>
      <c r="N7" s="3"/>
      <c r="O7" s="3"/>
      <c r="P7" s="3"/>
      <c r="Q7" s="3"/>
      <c r="R7" s="3"/>
      <c r="S7" s="3"/>
      <c r="T7" s="3"/>
      <c r="U7" s="3"/>
      <c r="V7" s="3"/>
      <c r="W7" s="3"/>
      <c r="X7" s="3"/>
      <c r="Y7" s="3"/>
    </row>
    <row r="8">
      <c r="A8" s="4"/>
      <c r="B8" s="6"/>
      <c r="C8" s="6"/>
      <c r="D8" s="3"/>
      <c r="E8" s="3"/>
      <c r="F8" s="3"/>
      <c r="G8" s="3"/>
      <c r="H8" s="3"/>
      <c r="I8" s="3"/>
      <c r="J8" s="3"/>
      <c r="K8" s="3"/>
      <c r="L8" s="3"/>
      <c r="M8" s="3"/>
      <c r="N8" s="3"/>
      <c r="O8" s="3"/>
      <c r="P8" s="3"/>
      <c r="Q8" s="3"/>
      <c r="R8" s="3"/>
      <c r="S8" s="3"/>
      <c r="T8" s="3"/>
      <c r="U8" s="3"/>
      <c r="V8" s="3"/>
      <c r="W8" s="3"/>
      <c r="X8" s="3"/>
      <c r="Y8" s="3"/>
    </row>
    <row r="9">
      <c r="A9" s="4"/>
      <c r="B9" s="6"/>
      <c r="C9" s="6"/>
      <c r="D9" s="3"/>
      <c r="E9" s="3"/>
      <c r="F9" s="3"/>
      <c r="G9" s="3"/>
      <c r="H9" s="3"/>
      <c r="I9" s="3"/>
      <c r="J9" s="3"/>
      <c r="K9" s="3"/>
      <c r="L9" s="3"/>
      <c r="M9" s="3"/>
      <c r="N9" s="3"/>
      <c r="O9" s="3"/>
      <c r="P9" s="3"/>
      <c r="Q9" s="3"/>
      <c r="R9" s="3"/>
      <c r="S9" s="3"/>
      <c r="T9" s="3"/>
      <c r="U9" s="3"/>
      <c r="V9" s="3"/>
      <c r="W9" s="3"/>
      <c r="X9" s="3"/>
      <c r="Y9" s="3"/>
    </row>
    <row r="10">
      <c r="A10" s="7"/>
      <c r="B10" s="6"/>
      <c r="C10" s="6"/>
      <c r="D10" s="3"/>
      <c r="E10" s="3"/>
      <c r="F10" s="3"/>
      <c r="G10" s="3"/>
      <c r="H10" s="3"/>
      <c r="I10" s="3"/>
      <c r="J10" s="3"/>
      <c r="K10" s="3"/>
      <c r="L10" s="3"/>
      <c r="M10" s="3"/>
      <c r="N10" s="3"/>
      <c r="O10" s="3"/>
      <c r="P10" s="3"/>
      <c r="Q10" s="3"/>
      <c r="R10" s="3"/>
      <c r="S10" s="3"/>
      <c r="T10" s="3"/>
      <c r="U10" s="3"/>
      <c r="V10" s="3"/>
      <c r="W10" s="3"/>
      <c r="X10" s="3"/>
      <c r="Y10" s="3"/>
    </row>
    <row r="11">
      <c r="A11" s="7"/>
      <c r="B11" s="6"/>
      <c r="C11" s="6"/>
      <c r="D11" s="3"/>
      <c r="E11" s="3"/>
      <c r="F11" s="3"/>
      <c r="G11" s="3"/>
      <c r="H11" s="3"/>
      <c r="I11" s="3"/>
      <c r="J11" s="3"/>
      <c r="K11" s="3"/>
      <c r="L11" s="3"/>
      <c r="M11" s="3"/>
      <c r="N11" s="3"/>
      <c r="O11" s="3"/>
      <c r="P11" s="3"/>
      <c r="Q11" s="3"/>
      <c r="R11" s="3"/>
      <c r="S11" s="3"/>
      <c r="T11" s="3"/>
      <c r="U11" s="3"/>
      <c r="V11" s="3"/>
      <c r="W11" s="3"/>
      <c r="X11" s="3"/>
      <c r="Y11" s="3"/>
    </row>
    <row r="12">
      <c r="A12" s="7"/>
      <c r="B12" s="6"/>
      <c r="C12" s="6"/>
      <c r="D12" s="3"/>
      <c r="E12" s="3"/>
      <c r="F12" s="3"/>
      <c r="G12" s="3"/>
      <c r="H12" s="3"/>
      <c r="I12" s="3"/>
      <c r="J12" s="3"/>
      <c r="K12" s="3"/>
      <c r="L12" s="3"/>
      <c r="M12" s="3"/>
      <c r="N12" s="3"/>
      <c r="O12" s="3"/>
      <c r="P12" s="3"/>
      <c r="Q12" s="3"/>
      <c r="R12" s="3"/>
      <c r="S12" s="3"/>
      <c r="T12" s="3"/>
      <c r="U12" s="3"/>
      <c r="V12" s="3"/>
      <c r="W12" s="3"/>
      <c r="X12" s="3"/>
      <c r="Y12" s="3"/>
    </row>
    <row r="13">
      <c r="A13" s="7"/>
      <c r="B13" s="6"/>
      <c r="C13" s="6"/>
      <c r="D13" s="3"/>
      <c r="E13" s="3"/>
      <c r="F13" s="3"/>
      <c r="G13" s="3"/>
      <c r="H13" s="3"/>
      <c r="I13" s="3"/>
      <c r="J13" s="3"/>
      <c r="K13" s="3"/>
      <c r="L13" s="3"/>
      <c r="M13" s="3"/>
      <c r="N13" s="3"/>
      <c r="O13" s="3"/>
      <c r="P13" s="3"/>
      <c r="Q13" s="3"/>
      <c r="R13" s="3"/>
      <c r="S13" s="3"/>
      <c r="T13" s="3"/>
      <c r="U13" s="3"/>
      <c r="V13" s="3"/>
      <c r="W13" s="3"/>
      <c r="X13" s="3"/>
      <c r="Y13" s="3"/>
    </row>
    <row r="14">
      <c r="A14" s="7"/>
      <c r="B14" s="6"/>
      <c r="C14" s="6"/>
      <c r="D14" s="3"/>
      <c r="E14" s="3"/>
      <c r="F14" s="3"/>
      <c r="G14" s="3"/>
      <c r="H14" s="3"/>
      <c r="I14" s="3"/>
      <c r="J14" s="3"/>
      <c r="K14" s="3"/>
      <c r="L14" s="3"/>
      <c r="M14" s="3"/>
      <c r="N14" s="3"/>
      <c r="O14" s="3"/>
      <c r="P14" s="3"/>
      <c r="Q14" s="3"/>
      <c r="R14" s="3"/>
      <c r="S14" s="3"/>
      <c r="T14" s="3"/>
      <c r="U14" s="3"/>
      <c r="V14" s="3"/>
      <c r="W14" s="3"/>
      <c r="X14" s="3"/>
      <c r="Y14" s="3"/>
    </row>
    <row r="15">
      <c r="A15" s="7"/>
      <c r="B15" s="6"/>
      <c r="C15" s="6"/>
      <c r="D15" s="3"/>
      <c r="E15" s="3"/>
      <c r="F15" s="3"/>
      <c r="G15" s="3"/>
      <c r="H15" s="3"/>
      <c r="I15" s="3"/>
      <c r="J15" s="3"/>
      <c r="K15" s="3"/>
      <c r="L15" s="3"/>
      <c r="M15" s="3"/>
      <c r="N15" s="3"/>
      <c r="O15" s="3"/>
      <c r="P15" s="3"/>
      <c r="Q15" s="3"/>
      <c r="R15" s="3"/>
      <c r="S15" s="3"/>
      <c r="T15" s="3"/>
      <c r="U15" s="3"/>
      <c r="V15" s="3"/>
      <c r="W15" s="3"/>
      <c r="X15" s="3"/>
      <c r="Y15" s="3"/>
    </row>
    <row r="16">
      <c r="A16" s="7"/>
      <c r="B16" s="6"/>
      <c r="C16" s="6"/>
      <c r="D16" s="3"/>
      <c r="E16" s="3"/>
      <c r="F16" s="3"/>
      <c r="G16" s="3"/>
      <c r="H16" s="3"/>
      <c r="I16" s="3"/>
      <c r="J16" s="3"/>
      <c r="K16" s="3"/>
      <c r="L16" s="3"/>
      <c r="M16" s="3"/>
      <c r="N16" s="3"/>
      <c r="O16" s="3"/>
      <c r="P16" s="3"/>
      <c r="Q16" s="3"/>
      <c r="R16" s="3"/>
      <c r="S16" s="3"/>
      <c r="T16" s="3"/>
      <c r="U16" s="3"/>
      <c r="V16" s="3"/>
      <c r="W16" s="3"/>
      <c r="X16" s="3"/>
      <c r="Y16" s="3"/>
    </row>
    <row r="17">
      <c r="A17" s="7"/>
      <c r="B17" s="6"/>
      <c r="C17" s="6"/>
      <c r="D17" s="3"/>
      <c r="E17" s="3"/>
      <c r="F17" s="3"/>
      <c r="G17" s="3"/>
      <c r="H17" s="3"/>
      <c r="I17" s="3"/>
      <c r="J17" s="3"/>
      <c r="K17" s="3"/>
      <c r="L17" s="3"/>
      <c r="M17" s="3"/>
      <c r="N17" s="3"/>
      <c r="O17" s="3"/>
      <c r="P17" s="3"/>
      <c r="Q17" s="3"/>
      <c r="R17" s="3"/>
      <c r="S17" s="3"/>
      <c r="T17" s="3"/>
      <c r="U17" s="3"/>
      <c r="V17" s="3"/>
      <c r="W17" s="3"/>
      <c r="X17" s="3"/>
      <c r="Y17" s="3"/>
    </row>
    <row r="18">
      <c r="A18" s="7"/>
      <c r="B18" s="6"/>
      <c r="C18" s="6"/>
      <c r="D18" s="3"/>
      <c r="E18" s="3"/>
      <c r="F18" s="3"/>
      <c r="G18" s="3"/>
      <c r="H18" s="3"/>
      <c r="I18" s="3"/>
      <c r="J18" s="3"/>
      <c r="K18" s="3"/>
      <c r="L18" s="3"/>
      <c r="M18" s="3"/>
      <c r="N18" s="3"/>
      <c r="O18" s="3"/>
      <c r="P18" s="3"/>
      <c r="Q18" s="3"/>
      <c r="R18" s="3"/>
      <c r="S18" s="3"/>
      <c r="T18" s="3"/>
      <c r="U18" s="3"/>
      <c r="V18" s="3"/>
      <c r="W18" s="3"/>
      <c r="X18" s="3"/>
      <c r="Y18" s="3"/>
    </row>
    <row r="19">
      <c r="A19" s="7"/>
      <c r="B19" s="6"/>
      <c r="C19" s="6"/>
      <c r="D19" s="3"/>
      <c r="E19" s="3"/>
      <c r="F19" s="3"/>
      <c r="G19" s="3"/>
      <c r="H19" s="3"/>
      <c r="I19" s="3"/>
      <c r="J19" s="3"/>
      <c r="K19" s="3"/>
      <c r="L19" s="3"/>
      <c r="M19" s="3"/>
      <c r="N19" s="3"/>
      <c r="O19" s="3"/>
      <c r="P19" s="3"/>
      <c r="Q19" s="3"/>
      <c r="R19" s="3"/>
      <c r="S19" s="3"/>
      <c r="T19" s="3"/>
      <c r="U19" s="3"/>
      <c r="V19" s="3"/>
      <c r="W19" s="3"/>
      <c r="X19" s="3"/>
      <c r="Y19" s="3"/>
    </row>
    <row r="20">
      <c r="A20" s="7"/>
      <c r="B20" s="6"/>
      <c r="C20" s="6"/>
      <c r="D20" s="3"/>
      <c r="E20" s="3"/>
      <c r="F20" s="3"/>
      <c r="G20" s="3"/>
      <c r="H20" s="3"/>
      <c r="I20" s="3"/>
      <c r="J20" s="3"/>
      <c r="K20" s="3"/>
      <c r="L20" s="3"/>
      <c r="M20" s="3"/>
      <c r="N20" s="3"/>
      <c r="O20" s="3"/>
      <c r="P20" s="3"/>
      <c r="Q20" s="3"/>
      <c r="R20" s="3"/>
      <c r="S20" s="3"/>
      <c r="T20" s="3"/>
      <c r="U20" s="3"/>
      <c r="V20" s="3"/>
      <c r="W20" s="3"/>
      <c r="X20" s="3"/>
      <c r="Y20" s="3"/>
    </row>
    <row r="21">
      <c r="A21" s="7"/>
      <c r="B21" s="6"/>
      <c r="C21" s="6"/>
      <c r="D21" s="3"/>
      <c r="E21" s="3"/>
      <c r="F21" s="3"/>
      <c r="G21" s="3"/>
      <c r="H21" s="3"/>
      <c r="I21" s="3"/>
      <c r="J21" s="3"/>
      <c r="K21" s="3"/>
      <c r="L21" s="3"/>
      <c r="M21" s="3"/>
      <c r="N21" s="3"/>
      <c r="O21" s="3"/>
      <c r="P21" s="3"/>
      <c r="Q21" s="3"/>
      <c r="R21" s="3"/>
      <c r="S21" s="3"/>
      <c r="T21" s="3"/>
      <c r="U21" s="3"/>
      <c r="V21" s="3"/>
      <c r="W21" s="3"/>
      <c r="X21" s="3"/>
      <c r="Y21" s="3"/>
    </row>
    <row r="22">
      <c r="A22" s="7"/>
      <c r="B22" s="6"/>
      <c r="C22" s="6"/>
      <c r="D22" s="3"/>
      <c r="E22" s="3"/>
      <c r="F22" s="3"/>
      <c r="G22" s="3"/>
      <c r="H22" s="3"/>
      <c r="I22" s="3"/>
      <c r="J22" s="3"/>
      <c r="K22" s="3"/>
      <c r="L22" s="3"/>
      <c r="M22" s="3"/>
      <c r="N22" s="3"/>
      <c r="O22" s="3"/>
      <c r="P22" s="3"/>
      <c r="Q22" s="3"/>
      <c r="R22" s="3"/>
      <c r="S22" s="3"/>
      <c r="T22" s="3"/>
      <c r="U22" s="3"/>
      <c r="V22" s="3"/>
      <c r="W22" s="3"/>
      <c r="X22" s="3"/>
      <c r="Y22" s="3"/>
    </row>
    <row r="23">
      <c r="A23" s="7"/>
      <c r="B23" s="6"/>
      <c r="C23" s="6"/>
      <c r="D23" s="3"/>
      <c r="E23" s="3"/>
      <c r="F23" s="3"/>
      <c r="G23" s="3"/>
      <c r="H23" s="3"/>
      <c r="I23" s="3"/>
      <c r="J23" s="3"/>
      <c r="K23" s="3"/>
      <c r="L23" s="3"/>
      <c r="M23" s="3"/>
      <c r="N23" s="3"/>
      <c r="O23" s="3"/>
      <c r="P23" s="3"/>
      <c r="Q23" s="3"/>
      <c r="R23" s="3"/>
      <c r="S23" s="3"/>
      <c r="T23" s="3"/>
      <c r="U23" s="3"/>
      <c r="V23" s="3"/>
      <c r="W23" s="3"/>
      <c r="X23" s="3"/>
      <c r="Y23" s="3"/>
    </row>
    <row r="24">
      <c r="A24" s="7"/>
      <c r="B24" s="6"/>
      <c r="C24" s="6"/>
      <c r="D24" s="3"/>
      <c r="E24" s="3"/>
      <c r="F24" s="3"/>
      <c r="G24" s="3"/>
      <c r="H24" s="3"/>
      <c r="I24" s="3"/>
      <c r="J24" s="3"/>
      <c r="K24" s="3"/>
      <c r="L24" s="3"/>
      <c r="M24" s="3"/>
      <c r="N24" s="3"/>
      <c r="O24" s="3"/>
      <c r="P24" s="3"/>
      <c r="Q24" s="3"/>
      <c r="R24" s="3"/>
      <c r="S24" s="3"/>
      <c r="T24" s="3"/>
      <c r="U24" s="3"/>
      <c r="V24" s="3"/>
      <c r="W24" s="3"/>
      <c r="X24" s="3"/>
      <c r="Y24" s="3"/>
    </row>
    <row r="25">
      <c r="A25" s="7"/>
      <c r="B25" s="6"/>
      <c r="C25" s="6"/>
      <c r="D25" s="3"/>
      <c r="E25" s="3"/>
      <c r="F25" s="3"/>
      <c r="G25" s="3"/>
      <c r="H25" s="3"/>
      <c r="I25" s="3"/>
      <c r="J25" s="3"/>
      <c r="K25" s="3"/>
      <c r="L25" s="3"/>
      <c r="M25" s="3"/>
      <c r="N25" s="3"/>
      <c r="O25" s="3"/>
      <c r="P25" s="3"/>
      <c r="Q25" s="3"/>
      <c r="R25" s="3"/>
      <c r="S25" s="3"/>
      <c r="T25" s="3"/>
      <c r="U25" s="3"/>
      <c r="V25" s="3"/>
      <c r="W25" s="3"/>
      <c r="X25" s="3"/>
      <c r="Y25" s="3"/>
    </row>
    <row r="26">
      <c r="A26" s="7"/>
      <c r="B26" s="6"/>
      <c r="C26" s="6"/>
      <c r="D26" s="3"/>
      <c r="E26" s="3"/>
      <c r="F26" s="3"/>
      <c r="G26" s="3"/>
      <c r="H26" s="3"/>
      <c r="I26" s="3"/>
      <c r="J26" s="3"/>
      <c r="K26" s="3"/>
      <c r="L26" s="3"/>
      <c r="M26" s="3"/>
      <c r="N26" s="3"/>
      <c r="O26" s="3"/>
      <c r="P26" s="3"/>
      <c r="Q26" s="3"/>
      <c r="R26" s="3"/>
      <c r="S26" s="3"/>
      <c r="T26" s="3"/>
      <c r="U26" s="3"/>
      <c r="V26" s="3"/>
      <c r="W26" s="3"/>
      <c r="X26" s="3"/>
      <c r="Y26" s="3"/>
    </row>
    <row r="27">
      <c r="A27" s="7"/>
      <c r="B27" s="6"/>
      <c r="C27" s="6"/>
      <c r="D27" s="3"/>
      <c r="E27" s="3"/>
      <c r="F27" s="3"/>
      <c r="G27" s="3"/>
      <c r="H27" s="3"/>
      <c r="I27" s="3"/>
      <c r="J27" s="3"/>
      <c r="K27" s="3"/>
      <c r="L27" s="3"/>
      <c r="M27" s="3"/>
      <c r="N27" s="3"/>
      <c r="O27" s="3"/>
      <c r="P27" s="3"/>
      <c r="Q27" s="3"/>
      <c r="R27" s="3"/>
      <c r="S27" s="3"/>
      <c r="T27" s="3"/>
      <c r="U27" s="3"/>
      <c r="V27" s="3"/>
      <c r="W27" s="3"/>
      <c r="X27" s="3"/>
      <c r="Y27" s="3"/>
    </row>
    <row r="28">
      <c r="A28" s="7"/>
      <c r="B28" s="6"/>
      <c r="C28" s="6"/>
      <c r="D28" s="3"/>
      <c r="E28" s="3"/>
      <c r="F28" s="3"/>
      <c r="G28" s="3"/>
      <c r="H28" s="3"/>
      <c r="I28" s="3"/>
      <c r="J28" s="3"/>
      <c r="K28" s="3"/>
      <c r="L28" s="3"/>
      <c r="M28" s="3"/>
      <c r="N28" s="3"/>
      <c r="O28" s="3"/>
      <c r="P28" s="3"/>
      <c r="Q28" s="3"/>
      <c r="R28" s="3"/>
      <c r="S28" s="3"/>
      <c r="T28" s="3"/>
      <c r="U28" s="3"/>
      <c r="V28" s="3"/>
      <c r="W28" s="3"/>
      <c r="X28" s="3"/>
      <c r="Y28" s="3"/>
    </row>
    <row r="29">
      <c r="A29" s="7"/>
      <c r="B29" s="6"/>
      <c r="C29" s="6"/>
      <c r="D29" s="3"/>
      <c r="E29" s="3"/>
      <c r="F29" s="3"/>
      <c r="G29" s="3"/>
      <c r="H29" s="3"/>
      <c r="I29" s="3"/>
      <c r="J29" s="3"/>
      <c r="K29" s="3"/>
      <c r="L29" s="3"/>
      <c r="M29" s="3"/>
      <c r="N29" s="3"/>
      <c r="O29" s="3"/>
      <c r="P29" s="3"/>
      <c r="Q29" s="3"/>
      <c r="R29" s="3"/>
      <c r="S29" s="3"/>
      <c r="T29" s="3"/>
      <c r="U29" s="3"/>
      <c r="V29" s="3"/>
      <c r="W29" s="3"/>
      <c r="X29" s="3"/>
      <c r="Y29" s="3"/>
    </row>
    <row r="30">
      <c r="A30" s="7"/>
      <c r="B30" s="6"/>
      <c r="C30" s="6"/>
      <c r="D30" s="3"/>
      <c r="E30" s="3"/>
      <c r="F30" s="3"/>
      <c r="G30" s="3"/>
      <c r="H30" s="3"/>
      <c r="I30" s="3"/>
      <c r="J30" s="3"/>
      <c r="K30" s="3"/>
      <c r="L30" s="3"/>
      <c r="M30" s="3"/>
      <c r="N30" s="3"/>
      <c r="O30" s="3"/>
      <c r="P30" s="3"/>
      <c r="Q30" s="3"/>
      <c r="R30" s="3"/>
      <c r="S30" s="3"/>
      <c r="T30" s="3"/>
      <c r="U30" s="3"/>
      <c r="V30" s="3"/>
      <c r="W30" s="3"/>
      <c r="X30" s="3"/>
      <c r="Y30" s="3"/>
    </row>
    <row r="31">
      <c r="A31" s="7"/>
      <c r="B31" s="6"/>
      <c r="C31" s="6"/>
      <c r="D31" s="3"/>
      <c r="E31" s="3"/>
      <c r="F31" s="3"/>
      <c r="G31" s="3"/>
      <c r="H31" s="3"/>
      <c r="I31" s="3"/>
      <c r="J31" s="3"/>
      <c r="K31" s="3"/>
      <c r="L31" s="3"/>
      <c r="M31" s="3"/>
      <c r="N31" s="3"/>
      <c r="O31" s="3"/>
      <c r="P31" s="3"/>
      <c r="Q31" s="3"/>
      <c r="R31" s="3"/>
      <c r="S31" s="3"/>
      <c r="T31" s="3"/>
      <c r="U31" s="3"/>
      <c r="V31" s="3"/>
      <c r="W31" s="3"/>
      <c r="X31" s="3"/>
      <c r="Y31" s="3"/>
    </row>
    <row r="32">
      <c r="A32" s="7"/>
      <c r="B32" s="6"/>
      <c r="C32" s="6"/>
      <c r="D32" s="3"/>
      <c r="E32" s="3"/>
      <c r="F32" s="3"/>
      <c r="G32" s="3"/>
      <c r="H32" s="3"/>
      <c r="I32" s="3"/>
      <c r="J32" s="3"/>
      <c r="K32" s="3"/>
      <c r="L32" s="3"/>
      <c r="M32" s="3"/>
      <c r="N32" s="3"/>
      <c r="O32" s="3"/>
      <c r="P32" s="3"/>
      <c r="Q32" s="3"/>
      <c r="R32" s="3"/>
      <c r="S32" s="3"/>
      <c r="T32" s="3"/>
      <c r="U32" s="3"/>
      <c r="V32" s="3"/>
      <c r="W32" s="3"/>
      <c r="X32" s="3"/>
      <c r="Y32" s="3"/>
    </row>
    <row r="33">
      <c r="A33" s="7"/>
      <c r="B33" s="6"/>
      <c r="C33" s="6"/>
      <c r="D33" s="3"/>
      <c r="E33" s="3"/>
      <c r="F33" s="3"/>
      <c r="G33" s="3"/>
      <c r="H33" s="3"/>
      <c r="I33" s="3"/>
      <c r="J33" s="3"/>
      <c r="K33" s="3"/>
      <c r="L33" s="3"/>
      <c r="M33" s="3"/>
      <c r="N33" s="3"/>
      <c r="O33" s="3"/>
      <c r="P33" s="3"/>
      <c r="Q33" s="3"/>
      <c r="R33" s="3"/>
      <c r="S33" s="3"/>
      <c r="T33" s="3"/>
      <c r="U33" s="3"/>
      <c r="V33" s="3"/>
      <c r="W33" s="3"/>
      <c r="X33" s="3"/>
      <c r="Y33" s="3"/>
    </row>
    <row r="34">
      <c r="A34" s="7"/>
      <c r="B34" s="6"/>
      <c r="C34" s="6"/>
      <c r="D34" s="3"/>
      <c r="E34" s="3"/>
      <c r="F34" s="3"/>
      <c r="G34" s="3"/>
      <c r="H34" s="3"/>
      <c r="I34" s="3"/>
      <c r="J34" s="3"/>
      <c r="K34" s="3"/>
      <c r="L34" s="3"/>
      <c r="M34" s="3"/>
      <c r="N34" s="3"/>
      <c r="O34" s="3"/>
      <c r="P34" s="3"/>
      <c r="Q34" s="3"/>
      <c r="R34" s="3"/>
      <c r="S34" s="3"/>
      <c r="T34" s="3"/>
      <c r="U34" s="3"/>
      <c r="V34" s="3"/>
      <c r="W34" s="3"/>
      <c r="X34" s="3"/>
      <c r="Y34" s="3"/>
    </row>
    <row r="35">
      <c r="A35" s="7"/>
      <c r="B35" s="6"/>
      <c r="C35" s="6"/>
      <c r="D35" s="3"/>
      <c r="E35" s="3"/>
      <c r="F35" s="3"/>
      <c r="G35" s="3"/>
      <c r="H35" s="3"/>
      <c r="I35" s="3"/>
      <c r="J35" s="3"/>
      <c r="K35" s="3"/>
      <c r="L35" s="3"/>
      <c r="M35" s="3"/>
      <c r="N35" s="3"/>
      <c r="O35" s="3"/>
      <c r="P35" s="3"/>
      <c r="Q35" s="3"/>
      <c r="R35" s="3"/>
      <c r="S35" s="3"/>
      <c r="T35" s="3"/>
      <c r="U35" s="3"/>
      <c r="V35" s="3"/>
      <c r="W35" s="3"/>
      <c r="X35" s="3"/>
      <c r="Y35" s="3"/>
    </row>
    <row r="36">
      <c r="A36" s="7"/>
      <c r="B36" s="6"/>
      <c r="C36" s="6"/>
      <c r="D36" s="3"/>
      <c r="E36" s="3"/>
      <c r="F36" s="3"/>
      <c r="G36" s="3"/>
      <c r="H36" s="3"/>
      <c r="I36" s="3"/>
      <c r="J36" s="3"/>
      <c r="K36" s="3"/>
      <c r="L36" s="3"/>
      <c r="M36" s="3"/>
      <c r="N36" s="3"/>
      <c r="O36" s="3"/>
      <c r="P36" s="3"/>
      <c r="Q36" s="3"/>
      <c r="R36" s="3"/>
      <c r="S36" s="3"/>
      <c r="T36" s="3"/>
      <c r="U36" s="3"/>
      <c r="V36" s="3"/>
      <c r="W36" s="3"/>
      <c r="X36" s="3"/>
      <c r="Y36" s="3"/>
    </row>
    <row r="37">
      <c r="A37" s="7"/>
      <c r="B37" s="6"/>
      <c r="C37" s="6"/>
      <c r="D37" s="3"/>
      <c r="E37" s="3"/>
      <c r="F37" s="3"/>
      <c r="G37" s="3"/>
      <c r="H37" s="3"/>
      <c r="I37" s="3"/>
      <c r="J37" s="3"/>
      <c r="K37" s="3"/>
      <c r="L37" s="3"/>
      <c r="M37" s="3"/>
      <c r="N37" s="3"/>
      <c r="O37" s="3"/>
      <c r="P37" s="3"/>
      <c r="Q37" s="3"/>
      <c r="R37" s="3"/>
      <c r="S37" s="3"/>
      <c r="T37" s="3"/>
      <c r="U37" s="3"/>
      <c r="V37" s="3"/>
      <c r="W37" s="3"/>
      <c r="X37" s="3"/>
      <c r="Y37" s="3"/>
    </row>
    <row r="38">
      <c r="A38" s="7"/>
      <c r="B38" s="6"/>
      <c r="C38" s="6"/>
      <c r="D38" s="3"/>
      <c r="E38" s="3"/>
      <c r="F38" s="3"/>
      <c r="G38" s="3"/>
      <c r="H38" s="3"/>
      <c r="I38" s="3"/>
      <c r="J38" s="3"/>
      <c r="K38" s="3"/>
      <c r="L38" s="3"/>
      <c r="M38" s="3"/>
      <c r="N38" s="3"/>
      <c r="O38" s="3"/>
      <c r="P38" s="3"/>
      <c r="Q38" s="3"/>
      <c r="R38" s="3"/>
      <c r="S38" s="3"/>
      <c r="T38" s="3"/>
      <c r="U38" s="3"/>
      <c r="V38" s="3"/>
      <c r="W38" s="3"/>
      <c r="X38" s="3"/>
      <c r="Y38" s="3"/>
    </row>
    <row r="39">
      <c r="A39" s="7"/>
      <c r="B39" s="6"/>
      <c r="C39" s="6"/>
      <c r="D39" s="3"/>
      <c r="E39" s="3"/>
      <c r="F39" s="3"/>
      <c r="G39" s="3"/>
      <c r="H39" s="3"/>
      <c r="I39" s="3"/>
      <c r="J39" s="3"/>
      <c r="K39" s="3"/>
      <c r="L39" s="3"/>
      <c r="M39" s="3"/>
      <c r="N39" s="3"/>
      <c r="O39" s="3"/>
      <c r="P39" s="3"/>
      <c r="Q39" s="3"/>
      <c r="R39" s="3"/>
      <c r="S39" s="3"/>
      <c r="T39" s="3"/>
      <c r="U39" s="3"/>
      <c r="V39" s="3"/>
      <c r="W39" s="3"/>
      <c r="X39" s="3"/>
      <c r="Y39" s="3"/>
    </row>
    <row r="40">
      <c r="A40" s="7"/>
      <c r="B40" s="6"/>
      <c r="C40" s="6"/>
      <c r="D40" s="3"/>
      <c r="E40" s="3"/>
      <c r="F40" s="3"/>
      <c r="G40" s="3"/>
      <c r="H40" s="3"/>
      <c r="I40" s="3"/>
      <c r="J40" s="3"/>
      <c r="K40" s="3"/>
      <c r="L40" s="3"/>
      <c r="M40" s="3"/>
      <c r="N40" s="3"/>
      <c r="O40" s="3"/>
      <c r="P40" s="3"/>
      <c r="Q40" s="3"/>
      <c r="R40" s="3"/>
      <c r="S40" s="3"/>
      <c r="T40" s="3"/>
      <c r="U40" s="3"/>
      <c r="V40" s="3"/>
      <c r="W40" s="3"/>
      <c r="X40" s="3"/>
      <c r="Y40" s="3"/>
    </row>
    <row r="41">
      <c r="A41" s="7"/>
      <c r="B41" s="6"/>
      <c r="C41" s="6"/>
      <c r="D41" s="3"/>
      <c r="E41" s="3"/>
      <c r="F41" s="3"/>
      <c r="G41" s="3"/>
      <c r="H41" s="3"/>
      <c r="I41" s="3"/>
      <c r="J41" s="3"/>
      <c r="K41" s="3"/>
      <c r="L41" s="3"/>
      <c r="M41" s="3"/>
      <c r="N41" s="3"/>
      <c r="O41" s="3"/>
      <c r="P41" s="3"/>
      <c r="Q41" s="3"/>
      <c r="R41" s="3"/>
      <c r="S41" s="3"/>
      <c r="T41" s="3"/>
      <c r="U41" s="3"/>
      <c r="V41" s="3"/>
      <c r="W41" s="3"/>
      <c r="X41" s="3"/>
      <c r="Y41" s="3"/>
    </row>
    <row r="42">
      <c r="A42" s="7"/>
      <c r="B42" s="6"/>
      <c r="C42" s="6"/>
      <c r="D42" s="3"/>
      <c r="E42" s="3"/>
      <c r="F42" s="3"/>
      <c r="G42" s="3"/>
      <c r="H42" s="3"/>
      <c r="I42" s="3"/>
      <c r="J42" s="3"/>
      <c r="K42" s="3"/>
      <c r="L42" s="3"/>
      <c r="M42" s="3"/>
      <c r="N42" s="3"/>
      <c r="O42" s="3"/>
      <c r="P42" s="3"/>
      <c r="Q42" s="3"/>
      <c r="R42" s="3"/>
      <c r="S42" s="3"/>
      <c r="T42" s="3"/>
      <c r="U42" s="3"/>
      <c r="V42" s="3"/>
      <c r="W42" s="3"/>
      <c r="X42" s="3"/>
      <c r="Y42" s="3"/>
    </row>
    <row r="43">
      <c r="A43" s="7"/>
      <c r="B43" s="6"/>
      <c r="C43" s="6"/>
      <c r="D43" s="3"/>
      <c r="E43" s="3"/>
      <c r="F43" s="3"/>
      <c r="G43" s="3"/>
      <c r="H43" s="3"/>
      <c r="I43" s="3"/>
      <c r="J43" s="3"/>
      <c r="K43" s="3"/>
      <c r="L43" s="3"/>
      <c r="M43" s="3"/>
      <c r="N43" s="3"/>
      <c r="O43" s="3"/>
      <c r="P43" s="3"/>
      <c r="Q43" s="3"/>
      <c r="R43" s="3"/>
      <c r="S43" s="3"/>
      <c r="T43" s="3"/>
      <c r="U43" s="3"/>
      <c r="V43" s="3"/>
      <c r="W43" s="3"/>
      <c r="X43" s="3"/>
      <c r="Y43" s="3"/>
    </row>
    <row r="44">
      <c r="A44" s="7"/>
      <c r="B44" s="6"/>
      <c r="C44" s="6"/>
      <c r="D44" s="3"/>
      <c r="E44" s="3"/>
      <c r="F44" s="3"/>
      <c r="G44" s="3"/>
      <c r="H44" s="3"/>
      <c r="I44" s="3"/>
      <c r="J44" s="3"/>
      <c r="K44" s="3"/>
      <c r="L44" s="3"/>
      <c r="M44" s="3"/>
      <c r="N44" s="3"/>
      <c r="O44" s="3"/>
      <c r="P44" s="3"/>
      <c r="Q44" s="3"/>
      <c r="R44" s="3"/>
      <c r="S44" s="3"/>
      <c r="T44" s="3"/>
      <c r="U44" s="3"/>
      <c r="V44" s="3"/>
      <c r="W44" s="3"/>
      <c r="X44" s="3"/>
      <c r="Y44" s="3"/>
    </row>
    <row r="45">
      <c r="A45" s="7"/>
      <c r="B45" s="6"/>
      <c r="C45" s="6"/>
      <c r="D45" s="3"/>
      <c r="E45" s="3"/>
      <c r="F45" s="3"/>
      <c r="G45" s="3"/>
      <c r="H45" s="3"/>
      <c r="I45" s="3"/>
      <c r="J45" s="3"/>
      <c r="K45" s="3"/>
      <c r="L45" s="3"/>
      <c r="M45" s="3"/>
      <c r="N45" s="3"/>
      <c r="O45" s="3"/>
      <c r="P45" s="3"/>
      <c r="Q45" s="3"/>
      <c r="R45" s="3"/>
      <c r="S45" s="3"/>
      <c r="T45" s="3"/>
      <c r="U45" s="3"/>
      <c r="V45" s="3"/>
      <c r="W45" s="3"/>
      <c r="X45" s="3"/>
      <c r="Y45" s="3"/>
    </row>
    <row r="46">
      <c r="A46" s="7"/>
      <c r="B46" s="6"/>
      <c r="C46" s="6"/>
      <c r="D46" s="3"/>
      <c r="E46" s="3"/>
      <c r="F46" s="3"/>
      <c r="G46" s="3"/>
      <c r="H46" s="3"/>
      <c r="I46" s="3"/>
      <c r="J46" s="3"/>
      <c r="K46" s="3"/>
      <c r="L46" s="3"/>
      <c r="M46" s="3"/>
      <c r="N46" s="3"/>
      <c r="O46" s="3"/>
      <c r="P46" s="3"/>
      <c r="Q46" s="3"/>
      <c r="R46" s="3"/>
      <c r="S46" s="3"/>
      <c r="T46" s="3"/>
      <c r="U46" s="3"/>
      <c r="V46" s="3"/>
      <c r="W46" s="3"/>
      <c r="X46" s="3"/>
      <c r="Y46" s="3"/>
    </row>
    <row r="47">
      <c r="A47" s="7"/>
      <c r="B47" s="6"/>
      <c r="C47" s="6"/>
      <c r="D47" s="3"/>
      <c r="E47" s="3"/>
      <c r="F47" s="3"/>
      <c r="G47" s="3"/>
      <c r="H47" s="3"/>
      <c r="I47" s="3"/>
      <c r="J47" s="3"/>
      <c r="K47" s="3"/>
      <c r="L47" s="3"/>
      <c r="M47" s="3"/>
      <c r="N47" s="3"/>
      <c r="O47" s="3"/>
      <c r="P47" s="3"/>
      <c r="Q47" s="3"/>
      <c r="R47" s="3"/>
      <c r="S47" s="3"/>
      <c r="T47" s="3"/>
      <c r="U47" s="3"/>
      <c r="V47" s="3"/>
      <c r="W47" s="3"/>
      <c r="X47" s="3"/>
      <c r="Y47" s="3"/>
    </row>
    <row r="48">
      <c r="A48" s="7"/>
      <c r="B48" s="6"/>
      <c r="C48" s="6"/>
      <c r="D48" s="3"/>
      <c r="E48" s="3"/>
      <c r="F48" s="3"/>
      <c r="G48" s="3"/>
      <c r="H48" s="3"/>
      <c r="I48" s="3"/>
      <c r="J48" s="3"/>
      <c r="K48" s="3"/>
      <c r="L48" s="3"/>
      <c r="M48" s="3"/>
      <c r="N48" s="3"/>
      <c r="O48" s="3"/>
      <c r="P48" s="3"/>
      <c r="Q48" s="3"/>
      <c r="R48" s="3"/>
      <c r="S48" s="3"/>
      <c r="T48" s="3"/>
      <c r="U48" s="3"/>
      <c r="V48" s="3"/>
      <c r="W48" s="3"/>
      <c r="X48" s="3"/>
      <c r="Y48" s="3"/>
    </row>
    <row r="49">
      <c r="A49" s="7"/>
      <c r="B49" s="6"/>
      <c r="C49" s="6"/>
      <c r="D49" s="3"/>
      <c r="E49" s="3"/>
      <c r="F49" s="3"/>
      <c r="G49" s="3"/>
      <c r="H49" s="3"/>
      <c r="I49" s="3"/>
      <c r="J49" s="3"/>
      <c r="K49" s="3"/>
      <c r="L49" s="3"/>
      <c r="M49" s="3"/>
      <c r="N49" s="3"/>
      <c r="O49" s="3"/>
      <c r="P49" s="3"/>
      <c r="Q49" s="3"/>
      <c r="R49" s="3"/>
      <c r="S49" s="3"/>
      <c r="T49" s="3"/>
      <c r="U49" s="3"/>
      <c r="V49" s="3"/>
      <c r="W49" s="3"/>
      <c r="X49" s="3"/>
      <c r="Y49" s="3"/>
    </row>
    <row r="50">
      <c r="A50" s="7"/>
      <c r="B50" s="6"/>
      <c r="C50" s="6"/>
      <c r="D50" s="3"/>
      <c r="E50" s="3"/>
      <c r="F50" s="3"/>
      <c r="G50" s="3"/>
      <c r="H50" s="3"/>
      <c r="I50" s="3"/>
      <c r="J50" s="3"/>
      <c r="K50" s="3"/>
      <c r="L50" s="3"/>
      <c r="M50" s="3"/>
      <c r="N50" s="3"/>
      <c r="O50" s="3"/>
      <c r="P50" s="3"/>
      <c r="Q50" s="3"/>
      <c r="R50" s="3"/>
      <c r="S50" s="3"/>
      <c r="T50" s="3"/>
      <c r="U50" s="3"/>
      <c r="V50" s="3"/>
      <c r="W50" s="3"/>
      <c r="X50" s="3"/>
      <c r="Y50" s="3"/>
    </row>
    <row r="51">
      <c r="A51" s="7"/>
      <c r="B51" s="6"/>
      <c r="C51" s="6"/>
      <c r="D51" s="3"/>
      <c r="E51" s="3"/>
      <c r="F51" s="3"/>
      <c r="G51" s="3"/>
      <c r="H51" s="3"/>
      <c r="I51" s="3"/>
      <c r="J51" s="3"/>
      <c r="K51" s="3"/>
      <c r="L51" s="3"/>
      <c r="M51" s="3"/>
      <c r="N51" s="3"/>
      <c r="O51" s="3"/>
      <c r="P51" s="3"/>
      <c r="Q51" s="3"/>
      <c r="R51" s="3"/>
      <c r="S51" s="3"/>
      <c r="T51" s="3"/>
      <c r="U51" s="3"/>
      <c r="V51" s="3"/>
      <c r="W51" s="3"/>
      <c r="X51" s="3"/>
      <c r="Y51" s="3"/>
    </row>
    <row r="52">
      <c r="A52" s="7"/>
      <c r="B52" s="6"/>
      <c r="C52" s="6"/>
      <c r="D52" s="3"/>
      <c r="E52" s="3"/>
      <c r="F52" s="3"/>
      <c r="G52" s="3"/>
      <c r="H52" s="3"/>
      <c r="I52" s="3"/>
      <c r="J52" s="3"/>
      <c r="K52" s="3"/>
      <c r="L52" s="3"/>
      <c r="M52" s="3"/>
      <c r="N52" s="3"/>
      <c r="O52" s="3"/>
      <c r="P52" s="3"/>
      <c r="Q52" s="3"/>
      <c r="R52" s="3"/>
      <c r="S52" s="3"/>
      <c r="T52" s="3"/>
      <c r="U52" s="3"/>
      <c r="V52" s="3"/>
      <c r="W52" s="3"/>
      <c r="X52" s="3"/>
      <c r="Y52" s="3"/>
    </row>
    <row r="53">
      <c r="A53" s="7"/>
      <c r="B53" s="6"/>
      <c r="C53" s="6"/>
      <c r="D53" s="3"/>
      <c r="E53" s="3"/>
      <c r="F53" s="3"/>
      <c r="G53" s="3"/>
      <c r="H53" s="3"/>
      <c r="I53" s="3"/>
      <c r="J53" s="3"/>
      <c r="K53" s="3"/>
      <c r="L53" s="3"/>
      <c r="M53" s="3"/>
      <c r="N53" s="3"/>
      <c r="O53" s="3"/>
      <c r="P53" s="3"/>
      <c r="Q53" s="3"/>
      <c r="R53" s="3"/>
      <c r="S53" s="3"/>
      <c r="T53" s="3"/>
      <c r="U53" s="3"/>
      <c r="V53" s="3"/>
      <c r="W53" s="3"/>
      <c r="X53" s="3"/>
      <c r="Y53" s="3"/>
    </row>
    <row r="54">
      <c r="A54" s="7"/>
      <c r="B54" s="6"/>
      <c r="C54" s="6"/>
      <c r="D54" s="3"/>
      <c r="E54" s="3"/>
      <c r="F54" s="3"/>
      <c r="G54" s="3"/>
      <c r="H54" s="3"/>
      <c r="I54" s="3"/>
      <c r="J54" s="3"/>
      <c r="K54" s="3"/>
      <c r="L54" s="3"/>
      <c r="M54" s="3"/>
      <c r="N54" s="3"/>
      <c r="O54" s="3"/>
      <c r="P54" s="3"/>
      <c r="Q54" s="3"/>
      <c r="R54" s="3"/>
      <c r="S54" s="3"/>
      <c r="T54" s="3"/>
      <c r="U54" s="3"/>
      <c r="V54" s="3"/>
      <c r="W54" s="3"/>
      <c r="X54" s="3"/>
      <c r="Y54" s="3"/>
    </row>
    <row r="55">
      <c r="A55" s="7"/>
      <c r="B55" s="6"/>
      <c r="C55" s="6"/>
      <c r="D55" s="3"/>
      <c r="E55" s="3"/>
      <c r="F55" s="3"/>
      <c r="G55" s="3"/>
      <c r="H55" s="3"/>
      <c r="I55" s="3"/>
      <c r="J55" s="3"/>
      <c r="K55" s="3"/>
      <c r="L55" s="3"/>
      <c r="M55" s="3"/>
      <c r="N55" s="3"/>
      <c r="O55" s="3"/>
      <c r="P55" s="3"/>
      <c r="Q55" s="3"/>
      <c r="R55" s="3"/>
      <c r="S55" s="3"/>
      <c r="T55" s="3"/>
      <c r="U55" s="3"/>
      <c r="V55" s="3"/>
      <c r="W55" s="3"/>
      <c r="X55" s="3"/>
      <c r="Y55" s="3"/>
    </row>
    <row r="56">
      <c r="A56" s="7"/>
      <c r="B56" s="6"/>
      <c r="C56" s="6"/>
      <c r="D56" s="3"/>
      <c r="E56" s="3"/>
      <c r="F56" s="3"/>
      <c r="G56" s="3"/>
      <c r="H56" s="3"/>
      <c r="I56" s="3"/>
      <c r="J56" s="3"/>
      <c r="K56" s="3"/>
      <c r="L56" s="3"/>
      <c r="M56" s="3"/>
      <c r="N56" s="3"/>
      <c r="O56" s="3"/>
      <c r="P56" s="3"/>
      <c r="Q56" s="3"/>
      <c r="R56" s="3"/>
      <c r="S56" s="3"/>
      <c r="T56" s="3"/>
      <c r="U56" s="3"/>
      <c r="V56" s="3"/>
      <c r="W56" s="3"/>
      <c r="X56" s="3"/>
      <c r="Y56" s="3"/>
    </row>
    <row r="57">
      <c r="A57" s="7"/>
      <c r="B57" s="6"/>
      <c r="C57" s="6"/>
      <c r="D57" s="3"/>
      <c r="E57" s="3"/>
      <c r="F57" s="3"/>
      <c r="G57" s="3"/>
      <c r="H57" s="3"/>
      <c r="I57" s="3"/>
      <c r="J57" s="3"/>
      <c r="K57" s="3"/>
      <c r="L57" s="3"/>
      <c r="M57" s="3"/>
      <c r="N57" s="3"/>
      <c r="O57" s="3"/>
      <c r="P57" s="3"/>
      <c r="Q57" s="3"/>
      <c r="R57" s="3"/>
      <c r="S57" s="3"/>
      <c r="T57" s="3"/>
      <c r="U57" s="3"/>
      <c r="V57" s="3"/>
      <c r="W57" s="3"/>
      <c r="X57" s="3"/>
      <c r="Y57" s="3"/>
    </row>
    <row r="58">
      <c r="A58" s="7"/>
      <c r="B58" s="6"/>
      <c r="C58" s="6"/>
      <c r="D58" s="3"/>
      <c r="E58" s="3"/>
      <c r="F58" s="3"/>
      <c r="G58" s="3"/>
      <c r="H58" s="3"/>
      <c r="I58" s="3"/>
      <c r="J58" s="3"/>
      <c r="K58" s="3"/>
      <c r="L58" s="3"/>
      <c r="M58" s="3"/>
      <c r="N58" s="3"/>
      <c r="O58" s="3"/>
      <c r="P58" s="3"/>
      <c r="Q58" s="3"/>
      <c r="R58" s="3"/>
      <c r="S58" s="3"/>
      <c r="T58" s="3"/>
      <c r="U58" s="3"/>
      <c r="V58" s="3"/>
      <c r="W58" s="3"/>
      <c r="X58" s="3"/>
      <c r="Y58" s="3"/>
    </row>
    <row r="59">
      <c r="A59" s="7"/>
      <c r="B59" s="6"/>
      <c r="C59" s="6"/>
      <c r="D59" s="3"/>
      <c r="E59" s="3"/>
      <c r="F59" s="3"/>
      <c r="G59" s="3"/>
      <c r="H59" s="3"/>
      <c r="I59" s="3"/>
      <c r="J59" s="3"/>
      <c r="K59" s="3"/>
      <c r="L59" s="3"/>
      <c r="M59" s="3"/>
      <c r="N59" s="3"/>
      <c r="O59" s="3"/>
      <c r="P59" s="3"/>
      <c r="Q59" s="3"/>
      <c r="R59" s="3"/>
      <c r="S59" s="3"/>
      <c r="T59" s="3"/>
      <c r="U59" s="3"/>
      <c r="V59" s="3"/>
      <c r="W59" s="3"/>
      <c r="X59" s="3"/>
      <c r="Y59" s="3"/>
    </row>
    <row r="60">
      <c r="A60" s="7"/>
      <c r="B60" s="6"/>
      <c r="C60" s="6"/>
      <c r="D60" s="3"/>
      <c r="E60" s="3"/>
      <c r="F60" s="3"/>
      <c r="G60" s="3"/>
      <c r="H60" s="3"/>
      <c r="I60" s="3"/>
      <c r="J60" s="3"/>
      <c r="K60" s="3"/>
      <c r="L60" s="3"/>
      <c r="M60" s="3"/>
      <c r="N60" s="3"/>
      <c r="O60" s="3"/>
      <c r="P60" s="3"/>
      <c r="Q60" s="3"/>
      <c r="R60" s="3"/>
      <c r="S60" s="3"/>
      <c r="T60" s="3"/>
      <c r="U60" s="3"/>
      <c r="V60" s="3"/>
      <c r="W60" s="3"/>
      <c r="X60" s="3"/>
      <c r="Y60" s="3"/>
    </row>
    <row r="61">
      <c r="A61" s="7"/>
      <c r="B61" s="6"/>
      <c r="C61" s="6"/>
      <c r="D61" s="3"/>
      <c r="E61" s="3"/>
      <c r="F61" s="3"/>
      <c r="G61" s="3"/>
      <c r="H61" s="3"/>
      <c r="I61" s="3"/>
      <c r="J61" s="3"/>
      <c r="K61" s="3"/>
      <c r="L61" s="3"/>
      <c r="M61" s="3"/>
      <c r="N61" s="3"/>
      <c r="O61" s="3"/>
      <c r="P61" s="3"/>
      <c r="Q61" s="3"/>
      <c r="R61" s="3"/>
      <c r="S61" s="3"/>
      <c r="T61" s="3"/>
      <c r="U61" s="3"/>
      <c r="V61" s="3"/>
      <c r="W61" s="3"/>
      <c r="X61" s="3"/>
      <c r="Y61" s="3"/>
    </row>
    <row r="62">
      <c r="A62" s="7"/>
      <c r="B62" s="6"/>
      <c r="C62" s="6"/>
      <c r="D62" s="3"/>
      <c r="E62" s="3"/>
      <c r="F62" s="3"/>
      <c r="G62" s="3"/>
      <c r="H62" s="3"/>
      <c r="I62" s="3"/>
      <c r="J62" s="3"/>
      <c r="K62" s="3"/>
      <c r="L62" s="3"/>
      <c r="M62" s="3"/>
      <c r="N62" s="3"/>
      <c r="O62" s="3"/>
      <c r="P62" s="3"/>
      <c r="Q62" s="3"/>
      <c r="R62" s="3"/>
      <c r="S62" s="3"/>
      <c r="T62" s="3"/>
      <c r="U62" s="3"/>
      <c r="V62" s="3"/>
      <c r="W62" s="3"/>
      <c r="X62" s="3"/>
      <c r="Y62" s="3"/>
    </row>
    <row r="63">
      <c r="A63" s="7"/>
      <c r="B63" s="6"/>
      <c r="C63" s="6"/>
      <c r="D63" s="3"/>
      <c r="E63" s="3"/>
      <c r="F63" s="3"/>
      <c r="G63" s="3"/>
      <c r="H63" s="3"/>
      <c r="I63" s="3"/>
      <c r="J63" s="3"/>
      <c r="K63" s="3"/>
      <c r="L63" s="3"/>
      <c r="M63" s="3"/>
      <c r="N63" s="3"/>
      <c r="O63" s="3"/>
      <c r="P63" s="3"/>
      <c r="Q63" s="3"/>
      <c r="R63" s="3"/>
      <c r="S63" s="3"/>
      <c r="T63" s="3"/>
      <c r="U63" s="3"/>
      <c r="V63" s="3"/>
      <c r="W63" s="3"/>
      <c r="X63" s="3"/>
      <c r="Y63" s="3"/>
    </row>
    <row r="64">
      <c r="A64" s="7"/>
      <c r="B64" s="6"/>
      <c r="C64" s="6"/>
      <c r="D64" s="3"/>
      <c r="E64" s="3"/>
      <c r="F64" s="3"/>
      <c r="G64" s="3"/>
      <c r="H64" s="3"/>
      <c r="I64" s="3"/>
      <c r="J64" s="3"/>
      <c r="K64" s="3"/>
      <c r="L64" s="3"/>
      <c r="M64" s="3"/>
      <c r="N64" s="3"/>
      <c r="O64" s="3"/>
      <c r="P64" s="3"/>
      <c r="Q64" s="3"/>
      <c r="R64" s="3"/>
      <c r="S64" s="3"/>
      <c r="T64" s="3"/>
      <c r="U64" s="3"/>
      <c r="V64" s="3"/>
      <c r="W64" s="3"/>
      <c r="X64" s="3"/>
      <c r="Y64" s="3"/>
    </row>
    <row r="65">
      <c r="A65" s="7"/>
      <c r="B65" s="6"/>
      <c r="C65" s="6"/>
      <c r="D65" s="3"/>
      <c r="E65" s="3"/>
      <c r="F65" s="3"/>
      <c r="G65" s="3"/>
      <c r="H65" s="3"/>
      <c r="I65" s="3"/>
      <c r="J65" s="3"/>
      <c r="K65" s="3"/>
      <c r="L65" s="3"/>
      <c r="M65" s="3"/>
      <c r="N65" s="3"/>
      <c r="O65" s="3"/>
      <c r="P65" s="3"/>
      <c r="Q65" s="3"/>
      <c r="R65" s="3"/>
      <c r="S65" s="3"/>
      <c r="T65" s="3"/>
      <c r="U65" s="3"/>
      <c r="V65" s="3"/>
      <c r="W65" s="3"/>
      <c r="X65" s="3"/>
      <c r="Y65" s="3"/>
    </row>
    <row r="66">
      <c r="A66" s="7"/>
      <c r="B66" s="6"/>
      <c r="C66" s="6"/>
      <c r="D66" s="3"/>
      <c r="E66" s="3"/>
      <c r="F66" s="3"/>
      <c r="G66" s="3"/>
      <c r="H66" s="3"/>
      <c r="I66" s="3"/>
      <c r="J66" s="3"/>
      <c r="K66" s="3"/>
      <c r="L66" s="3"/>
      <c r="M66" s="3"/>
      <c r="N66" s="3"/>
      <c r="O66" s="3"/>
      <c r="P66" s="3"/>
      <c r="Q66" s="3"/>
      <c r="R66" s="3"/>
      <c r="S66" s="3"/>
      <c r="T66" s="3"/>
      <c r="U66" s="3"/>
      <c r="V66" s="3"/>
      <c r="W66" s="3"/>
      <c r="X66" s="3"/>
      <c r="Y66" s="3"/>
    </row>
    <row r="67">
      <c r="A67" s="7"/>
      <c r="B67" s="6"/>
      <c r="C67" s="6"/>
      <c r="D67" s="3"/>
      <c r="E67" s="3"/>
      <c r="F67" s="3"/>
      <c r="G67" s="3"/>
      <c r="H67" s="3"/>
      <c r="I67" s="3"/>
      <c r="J67" s="3"/>
      <c r="K67" s="3"/>
      <c r="L67" s="3"/>
      <c r="M67" s="3"/>
      <c r="N67" s="3"/>
      <c r="O67" s="3"/>
      <c r="P67" s="3"/>
      <c r="Q67" s="3"/>
      <c r="R67" s="3"/>
      <c r="S67" s="3"/>
      <c r="T67" s="3"/>
      <c r="U67" s="3"/>
      <c r="V67" s="3"/>
      <c r="W67" s="3"/>
      <c r="X67" s="3"/>
      <c r="Y67" s="3"/>
    </row>
    <row r="68">
      <c r="A68" s="7"/>
      <c r="B68" s="6"/>
      <c r="C68" s="6"/>
      <c r="D68" s="3"/>
      <c r="E68" s="3"/>
      <c r="F68" s="3"/>
      <c r="G68" s="3"/>
      <c r="H68" s="3"/>
      <c r="I68" s="3"/>
      <c r="J68" s="3"/>
      <c r="K68" s="3"/>
      <c r="L68" s="3"/>
      <c r="M68" s="3"/>
      <c r="N68" s="3"/>
      <c r="O68" s="3"/>
      <c r="P68" s="3"/>
      <c r="Q68" s="3"/>
      <c r="R68" s="3"/>
      <c r="S68" s="3"/>
      <c r="T68" s="3"/>
      <c r="U68" s="3"/>
      <c r="V68" s="3"/>
      <c r="W68" s="3"/>
      <c r="X68" s="3"/>
      <c r="Y68" s="3"/>
    </row>
    <row r="69">
      <c r="A69" s="7"/>
      <c r="B69" s="6"/>
      <c r="C69" s="6"/>
      <c r="D69" s="3"/>
      <c r="E69" s="3"/>
      <c r="F69" s="3"/>
      <c r="G69" s="3"/>
      <c r="H69" s="3"/>
      <c r="I69" s="3"/>
      <c r="J69" s="3"/>
      <c r="K69" s="3"/>
      <c r="L69" s="3"/>
      <c r="M69" s="3"/>
      <c r="N69" s="3"/>
      <c r="O69" s="3"/>
      <c r="P69" s="3"/>
      <c r="Q69" s="3"/>
      <c r="R69" s="3"/>
      <c r="S69" s="3"/>
      <c r="T69" s="3"/>
      <c r="U69" s="3"/>
      <c r="V69" s="3"/>
      <c r="W69" s="3"/>
      <c r="X69" s="3"/>
      <c r="Y69" s="3"/>
    </row>
    <row r="70">
      <c r="A70" s="7"/>
      <c r="B70" s="6"/>
      <c r="C70" s="6"/>
      <c r="D70" s="3"/>
      <c r="E70" s="3"/>
      <c r="F70" s="3"/>
      <c r="G70" s="3"/>
      <c r="H70" s="3"/>
      <c r="I70" s="3"/>
      <c r="J70" s="3"/>
      <c r="K70" s="3"/>
      <c r="L70" s="3"/>
      <c r="M70" s="3"/>
      <c r="N70" s="3"/>
      <c r="O70" s="3"/>
      <c r="P70" s="3"/>
      <c r="Q70" s="3"/>
      <c r="R70" s="3"/>
      <c r="S70" s="3"/>
      <c r="T70" s="3"/>
      <c r="U70" s="3"/>
      <c r="V70" s="3"/>
      <c r="W70" s="3"/>
      <c r="X70" s="3"/>
      <c r="Y70" s="3"/>
    </row>
    <row r="71">
      <c r="A71" s="7"/>
      <c r="B71" s="6"/>
      <c r="C71" s="6"/>
      <c r="D71" s="3"/>
      <c r="E71" s="3"/>
      <c r="F71" s="3"/>
      <c r="G71" s="3"/>
      <c r="H71" s="3"/>
      <c r="I71" s="3"/>
      <c r="J71" s="3"/>
      <c r="K71" s="3"/>
      <c r="L71" s="3"/>
      <c r="M71" s="3"/>
      <c r="N71" s="3"/>
      <c r="O71" s="3"/>
      <c r="P71" s="3"/>
      <c r="Q71" s="3"/>
      <c r="R71" s="3"/>
      <c r="S71" s="3"/>
      <c r="T71" s="3"/>
      <c r="U71" s="3"/>
      <c r="V71" s="3"/>
      <c r="W71" s="3"/>
      <c r="X71" s="3"/>
      <c r="Y71" s="3"/>
    </row>
    <row r="72">
      <c r="A72" s="7"/>
      <c r="B72" s="6"/>
      <c r="C72" s="6"/>
      <c r="D72" s="3"/>
      <c r="E72" s="3"/>
      <c r="F72" s="3"/>
      <c r="G72" s="3"/>
      <c r="H72" s="3"/>
      <c r="I72" s="3"/>
      <c r="J72" s="3"/>
      <c r="K72" s="3"/>
      <c r="L72" s="3"/>
      <c r="M72" s="3"/>
      <c r="N72" s="3"/>
      <c r="O72" s="3"/>
      <c r="P72" s="3"/>
      <c r="Q72" s="3"/>
      <c r="R72" s="3"/>
      <c r="S72" s="3"/>
      <c r="T72" s="3"/>
      <c r="U72" s="3"/>
      <c r="V72" s="3"/>
      <c r="W72" s="3"/>
      <c r="X72" s="3"/>
      <c r="Y72" s="3"/>
    </row>
    <row r="73">
      <c r="A73" s="7"/>
      <c r="B73" s="6"/>
      <c r="C73" s="6"/>
      <c r="D73" s="3"/>
      <c r="E73" s="3"/>
      <c r="F73" s="3"/>
      <c r="G73" s="3"/>
      <c r="H73" s="3"/>
      <c r="I73" s="3"/>
      <c r="J73" s="3"/>
      <c r="K73" s="3"/>
      <c r="L73" s="3"/>
      <c r="M73" s="3"/>
      <c r="N73" s="3"/>
      <c r="O73" s="3"/>
      <c r="P73" s="3"/>
      <c r="Q73" s="3"/>
      <c r="R73" s="3"/>
      <c r="S73" s="3"/>
      <c r="T73" s="3"/>
      <c r="U73" s="3"/>
      <c r="V73" s="3"/>
      <c r="W73" s="3"/>
      <c r="X73" s="3"/>
      <c r="Y73" s="3"/>
    </row>
    <row r="74">
      <c r="A74" s="7"/>
      <c r="B74" s="6"/>
      <c r="C74" s="6"/>
      <c r="D74" s="3"/>
      <c r="E74" s="3"/>
      <c r="F74" s="3"/>
      <c r="G74" s="3"/>
      <c r="H74" s="3"/>
      <c r="I74" s="3"/>
      <c r="J74" s="3"/>
      <c r="K74" s="3"/>
      <c r="L74" s="3"/>
      <c r="M74" s="3"/>
      <c r="N74" s="3"/>
      <c r="O74" s="3"/>
      <c r="P74" s="3"/>
      <c r="Q74" s="3"/>
      <c r="R74" s="3"/>
      <c r="S74" s="3"/>
      <c r="T74" s="3"/>
      <c r="U74" s="3"/>
      <c r="V74" s="3"/>
      <c r="W74" s="3"/>
      <c r="X74" s="3"/>
      <c r="Y74" s="3"/>
    </row>
    <row r="75">
      <c r="A75" s="7"/>
      <c r="B75" s="6"/>
      <c r="C75" s="6"/>
      <c r="D75" s="3"/>
      <c r="E75" s="3"/>
      <c r="F75" s="3"/>
      <c r="G75" s="3"/>
      <c r="H75" s="3"/>
      <c r="I75" s="3"/>
      <c r="J75" s="3"/>
      <c r="K75" s="3"/>
      <c r="L75" s="3"/>
      <c r="M75" s="3"/>
      <c r="N75" s="3"/>
      <c r="O75" s="3"/>
      <c r="P75" s="3"/>
      <c r="Q75" s="3"/>
      <c r="R75" s="3"/>
      <c r="S75" s="3"/>
      <c r="T75" s="3"/>
      <c r="U75" s="3"/>
      <c r="V75" s="3"/>
      <c r="W75" s="3"/>
      <c r="X75" s="3"/>
      <c r="Y75" s="3"/>
    </row>
    <row r="76">
      <c r="A76" s="7"/>
      <c r="B76" s="6"/>
      <c r="C76" s="6"/>
      <c r="D76" s="3"/>
      <c r="E76" s="3"/>
      <c r="F76" s="3"/>
      <c r="G76" s="3"/>
      <c r="H76" s="3"/>
      <c r="I76" s="3"/>
      <c r="J76" s="3"/>
      <c r="K76" s="3"/>
      <c r="L76" s="3"/>
      <c r="M76" s="3"/>
      <c r="N76" s="3"/>
      <c r="O76" s="3"/>
      <c r="P76" s="3"/>
      <c r="Q76" s="3"/>
      <c r="R76" s="3"/>
      <c r="S76" s="3"/>
      <c r="T76" s="3"/>
      <c r="U76" s="3"/>
      <c r="V76" s="3"/>
      <c r="W76" s="3"/>
      <c r="X76" s="3"/>
      <c r="Y76" s="3"/>
    </row>
    <row r="77">
      <c r="A77" s="7"/>
      <c r="B77" s="6"/>
      <c r="C77" s="6"/>
      <c r="D77" s="3"/>
      <c r="E77" s="3"/>
      <c r="F77" s="3"/>
      <c r="G77" s="3"/>
      <c r="H77" s="3"/>
      <c r="I77" s="3"/>
      <c r="J77" s="3"/>
      <c r="K77" s="3"/>
      <c r="L77" s="3"/>
      <c r="M77" s="3"/>
      <c r="N77" s="3"/>
      <c r="O77" s="3"/>
      <c r="P77" s="3"/>
      <c r="Q77" s="3"/>
      <c r="R77" s="3"/>
      <c r="S77" s="3"/>
      <c r="T77" s="3"/>
      <c r="U77" s="3"/>
      <c r="V77" s="3"/>
      <c r="W77" s="3"/>
      <c r="X77" s="3"/>
      <c r="Y77" s="3"/>
    </row>
    <row r="78">
      <c r="A78" s="7"/>
      <c r="B78" s="6"/>
      <c r="C78" s="6"/>
      <c r="D78" s="3"/>
      <c r="E78" s="3"/>
      <c r="F78" s="3"/>
      <c r="G78" s="3"/>
      <c r="H78" s="3"/>
      <c r="I78" s="3"/>
      <c r="J78" s="3"/>
      <c r="K78" s="3"/>
      <c r="L78" s="3"/>
      <c r="M78" s="3"/>
      <c r="N78" s="3"/>
      <c r="O78" s="3"/>
      <c r="P78" s="3"/>
      <c r="Q78" s="3"/>
      <c r="R78" s="3"/>
      <c r="S78" s="3"/>
      <c r="T78" s="3"/>
      <c r="U78" s="3"/>
      <c r="V78" s="3"/>
      <c r="W78" s="3"/>
      <c r="X78" s="3"/>
      <c r="Y78" s="3"/>
    </row>
    <row r="79">
      <c r="A79" s="7"/>
      <c r="B79" s="6"/>
      <c r="C79" s="6"/>
      <c r="D79" s="3"/>
      <c r="E79" s="3"/>
      <c r="F79" s="3"/>
      <c r="G79" s="3"/>
      <c r="H79" s="3"/>
      <c r="I79" s="3"/>
      <c r="J79" s="3"/>
      <c r="K79" s="3"/>
      <c r="L79" s="3"/>
      <c r="M79" s="3"/>
      <c r="N79" s="3"/>
      <c r="O79" s="3"/>
      <c r="P79" s="3"/>
      <c r="Q79" s="3"/>
      <c r="R79" s="3"/>
      <c r="S79" s="3"/>
      <c r="T79" s="3"/>
      <c r="U79" s="3"/>
      <c r="V79" s="3"/>
      <c r="W79" s="3"/>
      <c r="X79" s="3"/>
      <c r="Y79" s="3"/>
    </row>
    <row r="80">
      <c r="A80" s="7"/>
      <c r="B80" s="6"/>
      <c r="C80" s="6"/>
      <c r="D80" s="3"/>
      <c r="E80" s="3"/>
      <c r="F80" s="3"/>
      <c r="G80" s="3"/>
      <c r="H80" s="3"/>
      <c r="I80" s="3"/>
      <c r="J80" s="3"/>
      <c r="K80" s="3"/>
      <c r="L80" s="3"/>
      <c r="M80" s="3"/>
      <c r="N80" s="3"/>
      <c r="O80" s="3"/>
      <c r="P80" s="3"/>
      <c r="Q80" s="3"/>
      <c r="R80" s="3"/>
      <c r="S80" s="3"/>
      <c r="T80" s="3"/>
      <c r="U80" s="3"/>
      <c r="V80" s="3"/>
      <c r="W80" s="3"/>
      <c r="X80" s="3"/>
      <c r="Y80" s="3"/>
    </row>
    <row r="81">
      <c r="A81" s="7"/>
      <c r="B81" s="6"/>
      <c r="C81" s="6"/>
      <c r="D81" s="3"/>
      <c r="E81" s="3"/>
      <c r="F81" s="3"/>
      <c r="G81" s="3"/>
      <c r="H81" s="3"/>
      <c r="I81" s="3"/>
      <c r="J81" s="3"/>
      <c r="K81" s="3"/>
      <c r="L81" s="3"/>
      <c r="M81" s="3"/>
      <c r="N81" s="3"/>
      <c r="O81" s="3"/>
      <c r="P81" s="3"/>
      <c r="Q81" s="3"/>
      <c r="R81" s="3"/>
      <c r="S81" s="3"/>
      <c r="T81" s="3"/>
      <c r="U81" s="3"/>
      <c r="V81" s="3"/>
      <c r="W81" s="3"/>
      <c r="X81" s="3"/>
      <c r="Y81" s="3"/>
    </row>
    <row r="82">
      <c r="A82" s="7"/>
      <c r="B82" s="6"/>
      <c r="C82" s="6"/>
      <c r="D82" s="3"/>
      <c r="E82" s="3"/>
      <c r="F82" s="3"/>
      <c r="G82" s="3"/>
      <c r="H82" s="3"/>
      <c r="I82" s="3"/>
      <c r="J82" s="3"/>
      <c r="K82" s="3"/>
      <c r="L82" s="3"/>
      <c r="M82" s="3"/>
      <c r="N82" s="3"/>
      <c r="O82" s="3"/>
      <c r="P82" s="3"/>
      <c r="Q82" s="3"/>
      <c r="R82" s="3"/>
      <c r="S82" s="3"/>
      <c r="T82" s="3"/>
      <c r="U82" s="3"/>
      <c r="V82" s="3"/>
      <c r="W82" s="3"/>
      <c r="X82" s="3"/>
      <c r="Y82" s="3"/>
    </row>
    <row r="83">
      <c r="A83" s="7"/>
      <c r="B83" s="6"/>
      <c r="C83" s="6"/>
      <c r="D83" s="3"/>
      <c r="E83" s="3"/>
      <c r="F83" s="3"/>
      <c r="G83" s="3"/>
      <c r="H83" s="3"/>
      <c r="I83" s="3"/>
      <c r="J83" s="3"/>
      <c r="K83" s="3"/>
      <c r="L83" s="3"/>
      <c r="M83" s="3"/>
      <c r="N83" s="3"/>
      <c r="O83" s="3"/>
      <c r="P83" s="3"/>
      <c r="Q83" s="3"/>
      <c r="R83" s="3"/>
      <c r="S83" s="3"/>
      <c r="T83" s="3"/>
      <c r="U83" s="3"/>
      <c r="V83" s="3"/>
      <c r="W83" s="3"/>
      <c r="X83" s="3"/>
      <c r="Y83" s="3"/>
    </row>
    <row r="84">
      <c r="A84" s="7"/>
      <c r="B84" s="6"/>
      <c r="C84" s="6"/>
      <c r="D84" s="3"/>
      <c r="E84" s="3"/>
      <c r="F84" s="3"/>
      <c r="G84" s="3"/>
      <c r="H84" s="3"/>
      <c r="I84" s="3"/>
      <c r="J84" s="3"/>
      <c r="K84" s="3"/>
      <c r="L84" s="3"/>
      <c r="M84" s="3"/>
      <c r="N84" s="3"/>
      <c r="O84" s="3"/>
      <c r="P84" s="3"/>
      <c r="Q84" s="3"/>
      <c r="R84" s="3"/>
      <c r="S84" s="3"/>
      <c r="T84" s="3"/>
      <c r="U84" s="3"/>
      <c r="V84" s="3"/>
      <c r="W84" s="3"/>
      <c r="X84" s="3"/>
      <c r="Y84" s="3"/>
    </row>
    <row r="85">
      <c r="A85" s="7"/>
      <c r="B85" s="6"/>
      <c r="C85" s="6"/>
      <c r="D85" s="3"/>
      <c r="E85" s="3"/>
      <c r="F85" s="3"/>
      <c r="G85" s="3"/>
      <c r="H85" s="3"/>
      <c r="I85" s="3"/>
      <c r="J85" s="3"/>
      <c r="K85" s="3"/>
      <c r="L85" s="3"/>
      <c r="M85" s="3"/>
      <c r="N85" s="3"/>
      <c r="O85" s="3"/>
      <c r="P85" s="3"/>
      <c r="Q85" s="3"/>
      <c r="R85" s="3"/>
      <c r="S85" s="3"/>
      <c r="T85" s="3"/>
      <c r="U85" s="3"/>
      <c r="V85" s="3"/>
      <c r="W85" s="3"/>
      <c r="X85" s="3"/>
      <c r="Y85" s="3"/>
    </row>
    <row r="86">
      <c r="A86" s="7"/>
      <c r="B86" s="6"/>
      <c r="C86" s="6"/>
      <c r="D86" s="3"/>
      <c r="E86" s="3"/>
      <c r="F86" s="3"/>
      <c r="G86" s="3"/>
      <c r="H86" s="3"/>
      <c r="I86" s="3"/>
      <c r="J86" s="3"/>
      <c r="K86" s="3"/>
      <c r="L86" s="3"/>
      <c r="M86" s="3"/>
      <c r="N86" s="3"/>
      <c r="O86" s="3"/>
      <c r="P86" s="3"/>
      <c r="Q86" s="3"/>
      <c r="R86" s="3"/>
      <c r="S86" s="3"/>
      <c r="T86" s="3"/>
      <c r="U86" s="3"/>
      <c r="V86" s="3"/>
      <c r="W86" s="3"/>
      <c r="X86" s="3"/>
      <c r="Y86" s="3"/>
    </row>
    <row r="87">
      <c r="A87" s="7"/>
      <c r="B87" s="6"/>
      <c r="C87" s="6"/>
      <c r="D87" s="3"/>
      <c r="E87" s="3"/>
      <c r="F87" s="3"/>
      <c r="G87" s="3"/>
      <c r="H87" s="3"/>
      <c r="I87" s="3"/>
      <c r="J87" s="3"/>
      <c r="K87" s="3"/>
      <c r="L87" s="3"/>
      <c r="M87" s="3"/>
      <c r="N87" s="3"/>
      <c r="O87" s="3"/>
      <c r="P87" s="3"/>
      <c r="Q87" s="3"/>
      <c r="R87" s="3"/>
      <c r="S87" s="3"/>
      <c r="T87" s="3"/>
      <c r="U87" s="3"/>
      <c r="V87" s="3"/>
      <c r="W87" s="3"/>
      <c r="X87" s="3"/>
      <c r="Y87" s="3"/>
    </row>
    <row r="88">
      <c r="A88" s="7"/>
      <c r="B88" s="6"/>
      <c r="C88" s="6"/>
      <c r="D88" s="3"/>
      <c r="E88" s="3"/>
      <c r="F88" s="3"/>
      <c r="G88" s="3"/>
      <c r="H88" s="3"/>
      <c r="I88" s="3"/>
      <c r="J88" s="3"/>
      <c r="K88" s="3"/>
      <c r="L88" s="3"/>
      <c r="M88" s="3"/>
      <c r="N88" s="3"/>
      <c r="O88" s="3"/>
      <c r="P88" s="3"/>
      <c r="Q88" s="3"/>
      <c r="R88" s="3"/>
      <c r="S88" s="3"/>
      <c r="T88" s="3"/>
      <c r="U88" s="3"/>
      <c r="V88" s="3"/>
      <c r="W88" s="3"/>
      <c r="X88" s="3"/>
      <c r="Y88" s="3"/>
    </row>
    <row r="89">
      <c r="A89" s="7"/>
      <c r="B89" s="6"/>
      <c r="C89" s="6"/>
      <c r="D89" s="3"/>
      <c r="E89" s="3"/>
      <c r="F89" s="3"/>
      <c r="G89" s="3"/>
      <c r="H89" s="3"/>
      <c r="I89" s="3"/>
      <c r="J89" s="3"/>
      <c r="K89" s="3"/>
      <c r="L89" s="3"/>
      <c r="M89" s="3"/>
      <c r="N89" s="3"/>
      <c r="O89" s="3"/>
      <c r="P89" s="3"/>
      <c r="Q89" s="3"/>
      <c r="R89" s="3"/>
      <c r="S89" s="3"/>
      <c r="T89" s="3"/>
      <c r="U89" s="3"/>
      <c r="V89" s="3"/>
      <c r="W89" s="3"/>
      <c r="X89" s="3"/>
      <c r="Y89" s="3"/>
    </row>
    <row r="90">
      <c r="A90" s="7"/>
      <c r="B90" s="6"/>
      <c r="C90" s="6"/>
      <c r="D90" s="3"/>
      <c r="E90" s="3"/>
      <c r="F90" s="3"/>
      <c r="G90" s="3"/>
      <c r="H90" s="3"/>
      <c r="I90" s="3"/>
      <c r="J90" s="3"/>
      <c r="K90" s="3"/>
      <c r="L90" s="3"/>
      <c r="M90" s="3"/>
      <c r="N90" s="3"/>
      <c r="O90" s="3"/>
      <c r="P90" s="3"/>
      <c r="Q90" s="3"/>
      <c r="R90" s="3"/>
      <c r="S90" s="3"/>
      <c r="T90" s="3"/>
      <c r="U90" s="3"/>
      <c r="V90" s="3"/>
      <c r="W90" s="3"/>
      <c r="X90" s="3"/>
      <c r="Y90" s="3"/>
    </row>
    <row r="91">
      <c r="A91" s="7"/>
      <c r="B91" s="6"/>
      <c r="C91" s="6"/>
      <c r="D91" s="3"/>
      <c r="E91" s="3"/>
      <c r="F91" s="3"/>
      <c r="G91" s="3"/>
      <c r="H91" s="3"/>
      <c r="I91" s="3"/>
      <c r="J91" s="3"/>
      <c r="K91" s="3"/>
      <c r="L91" s="3"/>
      <c r="M91" s="3"/>
      <c r="N91" s="3"/>
      <c r="O91" s="3"/>
      <c r="P91" s="3"/>
      <c r="Q91" s="3"/>
      <c r="R91" s="3"/>
      <c r="S91" s="3"/>
      <c r="T91" s="3"/>
      <c r="U91" s="3"/>
      <c r="V91" s="3"/>
      <c r="W91" s="3"/>
      <c r="X91" s="3"/>
      <c r="Y91" s="3"/>
    </row>
    <row r="92">
      <c r="A92" s="7"/>
      <c r="B92" s="6"/>
      <c r="C92" s="6"/>
      <c r="D92" s="3"/>
      <c r="E92" s="3"/>
      <c r="F92" s="3"/>
      <c r="G92" s="3"/>
      <c r="H92" s="3"/>
      <c r="I92" s="3"/>
      <c r="J92" s="3"/>
      <c r="K92" s="3"/>
      <c r="L92" s="3"/>
      <c r="M92" s="3"/>
      <c r="N92" s="3"/>
      <c r="O92" s="3"/>
      <c r="P92" s="3"/>
      <c r="Q92" s="3"/>
      <c r="R92" s="3"/>
      <c r="S92" s="3"/>
      <c r="T92" s="3"/>
      <c r="U92" s="3"/>
      <c r="V92" s="3"/>
      <c r="W92" s="3"/>
      <c r="X92" s="3"/>
      <c r="Y92" s="3"/>
    </row>
    <row r="93">
      <c r="A93" s="7"/>
      <c r="B93" s="6"/>
      <c r="C93" s="6"/>
      <c r="D93" s="3"/>
      <c r="E93" s="3"/>
      <c r="F93" s="3"/>
      <c r="G93" s="3"/>
      <c r="H93" s="3"/>
      <c r="I93" s="3"/>
      <c r="J93" s="3"/>
      <c r="K93" s="3"/>
      <c r="L93" s="3"/>
      <c r="M93" s="3"/>
      <c r="N93" s="3"/>
      <c r="O93" s="3"/>
      <c r="P93" s="3"/>
      <c r="Q93" s="3"/>
      <c r="R93" s="3"/>
      <c r="S93" s="3"/>
      <c r="T93" s="3"/>
      <c r="U93" s="3"/>
      <c r="V93" s="3"/>
      <c r="W93" s="3"/>
      <c r="X93" s="3"/>
      <c r="Y93" s="3"/>
    </row>
    <row r="94">
      <c r="A94" s="7"/>
      <c r="B94" s="6"/>
      <c r="C94" s="6"/>
      <c r="D94" s="3"/>
      <c r="E94" s="3"/>
      <c r="F94" s="3"/>
      <c r="G94" s="3"/>
      <c r="H94" s="3"/>
      <c r="I94" s="3"/>
      <c r="J94" s="3"/>
      <c r="K94" s="3"/>
      <c r="L94" s="3"/>
      <c r="M94" s="3"/>
      <c r="N94" s="3"/>
      <c r="O94" s="3"/>
      <c r="P94" s="3"/>
      <c r="Q94" s="3"/>
      <c r="R94" s="3"/>
      <c r="S94" s="3"/>
      <c r="T94" s="3"/>
      <c r="U94" s="3"/>
      <c r="V94" s="3"/>
      <c r="W94" s="3"/>
      <c r="X94" s="3"/>
      <c r="Y94" s="3"/>
    </row>
    <row r="95">
      <c r="A95" s="7"/>
      <c r="B95" s="6"/>
      <c r="C95" s="6"/>
      <c r="D95" s="3"/>
      <c r="E95" s="3"/>
      <c r="F95" s="3"/>
      <c r="G95" s="3"/>
      <c r="H95" s="3"/>
      <c r="I95" s="3"/>
      <c r="J95" s="3"/>
      <c r="K95" s="3"/>
      <c r="L95" s="3"/>
      <c r="M95" s="3"/>
      <c r="N95" s="3"/>
      <c r="O95" s="3"/>
      <c r="P95" s="3"/>
      <c r="Q95" s="3"/>
      <c r="R95" s="3"/>
      <c r="S95" s="3"/>
      <c r="T95" s="3"/>
      <c r="U95" s="3"/>
      <c r="V95" s="3"/>
      <c r="W95" s="3"/>
      <c r="X95" s="3"/>
      <c r="Y95" s="3"/>
    </row>
    <row r="96">
      <c r="A96" s="7"/>
      <c r="B96" s="6"/>
      <c r="C96" s="6"/>
      <c r="D96" s="3"/>
      <c r="E96" s="3"/>
      <c r="F96" s="3"/>
      <c r="G96" s="3"/>
      <c r="H96" s="3"/>
      <c r="I96" s="3"/>
      <c r="J96" s="3"/>
      <c r="K96" s="3"/>
      <c r="L96" s="3"/>
      <c r="M96" s="3"/>
      <c r="N96" s="3"/>
      <c r="O96" s="3"/>
      <c r="P96" s="3"/>
      <c r="Q96" s="3"/>
      <c r="R96" s="3"/>
      <c r="S96" s="3"/>
      <c r="T96" s="3"/>
      <c r="U96" s="3"/>
      <c r="V96" s="3"/>
      <c r="W96" s="3"/>
      <c r="X96" s="3"/>
      <c r="Y96" s="3"/>
    </row>
    <row r="97">
      <c r="A97" s="7"/>
      <c r="B97" s="6"/>
      <c r="C97" s="6"/>
      <c r="D97" s="3"/>
      <c r="E97" s="3"/>
      <c r="F97" s="3"/>
      <c r="G97" s="3"/>
      <c r="H97" s="3"/>
      <c r="I97" s="3"/>
      <c r="J97" s="3"/>
      <c r="K97" s="3"/>
      <c r="L97" s="3"/>
      <c r="M97" s="3"/>
      <c r="N97" s="3"/>
      <c r="O97" s="3"/>
      <c r="P97" s="3"/>
      <c r="Q97" s="3"/>
      <c r="R97" s="3"/>
      <c r="S97" s="3"/>
      <c r="T97" s="3"/>
      <c r="U97" s="3"/>
      <c r="V97" s="3"/>
      <c r="W97" s="3"/>
      <c r="X97" s="3"/>
      <c r="Y97" s="3"/>
    </row>
    <row r="98">
      <c r="A98" s="7"/>
      <c r="B98" s="6"/>
      <c r="C98" s="6"/>
      <c r="D98" s="3"/>
      <c r="E98" s="3"/>
      <c r="F98" s="3"/>
      <c r="G98" s="3"/>
      <c r="H98" s="3"/>
      <c r="I98" s="3"/>
      <c r="J98" s="3"/>
      <c r="K98" s="3"/>
      <c r="L98" s="3"/>
      <c r="M98" s="3"/>
      <c r="N98" s="3"/>
      <c r="O98" s="3"/>
      <c r="P98" s="3"/>
      <c r="Q98" s="3"/>
      <c r="R98" s="3"/>
      <c r="S98" s="3"/>
      <c r="T98" s="3"/>
      <c r="U98" s="3"/>
      <c r="V98" s="3"/>
      <c r="W98" s="3"/>
      <c r="X98" s="3"/>
      <c r="Y98" s="3"/>
    </row>
    <row r="99">
      <c r="A99" s="7"/>
      <c r="B99" s="6"/>
      <c r="C99" s="6"/>
      <c r="D99" s="3"/>
      <c r="E99" s="3"/>
      <c r="F99" s="3"/>
      <c r="G99" s="3"/>
      <c r="H99" s="3"/>
      <c r="I99" s="3"/>
      <c r="J99" s="3"/>
      <c r="K99" s="3"/>
      <c r="L99" s="3"/>
      <c r="M99" s="3"/>
      <c r="N99" s="3"/>
      <c r="O99" s="3"/>
      <c r="P99" s="3"/>
      <c r="Q99" s="3"/>
      <c r="R99" s="3"/>
      <c r="S99" s="3"/>
      <c r="T99" s="3"/>
      <c r="U99" s="3"/>
      <c r="V99" s="3"/>
      <c r="W99" s="3"/>
      <c r="X99" s="3"/>
      <c r="Y99" s="3"/>
    </row>
    <row r="100">
      <c r="A100" s="7"/>
      <c r="B100" s="6"/>
      <c r="C100" s="6"/>
      <c r="D100" s="3"/>
      <c r="E100" s="3"/>
      <c r="F100" s="3"/>
      <c r="G100" s="3"/>
      <c r="H100" s="3"/>
      <c r="I100" s="3"/>
      <c r="J100" s="3"/>
      <c r="K100" s="3"/>
      <c r="L100" s="3"/>
      <c r="M100" s="3"/>
      <c r="N100" s="3"/>
      <c r="O100" s="3"/>
      <c r="P100" s="3"/>
      <c r="Q100" s="3"/>
      <c r="R100" s="3"/>
      <c r="S100" s="3"/>
      <c r="T100" s="3"/>
      <c r="U100" s="3"/>
      <c r="V100" s="3"/>
      <c r="W100" s="3"/>
      <c r="X100" s="3"/>
      <c r="Y100" s="3"/>
    </row>
    <row r="101">
      <c r="A101" s="7"/>
      <c r="B101" s="6"/>
      <c r="C101" s="6"/>
      <c r="D101" s="3"/>
      <c r="E101" s="3"/>
      <c r="F101" s="3"/>
      <c r="G101" s="3"/>
      <c r="H101" s="3"/>
      <c r="I101" s="3"/>
      <c r="J101" s="3"/>
      <c r="K101" s="3"/>
      <c r="L101" s="3"/>
      <c r="M101" s="3"/>
      <c r="N101" s="3"/>
      <c r="O101" s="3"/>
      <c r="P101" s="3"/>
      <c r="Q101" s="3"/>
      <c r="R101" s="3"/>
      <c r="S101" s="3"/>
      <c r="T101" s="3"/>
      <c r="U101" s="3"/>
      <c r="V101" s="3"/>
      <c r="W101" s="3"/>
      <c r="X101" s="3"/>
      <c r="Y101" s="3"/>
    </row>
    <row r="102">
      <c r="A102" s="7"/>
      <c r="B102" s="6"/>
      <c r="C102" s="6"/>
      <c r="D102" s="3"/>
      <c r="E102" s="3"/>
      <c r="F102" s="3"/>
      <c r="G102" s="3"/>
      <c r="H102" s="3"/>
      <c r="I102" s="3"/>
      <c r="J102" s="3"/>
      <c r="K102" s="3"/>
      <c r="L102" s="3"/>
      <c r="M102" s="3"/>
      <c r="N102" s="3"/>
      <c r="O102" s="3"/>
      <c r="P102" s="3"/>
      <c r="Q102" s="3"/>
      <c r="R102" s="3"/>
      <c r="S102" s="3"/>
      <c r="T102" s="3"/>
      <c r="U102" s="3"/>
      <c r="V102" s="3"/>
      <c r="W102" s="3"/>
      <c r="X102" s="3"/>
      <c r="Y102" s="3"/>
    </row>
    <row r="103">
      <c r="A103" s="7"/>
      <c r="B103" s="6"/>
      <c r="C103" s="6"/>
      <c r="D103" s="3"/>
      <c r="E103" s="3"/>
      <c r="F103" s="3"/>
      <c r="G103" s="3"/>
      <c r="H103" s="3"/>
      <c r="I103" s="3"/>
      <c r="J103" s="3"/>
      <c r="K103" s="3"/>
      <c r="L103" s="3"/>
      <c r="M103" s="3"/>
      <c r="N103" s="3"/>
      <c r="O103" s="3"/>
      <c r="P103" s="3"/>
      <c r="Q103" s="3"/>
      <c r="R103" s="3"/>
      <c r="S103" s="3"/>
      <c r="T103" s="3"/>
      <c r="U103" s="3"/>
      <c r="V103" s="3"/>
      <c r="W103" s="3"/>
      <c r="X103" s="3"/>
      <c r="Y103" s="3"/>
    </row>
    <row r="104">
      <c r="A104" s="7"/>
      <c r="B104" s="6"/>
      <c r="C104" s="6"/>
      <c r="D104" s="3"/>
      <c r="E104" s="3"/>
      <c r="F104" s="3"/>
      <c r="G104" s="3"/>
      <c r="H104" s="3"/>
      <c r="I104" s="3"/>
      <c r="J104" s="3"/>
      <c r="K104" s="3"/>
      <c r="L104" s="3"/>
      <c r="M104" s="3"/>
      <c r="N104" s="3"/>
      <c r="O104" s="3"/>
      <c r="P104" s="3"/>
      <c r="Q104" s="3"/>
      <c r="R104" s="3"/>
      <c r="S104" s="3"/>
      <c r="T104" s="3"/>
      <c r="U104" s="3"/>
      <c r="V104" s="3"/>
      <c r="W104" s="3"/>
      <c r="X104" s="3"/>
      <c r="Y104" s="3"/>
    </row>
    <row r="105">
      <c r="A105" s="7"/>
      <c r="B105" s="6"/>
      <c r="C105" s="6"/>
      <c r="D105" s="3"/>
      <c r="E105" s="3"/>
      <c r="F105" s="3"/>
      <c r="G105" s="3"/>
      <c r="H105" s="3"/>
      <c r="I105" s="3"/>
      <c r="J105" s="3"/>
      <c r="K105" s="3"/>
      <c r="L105" s="3"/>
      <c r="M105" s="3"/>
      <c r="N105" s="3"/>
      <c r="O105" s="3"/>
      <c r="P105" s="3"/>
      <c r="Q105" s="3"/>
      <c r="R105" s="3"/>
      <c r="S105" s="3"/>
      <c r="T105" s="3"/>
      <c r="U105" s="3"/>
      <c r="V105" s="3"/>
      <c r="W105" s="3"/>
      <c r="X105" s="3"/>
      <c r="Y105" s="3"/>
    </row>
    <row r="106">
      <c r="A106" s="7"/>
      <c r="B106" s="6"/>
      <c r="C106" s="6"/>
      <c r="D106" s="3"/>
      <c r="E106" s="3"/>
      <c r="F106" s="3"/>
      <c r="G106" s="3"/>
      <c r="H106" s="3"/>
      <c r="I106" s="3"/>
      <c r="J106" s="3"/>
      <c r="K106" s="3"/>
      <c r="L106" s="3"/>
      <c r="M106" s="3"/>
      <c r="N106" s="3"/>
      <c r="O106" s="3"/>
      <c r="P106" s="3"/>
      <c r="Q106" s="3"/>
      <c r="R106" s="3"/>
      <c r="S106" s="3"/>
      <c r="T106" s="3"/>
      <c r="U106" s="3"/>
      <c r="V106" s="3"/>
      <c r="W106" s="3"/>
      <c r="X106" s="3"/>
      <c r="Y106" s="3"/>
    </row>
    <row r="107">
      <c r="A107" s="7"/>
      <c r="B107" s="6"/>
      <c r="C107" s="6"/>
      <c r="D107" s="3"/>
      <c r="E107" s="3"/>
      <c r="F107" s="3"/>
      <c r="G107" s="3"/>
      <c r="H107" s="3"/>
      <c r="I107" s="3"/>
      <c r="J107" s="3"/>
      <c r="K107" s="3"/>
      <c r="L107" s="3"/>
      <c r="M107" s="3"/>
      <c r="N107" s="3"/>
      <c r="O107" s="3"/>
      <c r="P107" s="3"/>
      <c r="Q107" s="3"/>
      <c r="R107" s="3"/>
      <c r="S107" s="3"/>
      <c r="T107" s="3"/>
      <c r="U107" s="3"/>
      <c r="V107" s="3"/>
      <c r="W107" s="3"/>
      <c r="X107" s="3"/>
      <c r="Y107" s="3"/>
    </row>
    <row r="108">
      <c r="A108" s="7"/>
      <c r="B108" s="6"/>
      <c r="C108" s="6"/>
      <c r="D108" s="3"/>
      <c r="E108" s="3"/>
      <c r="F108" s="3"/>
      <c r="G108" s="3"/>
      <c r="H108" s="3"/>
      <c r="I108" s="3"/>
      <c r="J108" s="3"/>
      <c r="K108" s="3"/>
      <c r="L108" s="3"/>
      <c r="M108" s="3"/>
      <c r="N108" s="3"/>
      <c r="O108" s="3"/>
      <c r="P108" s="3"/>
      <c r="Q108" s="3"/>
      <c r="R108" s="3"/>
      <c r="S108" s="3"/>
      <c r="T108" s="3"/>
      <c r="U108" s="3"/>
      <c r="V108" s="3"/>
      <c r="W108" s="3"/>
      <c r="X108" s="3"/>
      <c r="Y108" s="3"/>
    </row>
    <row r="109">
      <c r="A109" s="7"/>
      <c r="B109" s="6"/>
      <c r="C109" s="6"/>
      <c r="D109" s="3"/>
      <c r="E109" s="3"/>
      <c r="F109" s="3"/>
      <c r="G109" s="3"/>
      <c r="H109" s="3"/>
      <c r="I109" s="3"/>
      <c r="J109" s="3"/>
      <c r="K109" s="3"/>
      <c r="L109" s="3"/>
      <c r="M109" s="3"/>
      <c r="N109" s="3"/>
      <c r="O109" s="3"/>
      <c r="P109" s="3"/>
      <c r="Q109" s="3"/>
      <c r="R109" s="3"/>
      <c r="S109" s="3"/>
      <c r="T109" s="3"/>
      <c r="U109" s="3"/>
      <c r="V109" s="3"/>
      <c r="W109" s="3"/>
      <c r="X109" s="3"/>
      <c r="Y109" s="3"/>
    </row>
    <row r="110">
      <c r="A110" s="7"/>
      <c r="B110" s="6"/>
      <c r="C110" s="6"/>
      <c r="D110" s="3"/>
      <c r="E110" s="3"/>
      <c r="F110" s="3"/>
      <c r="G110" s="3"/>
      <c r="H110" s="3"/>
      <c r="I110" s="3"/>
      <c r="J110" s="3"/>
      <c r="K110" s="3"/>
      <c r="L110" s="3"/>
      <c r="M110" s="3"/>
      <c r="N110" s="3"/>
      <c r="O110" s="3"/>
      <c r="P110" s="3"/>
      <c r="Q110" s="3"/>
      <c r="R110" s="3"/>
      <c r="S110" s="3"/>
      <c r="T110" s="3"/>
      <c r="U110" s="3"/>
      <c r="V110" s="3"/>
      <c r="W110" s="3"/>
      <c r="X110" s="3"/>
      <c r="Y110" s="3"/>
    </row>
    <row r="111">
      <c r="A111" s="7"/>
      <c r="B111" s="6"/>
      <c r="C111" s="6"/>
      <c r="D111" s="3"/>
      <c r="E111" s="3"/>
      <c r="F111" s="3"/>
      <c r="G111" s="3"/>
      <c r="H111" s="3"/>
      <c r="I111" s="3"/>
      <c r="J111" s="3"/>
      <c r="K111" s="3"/>
      <c r="L111" s="3"/>
      <c r="M111" s="3"/>
      <c r="N111" s="3"/>
      <c r="O111" s="3"/>
      <c r="P111" s="3"/>
      <c r="Q111" s="3"/>
      <c r="R111" s="3"/>
      <c r="S111" s="3"/>
      <c r="T111" s="3"/>
      <c r="U111" s="3"/>
      <c r="V111" s="3"/>
      <c r="W111" s="3"/>
      <c r="X111" s="3"/>
      <c r="Y111" s="3"/>
    </row>
    <row r="112">
      <c r="A112" s="7"/>
      <c r="B112" s="6"/>
      <c r="C112" s="6"/>
      <c r="D112" s="3"/>
      <c r="E112" s="3"/>
      <c r="F112" s="3"/>
      <c r="G112" s="3"/>
      <c r="H112" s="3"/>
      <c r="I112" s="3"/>
      <c r="J112" s="3"/>
      <c r="K112" s="3"/>
      <c r="L112" s="3"/>
      <c r="M112" s="3"/>
      <c r="N112" s="3"/>
      <c r="O112" s="3"/>
      <c r="P112" s="3"/>
      <c r="Q112" s="3"/>
      <c r="R112" s="3"/>
      <c r="S112" s="3"/>
      <c r="T112" s="3"/>
      <c r="U112" s="3"/>
      <c r="V112" s="3"/>
      <c r="W112" s="3"/>
      <c r="X112" s="3"/>
      <c r="Y112" s="3"/>
    </row>
    <row r="113">
      <c r="A113" s="7"/>
      <c r="B113" s="6"/>
      <c r="C113" s="6"/>
      <c r="D113" s="3"/>
      <c r="E113" s="3"/>
      <c r="F113" s="3"/>
      <c r="G113" s="3"/>
      <c r="H113" s="3"/>
      <c r="I113" s="3"/>
      <c r="J113" s="3"/>
      <c r="K113" s="3"/>
      <c r="L113" s="3"/>
      <c r="M113" s="3"/>
      <c r="N113" s="3"/>
      <c r="O113" s="3"/>
      <c r="P113" s="3"/>
      <c r="Q113" s="3"/>
      <c r="R113" s="3"/>
      <c r="S113" s="3"/>
      <c r="T113" s="3"/>
      <c r="U113" s="3"/>
      <c r="V113" s="3"/>
      <c r="W113" s="3"/>
      <c r="X113" s="3"/>
      <c r="Y113" s="3"/>
    </row>
    <row r="114">
      <c r="A114" s="7"/>
      <c r="B114" s="6"/>
      <c r="C114" s="6"/>
      <c r="D114" s="3"/>
      <c r="E114" s="3"/>
      <c r="F114" s="3"/>
      <c r="G114" s="3"/>
      <c r="H114" s="3"/>
      <c r="I114" s="3"/>
      <c r="J114" s="3"/>
      <c r="K114" s="3"/>
      <c r="L114" s="3"/>
      <c r="M114" s="3"/>
      <c r="N114" s="3"/>
      <c r="O114" s="3"/>
      <c r="P114" s="3"/>
      <c r="Q114" s="3"/>
      <c r="R114" s="3"/>
      <c r="S114" s="3"/>
      <c r="T114" s="3"/>
      <c r="U114" s="3"/>
      <c r="V114" s="3"/>
      <c r="W114" s="3"/>
      <c r="X114" s="3"/>
      <c r="Y114" s="3"/>
    </row>
    <row r="115">
      <c r="A115" s="7"/>
      <c r="B115" s="6"/>
      <c r="C115" s="6"/>
      <c r="D115" s="3"/>
      <c r="E115" s="3"/>
      <c r="F115" s="3"/>
      <c r="G115" s="3"/>
      <c r="H115" s="3"/>
      <c r="I115" s="3"/>
      <c r="J115" s="3"/>
      <c r="K115" s="3"/>
      <c r="L115" s="3"/>
      <c r="M115" s="3"/>
      <c r="N115" s="3"/>
      <c r="O115" s="3"/>
      <c r="P115" s="3"/>
      <c r="Q115" s="3"/>
      <c r="R115" s="3"/>
      <c r="S115" s="3"/>
      <c r="T115" s="3"/>
      <c r="U115" s="3"/>
      <c r="V115" s="3"/>
      <c r="W115" s="3"/>
      <c r="X115" s="3"/>
      <c r="Y115" s="3"/>
    </row>
    <row r="116">
      <c r="A116" s="7"/>
      <c r="B116" s="6"/>
      <c r="C116" s="6"/>
      <c r="D116" s="3"/>
      <c r="E116" s="3"/>
      <c r="F116" s="3"/>
      <c r="G116" s="3"/>
      <c r="H116" s="3"/>
      <c r="I116" s="3"/>
      <c r="J116" s="3"/>
      <c r="K116" s="3"/>
      <c r="L116" s="3"/>
      <c r="M116" s="3"/>
      <c r="N116" s="3"/>
      <c r="O116" s="3"/>
      <c r="P116" s="3"/>
      <c r="Q116" s="3"/>
      <c r="R116" s="3"/>
      <c r="S116" s="3"/>
      <c r="T116" s="3"/>
      <c r="U116" s="3"/>
      <c r="V116" s="3"/>
      <c r="W116" s="3"/>
      <c r="X116" s="3"/>
      <c r="Y116" s="3"/>
    </row>
    <row r="117">
      <c r="A117" s="7"/>
      <c r="B117" s="6"/>
      <c r="C117" s="6"/>
      <c r="D117" s="3"/>
      <c r="E117" s="3"/>
      <c r="F117" s="3"/>
      <c r="G117" s="3"/>
      <c r="H117" s="3"/>
      <c r="I117" s="3"/>
      <c r="J117" s="3"/>
      <c r="K117" s="3"/>
      <c r="L117" s="3"/>
      <c r="M117" s="3"/>
      <c r="N117" s="3"/>
      <c r="O117" s="3"/>
      <c r="P117" s="3"/>
      <c r="Q117" s="3"/>
      <c r="R117" s="3"/>
      <c r="S117" s="3"/>
      <c r="T117" s="3"/>
      <c r="U117" s="3"/>
      <c r="V117" s="3"/>
      <c r="W117" s="3"/>
      <c r="X117" s="3"/>
      <c r="Y117" s="3"/>
    </row>
    <row r="118">
      <c r="A118" s="7"/>
      <c r="B118" s="6"/>
      <c r="C118" s="6"/>
      <c r="D118" s="3"/>
      <c r="E118" s="3"/>
      <c r="F118" s="3"/>
      <c r="G118" s="3"/>
      <c r="H118" s="3"/>
      <c r="I118" s="3"/>
      <c r="J118" s="3"/>
      <c r="K118" s="3"/>
      <c r="L118" s="3"/>
      <c r="M118" s="3"/>
      <c r="N118" s="3"/>
      <c r="O118" s="3"/>
      <c r="P118" s="3"/>
      <c r="Q118" s="3"/>
      <c r="R118" s="3"/>
      <c r="S118" s="3"/>
      <c r="T118" s="3"/>
      <c r="U118" s="3"/>
      <c r="V118" s="3"/>
      <c r="W118" s="3"/>
      <c r="X118" s="3"/>
      <c r="Y118" s="3"/>
    </row>
    <row r="119">
      <c r="A119" s="7"/>
      <c r="B119" s="6"/>
      <c r="C119" s="6"/>
      <c r="D119" s="3"/>
      <c r="E119" s="3"/>
      <c r="F119" s="3"/>
      <c r="G119" s="3"/>
      <c r="H119" s="3"/>
      <c r="I119" s="3"/>
      <c r="J119" s="3"/>
      <c r="K119" s="3"/>
      <c r="L119" s="3"/>
      <c r="M119" s="3"/>
      <c r="N119" s="3"/>
      <c r="O119" s="3"/>
      <c r="P119" s="3"/>
      <c r="Q119" s="3"/>
      <c r="R119" s="3"/>
      <c r="S119" s="3"/>
      <c r="T119" s="3"/>
      <c r="U119" s="3"/>
      <c r="V119" s="3"/>
      <c r="W119" s="3"/>
      <c r="X119" s="3"/>
      <c r="Y119" s="3"/>
    </row>
    <row r="120">
      <c r="A120" s="7"/>
      <c r="B120" s="6"/>
      <c r="C120" s="6"/>
      <c r="D120" s="3"/>
      <c r="E120" s="3"/>
      <c r="F120" s="3"/>
      <c r="G120" s="3"/>
      <c r="H120" s="3"/>
      <c r="I120" s="3"/>
      <c r="J120" s="3"/>
      <c r="K120" s="3"/>
      <c r="L120" s="3"/>
      <c r="M120" s="3"/>
      <c r="N120" s="3"/>
      <c r="O120" s="3"/>
      <c r="P120" s="3"/>
      <c r="Q120" s="3"/>
      <c r="R120" s="3"/>
      <c r="S120" s="3"/>
      <c r="T120" s="3"/>
      <c r="U120" s="3"/>
      <c r="V120" s="3"/>
      <c r="W120" s="3"/>
      <c r="X120" s="3"/>
      <c r="Y120" s="3"/>
    </row>
    <row r="121">
      <c r="A121" s="7"/>
      <c r="B121" s="6"/>
      <c r="C121" s="6"/>
      <c r="D121" s="3"/>
      <c r="E121" s="3"/>
      <c r="F121" s="3"/>
      <c r="G121" s="3"/>
      <c r="H121" s="3"/>
      <c r="I121" s="3"/>
      <c r="J121" s="3"/>
      <c r="K121" s="3"/>
      <c r="L121" s="3"/>
      <c r="M121" s="3"/>
      <c r="N121" s="3"/>
      <c r="O121" s="3"/>
      <c r="P121" s="3"/>
      <c r="Q121" s="3"/>
      <c r="R121" s="3"/>
      <c r="S121" s="3"/>
      <c r="T121" s="3"/>
      <c r="U121" s="3"/>
      <c r="V121" s="3"/>
      <c r="W121" s="3"/>
      <c r="X121" s="3"/>
      <c r="Y121" s="3"/>
    </row>
    <row r="122">
      <c r="A122" s="7"/>
      <c r="B122" s="6"/>
      <c r="C122" s="6"/>
      <c r="D122" s="3"/>
      <c r="E122" s="3"/>
      <c r="F122" s="3"/>
      <c r="G122" s="3"/>
      <c r="H122" s="3"/>
      <c r="I122" s="3"/>
      <c r="J122" s="3"/>
      <c r="K122" s="3"/>
      <c r="L122" s="3"/>
      <c r="M122" s="3"/>
      <c r="N122" s="3"/>
      <c r="O122" s="3"/>
      <c r="P122" s="3"/>
      <c r="Q122" s="3"/>
      <c r="R122" s="3"/>
      <c r="S122" s="3"/>
      <c r="T122" s="3"/>
      <c r="U122" s="3"/>
      <c r="V122" s="3"/>
      <c r="W122" s="3"/>
      <c r="X122" s="3"/>
      <c r="Y122" s="3"/>
    </row>
    <row r="123">
      <c r="A123" s="7"/>
      <c r="B123" s="6"/>
      <c r="C123" s="6"/>
      <c r="D123" s="3"/>
      <c r="E123" s="3"/>
      <c r="F123" s="3"/>
      <c r="G123" s="3"/>
      <c r="H123" s="3"/>
      <c r="I123" s="3"/>
      <c r="J123" s="3"/>
      <c r="K123" s="3"/>
      <c r="L123" s="3"/>
      <c r="M123" s="3"/>
      <c r="N123" s="3"/>
      <c r="O123" s="3"/>
      <c r="P123" s="3"/>
      <c r="Q123" s="3"/>
      <c r="R123" s="3"/>
      <c r="S123" s="3"/>
      <c r="T123" s="3"/>
      <c r="U123" s="3"/>
      <c r="V123" s="3"/>
      <c r="W123" s="3"/>
      <c r="X123" s="3"/>
      <c r="Y123" s="3"/>
    </row>
    <row r="124">
      <c r="A124" s="7"/>
      <c r="B124" s="6"/>
      <c r="C124" s="6"/>
      <c r="D124" s="3"/>
      <c r="E124" s="3"/>
      <c r="F124" s="3"/>
      <c r="G124" s="3"/>
      <c r="H124" s="3"/>
      <c r="I124" s="3"/>
      <c r="J124" s="3"/>
      <c r="K124" s="3"/>
      <c r="L124" s="3"/>
      <c r="M124" s="3"/>
      <c r="N124" s="3"/>
      <c r="O124" s="3"/>
      <c r="P124" s="3"/>
      <c r="Q124" s="3"/>
      <c r="R124" s="3"/>
      <c r="S124" s="3"/>
      <c r="T124" s="3"/>
      <c r="U124" s="3"/>
      <c r="V124" s="3"/>
      <c r="W124" s="3"/>
      <c r="X124" s="3"/>
      <c r="Y124" s="3"/>
    </row>
    <row r="125">
      <c r="A125" s="7"/>
      <c r="B125" s="6"/>
      <c r="C125" s="6"/>
      <c r="D125" s="3"/>
      <c r="E125" s="3"/>
      <c r="F125" s="3"/>
      <c r="G125" s="3"/>
      <c r="H125" s="3"/>
      <c r="I125" s="3"/>
      <c r="J125" s="3"/>
      <c r="K125" s="3"/>
      <c r="L125" s="3"/>
      <c r="M125" s="3"/>
      <c r="N125" s="3"/>
      <c r="O125" s="3"/>
      <c r="P125" s="3"/>
      <c r="Q125" s="3"/>
      <c r="R125" s="3"/>
      <c r="S125" s="3"/>
      <c r="T125" s="3"/>
      <c r="U125" s="3"/>
      <c r="V125" s="3"/>
      <c r="W125" s="3"/>
      <c r="X125" s="3"/>
      <c r="Y125" s="3"/>
    </row>
    <row r="126">
      <c r="A126" s="7"/>
      <c r="B126" s="6"/>
      <c r="C126" s="6"/>
      <c r="D126" s="3"/>
      <c r="E126" s="3"/>
      <c r="F126" s="3"/>
      <c r="G126" s="3"/>
      <c r="H126" s="3"/>
      <c r="I126" s="3"/>
      <c r="J126" s="3"/>
      <c r="K126" s="3"/>
      <c r="L126" s="3"/>
      <c r="M126" s="3"/>
      <c r="N126" s="3"/>
      <c r="O126" s="3"/>
      <c r="P126" s="3"/>
      <c r="Q126" s="3"/>
      <c r="R126" s="3"/>
      <c r="S126" s="3"/>
      <c r="T126" s="3"/>
      <c r="U126" s="3"/>
      <c r="V126" s="3"/>
      <c r="W126" s="3"/>
      <c r="X126" s="3"/>
      <c r="Y126" s="3"/>
    </row>
    <row r="127">
      <c r="A127" s="7"/>
      <c r="B127" s="6"/>
      <c r="C127" s="6"/>
      <c r="D127" s="3"/>
      <c r="E127" s="3"/>
      <c r="F127" s="3"/>
      <c r="G127" s="3"/>
      <c r="H127" s="3"/>
      <c r="I127" s="3"/>
      <c r="J127" s="3"/>
      <c r="K127" s="3"/>
      <c r="L127" s="3"/>
      <c r="M127" s="3"/>
      <c r="N127" s="3"/>
      <c r="O127" s="3"/>
      <c r="P127" s="3"/>
      <c r="Q127" s="3"/>
      <c r="R127" s="3"/>
      <c r="S127" s="3"/>
      <c r="T127" s="3"/>
      <c r="U127" s="3"/>
      <c r="V127" s="3"/>
      <c r="W127" s="3"/>
      <c r="X127" s="3"/>
      <c r="Y127" s="3"/>
    </row>
    <row r="128">
      <c r="A128" s="7"/>
      <c r="B128" s="6"/>
      <c r="C128" s="6"/>
      <c r="D128" s="3"/>
      <c r="E128" s="3"/>
      <c r="F128" s="3"/>
      <c r="G128" s="3"/>
      <c r="H128" s="3"/>
      <c r="I128" s="3"/>
      <c r="J128" s="3"/>
      <c r="K128" s="3"/>
      <c r="L128" s="3"/>
      <c r="M128" s="3"/>
      <c r="N128" s="3"/>
      <c r="O128" s="3"/>
      <c r="P128" s="3"/>
      <c r="Q128" s="3"/>
      <c r="R128" s="3"/>
      <c r="S128" s="3"/>
      <c r="T128" s="3"/>
      <c r="U128" s="3"/>
      <c r="V128" s="3"/>
      <c r="W128" s="3"/>
      <c r="X128" s="3"/>
      <c r="Y128" s="3"/>
    </row>
    <row r="129">
      <c r="A129" s="7"/>
      <c r="B129" s="6"/>
      <c r="C129" s="6"/>
      <c r="D129" s="3"/>
      <c r="E129" s="3"/>
      <c r="F129" s="3"/>
      <c r="G129" s="3"/>
      <c r="H129" s="3"/>
      <c r="I129" s="3"/>
      <c r="J129" s="3"/>
      <c r="K129" s="3"/>
      <c r="L129" s="3"/>
      <c r="M129" s="3"/>
      <c r="N129" s="3"/>
      <c r="O129" s="3"/>
      <c r="P129" s="3"/>
      <c r="Q129" s="3"/>
      <c r="R129" s="3"/>
      <c r="S129" s="3"/>
      <c r="T129" s="3"/>
      <c r="U129" s="3"/>
      <c r="V129" s="3"/>
      <c r="W129" s="3"/>
      <c r="X129" s="3"/>
      <c r="Y129" s="3"/>
    </row>
    <row r="130">
      <c r="A130" s="7"/>
      <c r="B130" s="6"/>
      <c r="C130" s="6"/>
      <c r="D130" s="3"/>
      <c r="E130" s="3"/>
      <c r="F130" s="3"/>
      <c r="G130" s="3"/>
      <c r="H130" s="3"/>
      <c r="I130" s="3"/>
      <c r="J130" s="3"/>
      <c r="K130" s="3"/>
      <c r="L130" s="3"/>
      <c r="M130" s="3"/>
      <c r="N130" s="3"/>
      <c r="O130" s="3"/>
      <c r="P130" s="3"/>
      <c r="Q130" s="3"/>
      <c r="R130" s="3"/>
      <c r="S130" s="3"/>
      <c r="T130" s="3"/>
      <c r="U130" s="3"/>
      <c r="V130" s="3"/>
      <c r="W130" s="3"/>
      <c r="X130" s="3"/>
      <c r="Y130" s="3"/>
    </row>
    <row r="131">
      <c r="A131" s="7"/>
      <c r="B131" s="6"/>
      <c r="C131" s="6"/>
      <c r="D131" s="3"/>
      <c r="E131" s="3"/>
      <c r="F131" s="3"/>
      <c r="G131" s="3"/>
      <c r="H131" s="3"/>
      <c r="I131" s="3"/>
      <c r="J131" s="3"/>
      <c r="K131" s="3"/>
      <c r="L131" s="3"/>
      <c r="M131" s="3"/>
      <c r="N131" s="3"/>
      <c r="O131" s="3"/>
      <c r="P131" s="3"/>
      <c r="Q131" s="3"/>
      <c r="R131" s="3"/>
      <c r="S131" s="3"/>
      <c r="T131" s="3"/>
      <c r="U131" s="3"/>
      <c r="V131" s="3"/>
      <c r="W131" s="3"/>
      <c r="X131" s="3"/>
      <c r="Y131" s="3"/>
    </row>
    <row r="132">
      <c r="A132" s="7"/>
      <c r="B132" s="6"/>
      <c r="C132" s="6"/>
      <c r="D132" s="3"/>
      <c r="E132" s="3"/>
      <c r="F132" s="3"/>
      <c r="G132" s="3"/>
      <c r="H132" s="3"/>
      <c r="I132" s="3"/>
      <c r="J132" s="3"/>
      <c r="K132" s="3"/>
      <c r="L132" s="3"/>
      <c r="M132" s="3"/>
      <c r="N132" s="3"/>
      <c r="O132" s="3"/>
      <c r="P132" s="3"/>
      <c r="Q132" s="3"/>
      <c r="R132" s="3"/>
      <c r="S132" s="3"/>
      <c r="T132" s="3"/>
      <c r="U132" s="3"/>
      <c r="V132" s="3"/>
      <c r="W132" s="3"/>
      <c r="X132" s="3"/>
      <c r="Y132" s="3"/>
    </row>
    <row r="133">
      <c r="A133" s="7"/>
      <c r="B133" s="6"/>
      <c r="C133" s="6"/>
      <c r="D133" s="3"/>
      <c r="E133" s="3"/>
      <c r="F133" s="3"/>
      <c r="G133" s="3"/>
      <c r="H133" s="3"/>
      <c r="I133" s="3"/>
      <c r="J133" s="3"/>
      <c r="K133" s="3"/>
      <c r="L133" s="3"/>
      <c r="M133" s="3"/>
      <c r="N133" s="3"/>
      <c r="O133" s="3"/>
      <c r="P133" s="3"/>
      <c r="Q133" s="3"/>
      <c r="R133" s="3"/>
      <c r="S133" s="3"/>
      <c r="T133" s="3"/>
      <c r="U133" s="3"/>
      <c r="V133" s="3"/>
      <c r="W133" s="3"/>
      <c r="X133" s="3"/>
      <c r="Y133" s="3"/>
    </row>
    <row r="134">
      <c r="A134" s="7"/>
      <c r="B134" s="6"/>
      <c r="C134" s="6"/>
      <c r="D134" s="3"/>
      <c r="E134" s="3"/>
      <c r="F134" s="3"/>
      <c r="G134" s="3"/>
      <c r="H134" s="3"/>
      <c r="I134" s="3"/>
      <c r="J134" s="3"/>
      <c r="K134" s="3"/>
      <c r="L134" s="3"/>
      <c r="M134" s="3"/>
      <c r="N134" s="3"/>
      <c r="O134" s="3"/>
      <c r="P134" s="3"/>
      <c r="Q134" s="3"/>
      <c r="R134" s="3"/>
      <c r="S134" s="3"/>
      <c r="T134" s="3"/>
      <c r="U134" s="3"/>
      <c r="V134" s="3"/>
      <c r="W134" s="3"/>
      <c r="X134" s="3"/>
      <c r="Y134" s="3"/>
    </row>
    <row r="135">
      <c r="A135" s="7"/>
      <c r="B135" s="6"/>
      <c r="C135" s="6"/>
      <c r="D135" s="3"/>
      <c r="E135" s="3"/>
      <c r="F135" s="3"/>
      <c r="G135" s="3"/>
      <c r="H135" s="3"/>
      <c r="I135" s="3"/>
      <c r="J135" s="3"/>
      <c r="K135" s="3"/>
      <c r="L135" s="3"/>
      <c r="M135" s="3"/>
      <c r="N135" s="3"/>
      <c r="O135" s="3"/>
      <c r="P135" s="3"/>
      <c r="Q135" s="3"/>
      <c r="R135" s="3"/>
      <c r="S135" s="3"/>
      <c r="T135" s="3"/>
      <c r="U135" s="3"/>
      <c r="V135" s="3"/>
      <c r="W135" s="3"/>
      <c r="X135" s="3"/>
      <c r="Y135" s="3"/>
    </row>
    <row r="136">
      <c r="A136" s="7"/>
      <c r="B136" s="6"/>
      <c r="C136" s="6"/>
      <c r="D136" s="3"/>
      <c r="E136" s="3"/>
      <c r="F136" s="3"/>
      <c r="G136" s="3"/>
      <c r="H136" s="3"/>
      <c r="I136" s="3"/>
      <c r="J136" s="3"/>
      <c r="K136" s="3"/>
      <c r="L136" s="3"/>
      <c r="M136" s="3"/>
      <c r="N136" s="3"/>
      <c r="O136" s="3"/>
      <c r="P136" s="3"/>
      <c r="Q136" s="3"/>
      <c r="R136" s="3"/>
      <c r="S136" s="3"/>
      <c r="T136" s="3"/>
      <c r="U136" s="3"/>
      <c r="V136" s="3"/>
      <c r="W136" s="3"/>
      <c r="X136" s="3"/>
      <c r="Y136" s="3"/>
    </row>
    <row r="137">
      <c r="A137" s="7"/>
      <c r="B137" s="6"/>
      <c r="C137" s="6"/>
      <c r="D137" s="3"/>
      <c r="E137" s="3"/>
      <c r="F137" s="3"/>
      <c r="G137" s="3"/>
      <c r="H137" s="3"/>
      <c r="I137" s="3"/>
      <c r="J137" s="3"/>
      <c r="K137" s="3"/>
      <c r="L137" s="3"/>
      <c r="M137" s="3"/>
      <c r="N137" s="3"/>
      <c r="O137" s="3"/>
      <c r="P137" s="3"/>
      <c r="Q137" s="3"/>
      <c r="R137" s="3"/>
      <c r="S137" s="3"/>
      <c r="T137" s="3"/>
      <c r="U137" s="3"/>
      <c r="V137" s="3"/>
      <c r="W137" s="3"/>
      <c r="X137" s="3"/>
      <c r="Y137" s="3"/>
    </row>
    <row r="138">
      <c r="A138" s="7"/>
      <c r="B138" s="6"/>
      <c r="C138" s="6"/>
      <c r="D138" s="3"/>
      <c r="E138" s="3"/>
      <c r="F138" s="3"/>
      <c r="G138" s="3"/>
      <c r="H138" s="3"/>
      <c r="I138" s="3"/>
      <c r="J138" s="3"/>
      <c r="K138" s="3"/>
      <c r="L138" s="3"/>
      <c r="M138" s="3"/>
      <c r="N138" s="3"/>
      <c r="O138" s="3"/>
      <c r="P138" s="3"/>
      <c r="Q138" s="3"/>
      <c r="R138" s="3"/>
      <c r="S138" s="3"/>
      <c r="T138" s="3"/>
      <c r="U138" s="3"/>
      <c r="V138" s="3"/>
      <c r="W138" s="3"/>
      <c r="X138" s="3"/>
      <c r="Y138" s="3"/>
    </row>
    <row r="139">
      <c r="A139" s="7"/>
      <c r="B139" s="6"/>
      <c r="C139" s="6"/>
      <c r="D139" s="3"/>
      <c r="E139" s="3"/>
      <c r="F139" s="3"/>
      <c r="G139" s="3"/>
      <c r="H139" s="3"/>
      <c r="I139" s="3"/>
      <c r="J139" s="3"/>
      <c r="K139" s="3"/>
      <c r="L139" s="3"/>
      <c r="M139" s="3"/>
      <c r="N139" s="3"/>
      <c r="O139" s="3"/>
      <c r="P139" s="3"/>
      <c r="Q139" s="3"/>
      <c r="R139" s="3"/>
      <c r="S139" s="3"/>
      <c r="T139" s="3"/>
      <c r="U139" s="3"/>
      <c r="V139" s="3"/>
      <c r="W139" s="3"/>
      <c r="X139" s="3"/>
      <c r="Y139" s="3"/>
    </row>
    <row r="140">
      <c r="A140" s="7"/>
      <c r="B140" s="6"/>
      <c r="C140" s="6"/>
      <c r="D140" s="3"/>
      <c r="E140" s="3"/>
      <c r="F140" s="3"/>
      <c r="G140" s="3"/>
      <c r="H140" s="3"/>
      <c r="I140" s="3"/>
      <c r="J140" s="3"/>
      <c r="K140" s="3"/>
      <c r="L140" s="3"/>
      <c r="M140" s="3"/>
      <c r="N140" s="3"/>
      <c r="O140" s="3"/>
      <c r="P140" s="3"/>
      <c r="Q140" s="3"/>
      <c r="R140" s="3"/>
      <c r="S140" s="3"/>
      <c r="T140" s="3"/>
      <c r="U140" s="3"/>
      <c r="V140" s="3"/>
      <c r="W140" s="3"/>
      <c r="X140" s="3"/>
      <c r="Y140" s="3"/>
    </row>
    <row r="141">
      <c r="A141" s="7"/>
      <c r="B141" s="6"/>
      <c r="C141" s="6"/>
      <c r="D141" s="3"/>
      <c r="E141" s="3"/>
      <c r="F141" s="3"/>
      <c r="G141" s="3"/>
      <c r="H141" s="3"/>
      <c r="I141" s="3"/>
      <c r="J141" s="3"/>
      <c r="K141" s="3"/>
      <c r="L141" s="3"/>
      <c r="M141" s="3"/>
      <c r="N141" s="3"/>
      <c r="O141" s="3"/>
      <c r="P141" s="3"/>
      <c r="Q141" s="3"/>
      <c r="R141" s="3"/>
      <c r="S141" s="3"/>
      <c r="T141" s="3"/>
      <c r="U141" s="3"/>
      <c r="V141" s="3"/>
      <c r="W141" s="3"/>
      <c r="X141" s="3"/>
      <c r="Y141" s="3"/>
    </row>
    <row r="142">
      <c r="A142" s="7"/>
      <c r="B142" s="6"/>
      <c r="C142" s="6"/>
      <c r="D142" s="3"/>
      <c r="E142" s="3"/>
      <c r="F142" s="3"/>
      <c r="G142" s="3"/>
      <c r="H142" s="3"/>
      <c r="I142" s="3"/>
      <c r="J142" s="3"/>
      <c r="K142" s="3"/>
      <c r="L142" s="3"/>
      <c r="M142" s="3"/>
      <c r="N142" s="3"/>
      <c r="O142" s="3"/>
      <c r="P142" s="3"/>
      <c r="Q142" s="3"/>
      <c r="R142" s="3"/>
      <c r="S142" s="3"/>
      <c r="T142" s="3"/>
      <c r="U142" s="3"/>
      <c r="V142" s="3"/>
      <c r="W142" s="3"/>
      <c r="X142" s="3"/>
      <c r="Y142" s="3"/>
    </row>
    <row r="143">
      <c r="A143" s="7"/>
      <c r="B143" s="6"/>
      <c r="C143" s="6"/>
      <c r="D143" s="3"/>
      <c r="E143" s="3"/>
      <c r="F143" s="3"/>
      <c r="G143" s="3"/>
      <c r="H143" s="3"/>
      <c r="I143" s="3"/>
      <c r="J143" s="3"/>
      <c r="K143" s="3"/>
      <c r="L143" s="3"/>
      <c r="M143" s="3"/>
      <c r="N143" s="3"/>
      <c r="O143" s="3"/>
      <c r="P143" s="3"/>
      <c r="Q143" s="3"/>
      <c r="R143" s="3"/>
      <c r="S143" s="3"/>
      <c r="T143" s="3"/>
      <c r="U143" s="3"/>
      <c r="V143" s="3"/>
      <c r="W143" s="3"/>
      <c r="X143" s="3"/>
      <c r="Y143" s="3"/>
    </row>
    <row r="144">
      <c r="A144" s="7"/>
      <c r="B144" s="6"/>
      <c r="C144" s="6"/>
      <c r="D144" s="3"/>
      <c r="E144" s="3"/>
      <c r="F144" s="3"/>
      <c r="G144" s="3"/>
      <c r="H144" s="3"/>
      <c r="I144" s="3"/>
      <c r="J144" s="3"/>
      <c r="K144" s="3"/>
      <c r="L144" s="3"/>
      <c r="M144" s="3"/>
      <c r="N144" s="3"/>
      <c r="O144" s="3"/>
      <c r="P144" s="3"/>
      <c r="Q144" s="3"/>
      <c r="R144" s="3"/>
      <c r="S144" s="3"/>
      <c r="T144" s="3"/>
      <c r="U144" s="3"/>
      <c r="V144" s="3"/>
      <c r="W144" s="3"/>
      <c r="X144" s="3"/>
      <c r="Y144" s="3"/>
    </row>
    <row r="145">
      <c r="A145" s="7"/>
      <c r="B145" s="6"/>
      <c r="C145" s="6"/>
      <c r="D145" s="3"/>
      <c r="E145" s="3"/>
      <c r="F145" s="3"/>
      <c r="G145" s="3"/>
      <c r="H145" s="3"/>
      <c r="I145" s="3"/>
      <c r="J145" s="3"/>
      <c r="K145" s="3"/>
      <c r="L145" s="3"/>
      <c r="M145" s="3"/>
      <c r="N145" s="3"/>
      <c r="O145" s="3"/>
      <c r="P145" s="3"/>
      <c r="Q145" s="3"/>
      <c r="R145" s="3"/>
      <c r="S145" s="3"/>
      <c r="T145" s="3"/>
      <c r="U145" s="3"/>
      <c r="V145" s="3"/>
      <c r="W145" s="3"/>
      <c r="X145" s="3"/>
      <c r="Y145" s="3"/>
    </row>
    <row r="146">
      <c r="A146" s="7"/>
      <c r="B146" s="6"/>
      <c r="C146" s="6"/>
      <c r="D146" s="3"/>
      <c r="E146" s="3"/>
      <c r="F146" s="3"/>
      <c r="G146" s="3"/>
      <c r="H146" s="3"/>
      <c r="I146" s="3"/>
      <c r="J146" s="3"/>
      <c r="K146" s="3"/>
      <c r="L146" s="3"/>
      <c r="M146" s="3"/>
      <c r="N146" s="3"/>
      <c r="O146" s="3"/>
      <c r="P146" s="3"/>
      <c r="Q146" s="3"/>
      <c r="R146" s="3"/>
      <c r="S146" s="3"/>
      <c r="T146" s="3"/>
      <c r="U146" s="3"/>
      <c r="V146" s="3"/>
      <c r="W146" s="3"/>
      <c r="X146" s="3"/>
      <c r="Y146" s="3"/>
    </row>
    <row r="147">
      <c r="A147" s="7"/>
      <c r="B147" s="6"/>
      <c r="C147" s="6"/>
      <c r="D147" s="3"/>
      <c r="E147" s="3"/>
      <c r="F147" s="3"/>
      <c r="G147" s="3"/>
      <c r="H147" s="3"/>
      <c r="I147" s="3"/>
      <c r="J147" s="3"/>
      <c r="K147" s="3"/>
      <c r="L147" s="3"/>
      <c r="M147" s="3"/>
      <c r="N147" s="3"/>
      <c r="O147" s="3"/>
      <c r="P147" s="3"/>
      <c r="Q147" s="3"/>
      <c r="R147" s="3"/>
      <c r="S147" s="3"/>
      <c r="T147" s="3"/>
      <c r="U147" s="3"/>
      <c r="V147" s="3"/>
      <c r="W147" s="3"/>
      <c r="X147" s="3"/>
      <c r="Y147" s="3"/>
    </row>
    <row r="148">
      <c r="A148" s="7"/>
      <c r="B148" s="6"/>
      <c r="C148" s="6"/>
      <c r="D148" s="3"/>
      <c r="E148" s="3"/>
      <c r="F148" s="3"/>
      <c r="G148" s="3"/>
      <c r="H148" s="3"/>
      <c r="I148" s="3"/>
      <c r="J148" s="3"/>
      <c r="K148" s="3"/>
      <c r="L148" s="3"/>
      <c r="M148" s="3"/>
      <c r="N148" s="3"/>
      <c r="O148" s="3"/>
      <c r="P148" s="3"/>
      <c r="Q148" s="3"/>
      <c r="R148" s="3"/>
      <c r="S148" s="3"/>
      <c r="T148" s="3"/>
      <c r="U148" s="3"/>
      <c r="V148" s="3"/>
      <c r="W148" s="3"/>
      <c r="X148" s="3"/>
      <c r="Y148" s="3"/>
    </row>
    <row r="149">
      <c r="A149" s="7"/>
      <c r="B149" s="6"/>
      <c r="C149" s="6"/>
      <c r="D149" s="3"/>
      <c r="E149" s="3"/>
      <c r="F149" s="3"/>
      <c r="G149" s="3"/>
      <c r="H149" s="3"/>
      <c r="I149" s="3"/>
      <c r="J149" s="3"/>
      <c r="K149" s="3"/>
      <c r="L149" s="3"/>
      <c r="M149" s="3"/>
      <c r="N149" s="3"/>
      <c r="O149" s="3"/>
      <c r="P149" s="3"/>
      <c r="Q149" s="3"/>
      <c r="R149" s="3"/>
      <c r="S149" s="3"/>
      <c r="T149" s="3"/>
      <c r="U149" s="3"/>
      <c r="V149" s="3"/>
      <c r="W149" s="3"/>
      <c r="X149" s="3"/>
      <c r="Y149" s="3"/>
    </row>
    <row r="150">
      <c r="A150" s="7"/>
      <c r="B150" s="6"/>
      <c r="C150" s="6"/>
      <c r="D150" s="3"/>
      <c r="E150" s="3"/>
      <c r="F150" s="3"/>
      <c r="G150" s="3"/>
      <c r="H150" s="3"/>
      <c r="I150" s="3"/>
      <c r="J150" s="3"/>
      <c r="K150" s="3"/>
      <c r="L150" s="3"/>
      <c r="M150" s="3"/>
      <c r="N150" s="3"/>
      <c r="O150" s="3"/>
      <c r="P150" s="3"/>
      <c r="Q150" s="3"/>
      <c r="R150" s="3"/>
      <c r="S150" s="3"/>
      <c r="T150" s="3"/>
      <c r="U150" s="3"/>
      <c r="V150" s="3"/>
      <c r="W150" s="3"/>
      <c r="X150" s="3"/>
      <c r="Y150" s="3"/>
    </row>
    <row r="151">
      <c r="A151" s="7"/>
      <c r="B151" s="6"/>
      <c r="C151" s="6"/>
      <c r="D151" s="3"/>
      <c r="E151" s="3"/>
      <c r="F151" s="3"/>
      <c r="G151" s="3"/>
      <c r="H151" s="3"/>
      <c r="I151" s="3"/>
      <c r="J151" s="3"/>
      <c r="K151" s="3"/>
      <c r="L151" s="3"/>
      <c r="M151" s="3"/>
      <c r="N151" s="3"/>
      <c r="O151" s="3"/>
      <c r="P151" s="3"/>
      <c r="Q151" s="3"/>
      <c r="R151" s="3"/>
      <c r="S151" s="3"/>
      <c r="T151" s="3"/>
      <c r="U151" s="3"/>
      <c r="V151" s="3"/>
      <c r="W151" s="3"/>
      <c r="X151" s="3"/>
      <c r="Y151" s="3"/>
    </row>
    <row r="152">
      <c r="A152" s="7"/>
      <c r="B152" s="6"/>
      <c r="C152" s="6"/>
      <c r="D152" s="3"/>
      <c r="E152" s="3"/>
      <c r="F152" s="3"/>
      <c r="G152" s="3"/>
      <c r="H152" s="3"/>
      <c r="I152" s="3"/>
      <c r="J152" s="3"/>
      <c r="K152" s="3"/>
      <c r="L152" s="3"/>
      <c r="M152" s="3"/>
      <c r="N152" s="3"/>
      <c r="O152" s="3"/>
      <c r="P152" s="3"/>
      <c r="Q152" s="3"/>
      <c r="R152" s="3"/>
      <c r="S152" s="3"/>
      <c r="T152" s="3"/>
      <c r="U152" s="3"/>
      <c r="V152" s="3"/>
      <c r="W152" s="3"/>
      <c r="X152" s="3"/>
      <c r="Y152" s="3"/>
    </row>
    <row r="153">
      <c r="A153" s="7"/>
      <c r="B153" s="6"/>
      <c r="C153" s="6"/>
      <c r="D153" s="3"/>
      <c r="E153" s="3"/>
      <c r="F153" s="3"/>
      <c r="G153" s="3"/>
      <c r="H153" s="3"/>
      <c r="I153" s="3"/>
      <c r="J153" s="3"/>
      <c r="K153" s="3"/>
      <c r="L153" s="3"/>
      <c r="M153" s="3"/>
      <c r="N153" s="3"/>
      <c r="O153" s="3"/>
      <c r="P153" s="3"/>
      <c r="Q153" s="3"/>
      <c r="R153" s="3"/>
      <c r="S153" s="3"/>
      <c r="T153" s="3"/>
      <c r="U153" s="3"/>
      <c r="V153" s="3"/>
      <c r="W153" s="3"/>
      <c r="X153" s="3"/>
      <c r="Y153" s="3"/>
    </row>
    <row r="154">
      <c r="A154" s="7"/>
      <c r="B154" s="6"/>
      <c r="C154" s="6"/>
      <c r="D154" s="3"/>
      <c r="E154" s="3"/>
      <c r="F154" s="3"/>
      <c r="G154" s="3"/>
      <c r="H154" s="3"/>
      <c r="I154" s="3"/>
      <c r="J154" s="3"/>
      <c r="K154" s="3"/>
      <c r="L154" s="3"/>
      <c r="M154" s="3"/>
      <c r="N154" s="3"/>
      <c r="O154" s="3"/>
      <c r="P154" s="3"/>
      <c r="Q154" s="3"/>
      <c r="R154" s="3"/>
      <c r="S154" s="3"/>
      <c r="T154" s="3"/>
      <c r="U154" s="3"/>
      <c r="V154" s="3"/>
      <c r="W154" s="3"/>
      <c r="X154" s="3"/>
      <c r="Y154" s="3"/>
    </row>
    <row r="155">
      <c r="A155" s="7"/>
      <c r="B155" s="6"/>
      <c r="C155" s="6"/>
      <c r="D155" s="3"/>
      <c r="E155" s="3"/>
      <c r="F155" s="3"/>
      <c r="G155" s="3"/>
      <c r="H155" s="3"/>
      <c r="I155" s="3"/>
      <c r="J155" s="3"/>
      <c r="K155" s="3"/>
      <c r="L155" s="3"/>
      <c r="M155" s="3"/>
      <c r="N155" s="3"/>
      <c r="O155" s="3"/>
      <c r="P155" s="3"/>
      <c r="Q155" s="3"/>
      <c r="R155" s="3"/>
      <c r="S155" s="3"/>
      <c r="T155" s="3"/>
      <c r="U155" s="3"/>
      <c r="V155" s="3"/>
      <c r="W155" s="3"/>
      <c r="X155" s="3"/>
      <c r="Y155" s="3"/>
    </row>
    <row r="156">
      <c r="A156" s="7"/>
      <c r="B156" s="6"/>
      <c r="C156" s="6"/>
      <c r="D156" s="3"/>
      <c r="E156" s="3"/>
      <c r="F156" s="3"/>
      <c r="G156" s="3"/>
      <c r="H156" s="3"/>
      <c r="I156" s="3"/>
      <c r="J156" s="3"/>
      <c r="K156" s="3"/>
      <c r="L156" s="3"/>
      <c r="M156" s="3"/>
      <c r="N156" s="3"/>
      <c r="O156" s="3"/>
      <c r="P156" s="3"/>
      <c r="Q156" s="3"/>
      <c r="R156" s="3"/>
      <c r="S156" s="3"/>
      <c r="T156" s="3"/>
      <c r="U156" s="3"/>
      <c r="V156" s="3"/>
      <c r="W156" s="3"/>
      <c r="X156" s="3"/>
      <c r="Y156" s="3"/>
    </row>
    <row r="157">
      <c r="A157" s="7"/>
      <c r="B157" s="6"/>
      <c r="C157" s="6"/>
      <c r="D157" s="3"/>
      <c r="E157" s="3"/>
      <c r="F157" s="3"/>
      <c r="G157" s="3"/>
      <c r="H157" s="3"/>
      <c r="I157" s="3"/>
      <c r="J157" s="3"/>
      <c r="K157" s="3"/>
      <c r="L157" s="3"/>
      <c r="M157" s="3"/>
      <c r="N157" s="3"/>
      <c r="O157" s="3"/>
      <c r="P157" s="3"/>
      <c r="Q157" s="3"/>
      <c r="R157" s="3"/>
      <c r="S157" s="3"/>
      <c r="T157" s="3"/>
      <c r="U157" s="3"/>
      <c r="V157" s="3"/>
      <c r="W157" s="3"/>
      <c r="X157" s="3"/>
      <c r="Y157" s="3"/>
    </row>
    <row r="158">
      <c r="A158" s="7"/>
      <c r="B158" s="6"/>
      <c r="C158" s="6"/>
      <c r="D158" s="3"/>
      <c r="E158" s="3"/>
      <c r="F158" s="3"/>
      <c r="G158" s="3"/>
      <c r="H158" s="3"/>
      <c r="I158" s="3"/>
      <c r="J158" s="3"/>
      <c r="K158" s="3"/>
      <c r="L158" s="3"/>
      <c r="M158" s="3"/>
      <c r="N158" s="3"/>
      <c r="O158" s="3"/>
      <c r="P158" s="3"/>
      <c r="Q158" s="3"/>
      <c r="R158" s="3"/>
      <c r="S158" s="3"/>
      <c r="T158" s="3"/>
      <c r="U158" s="3"/>
      <c r="V158" s="3"/>
      <c r="W158" s="3"/>
      <c r="X158" s="3"/>
      <c r="Y158" s="3"/>
    </row>
    <row r="159">
      <c r="A159" s="7"/>
      <c r="B159" s="6"/>
      <c r="C159" s="6"/>
      <c r="D159" s="3"/>
      <c r="E159" s="3"/>
      <c r="F159" s="3"/>
      <c r="G159" s="3"/>
      <c r="H159" s="3"/>
      <c r="I159" s="3"/>
      <c r="J159" s="3"/>
      <c r="K159" s="3"/>
      <c r="L159" s="3"/>
      <c r="M159" s="3"/>
      <c r="N159" s="3"/>
      <c r="O159" s="3"/>
      <c r="P159" s="3"/>
      <c r="Q159" s="3"/>
      <c r="R159" s="3"/>
      <c r="S159" s="3"/>
      <c r="T159" s="3"/>
      <c r="U159" s="3"/>
      <c r="V159" s="3"/>
      <c r="W159" s="3"/>
      <c r="X159" s="3"/>
      <c r="Y159" s="3"/>
    </row>
    <row r="160">
      <c r="A160" s="7"/>
      <c r="B160" s="6"/>
      <c r="C160" s="6"/>
      <c r="D160" s="3"/>
      <c r="E160" s="3"/>
      <c r="F160" s="3"/>
      <c r="G160" s="3"/>
      <c r="H160" s="3"/>
      <c r="I160" s="3"/>
      <c r="J160" s="3"/>
      <c r="K160" s="3"/>
      <c r="L160" s="3"/>
      <c r="M160" s="3"/>
      <c r="N160" s="3"/>
      <c r="O160" s="3"/>
      <c r="P160" s="3"/>
      <c r="Q160" s="3"/>
      <c r="R160" s="3"/>
      <c r="S160" s="3"/>
      <c r="T160" s="3"/>
      <c r="U160" s="3"/>
      <c r="V160" s="3"/>
      <c r="W160" s="3"/>
      <c r="X160" s="3"/>
      <c r="Y160" s="3"/>
    </row>
    <row r="161">
      <c r="A161" s="7"/>
      <c r="B161" s="6"/>
      <c r="C161" s="6"/>
      <c r="D161" s="3"/>
      <c r="E161" s="3"/>
      <c r="F161" s="3"/>
      <c r="G161" s="3"/>
      <c r="H161" s="3"/>
      <c r="I161" s="3"/>
      <c r="J161" s="3"/>
      <c r="K161" s="3"/>
      <c r="L161" s="3"/>
      <c r="M161" s="3"/>
      <c r="N161" s="3"/>
      <c r="O161" s="3"/>
      <c r="P161" s="3"/>
      <c r="Q161" s="3"/>
      <c r="R161" s="3"/>
      <c r="S161" s="3"/>
      <c r="T161" s="3"/>
      <c r="U161" s="3"/>
      <c r="V161" s="3"/>
      <c r="W161" s="3"/>
      <c r="X161" s="3"/>
      <c r="Y161" s="3"/>
    </row>
    <row r="162">
      <c r="A162" s="7"/>
      <c r="B162" s="6"/>
      <c r="C162" s="6"/>
      <c r="D162" s="3"/>
      <c r="E162" s="3"/>
      <c r="F162" s="3"/>
      <c r="G162" s="3"/>
      <c r="H162" s="3"/>
      <c r="I162" s="3"/>
      <c r="J162" s="3"/>
      <c r="K162" s="3"/>
      <c r="L162" s="3"/>
      <c r="M162" s="3"/>
      <c r="N162" s="3"/>
      <c r="O162" s="3"/>
      <c r="P162" s="3"/>
      <c r="Q162" s="3"/>
      <c r="R162" s="3"/>
      <c r="S162" s="3"/>
      <c r="T162" s="3"/>
      <c r="U162" s="3"/>
      <c r="V162" s="3"/>
      <c r="W162" s="3"/>
      <c r="X162" s="3"/>
      <c r="Y162" s="3"/>
    </row>
    <row r="163">
      <c r="A163" s="7"/>
      <c r="B163" s="6"/>
      <c r="C163" s="6"/>
      <c r="D163" s="3"/>
      <c r="E163" s="3"/>
      <c r="F163" s="3"/>
      <c r="G163" s="3"/>
      <c r="H163" s="3"/>
      <c r="I163" s="3"/>
      <c r="J163" s="3"/>
      <c r="K163" s="3"/>
      <c r="L163" s="3"/>
      <c r="M163" s="3"/>
      <c r="N163" s="3"/>
      <c r="O163" s="3"/>
      <c r="P163" s="3"/>
      <c r="Q163" s="3"/>
      <c r="R163" s="3"/>
      <c r="S163" s="3"/>
      <c r="T163" s="3"/>
      <c r="U163" s="3"/>
      <c r="V163" s="3"/>
      <c r="W163" s="3"/>
      <c r="X163" s="3"/>
      <c r="Y163" s="3"/>
    </row>
    <row r="164">
      <c r="A164" s="7"/>
      <c r="B164" s="6"/>
      <c r="C164" s="6"/>
      <c r="D164" s="3"/>
      <c r="E164" s="3"/>
      <c r="F164" s="3"/>
      <c r="G164" s="3"/>
      <c r="H164" s="3"/>
      <c r="I164" s="3"/>
      <c r="J164" s="3"/>
      <c r="K164" s="3"/>
      <c r="L164" s="3"/>
      <c r="M164" s="3"/>
      <c r="N164" s="3"/>
      <c r="O164" s="3"/>
      <c r="P164" s="3"/>
      <c r="Q164" s="3"/>
      <c r="R164" s="3"/>
      <c r="S164" s="3"/>
      <c r="T164" s="3"/>
      <c r="U164" s="3"/>
      <c r="V164" s="3"/>
      <c r="W164" s="3"/>
      <c r="X164" s="3"/>
      <c r="Y164" s="3"/>
    </row>
    <row r="165">
      <c r="A165" s="7"/>
      <c r="B165" s="6"/>
      <c r="C165" s="6"/>
      <c r="D165" s="3"/>
      <c r="E165" s="3"/>
      <c r="F165" s="3"/>
      <c r="G165" s="3"/>
      <c r="H165" s="3"/>
      <c r="I165" s="3"/>
      <c r="J165" s="3"/>
      <c r="K165" s="3"/>
      <c r="L165" s="3"/>
      <c r="M165" s="3"/>
      <c r="N165" s="3"/>
      <c r="O165" s="3"/>
      <c r="P165" s="3"/>
      <c r="Q165" s="3"/>
      <c r="R165" s="3"/>
      <c r="S165" s="3"/>
      <c r="T165" s="3"/>
      <c r="U165" s="3"/>
      <c r="V165" s="3"/>
      <c r="W165" s="3"/>
      <c r="X165" s="3"/>
      <c r="Y165" s="3"/>
    </row>
    <row r="166">
      <c r="A166" s="7"/>
      <c r="B166" s="6"/>
      <c r="C166" s="6"/>
      <c r="D166" s="3"/>
      <c r="E166" s="3"/>
      <c r="F166" s="3"/>
      <c r="G166" s="3"/>
      <c r="H166" s="3"/>
      <c r="I166" s="3"/>
      <c r="J166" s="3"/>
      <c r="K166" s="3"/>
      <c r="L166" s="3"/>
      <c r="M166" s="3"/>
      <c r="N166" s="3"/>
      <c r="O166" s="3"/>
      <c r="P166" s="3"/>
      <c r="Q166" s="3"/>
      <c r="R166" s="3"/>
      <c r="S166" s="3"/>
      <c r="T166" s="3"/>
      <c r="U166" s="3"/>
      <c r="V166" s="3"/>
      <c r="W166" s="3"/>
      <c r="X166" s="3"/>
      <c r="Y166" s="3"/>
    </row>
    <row r="167">
      <c r="A167" s="7"/>
      <c r="B167" s="6"/>
      <c r="C167" s="6"/>
      <c r="D167" s="3"/>
      <c r="E167" s="3"/>
      <c r="F167" s="3"/>
      <c r="G167" s="3"/>
      <c r="H167" s="3"/>
      <c r="I167" s="3"/>
      <c r="J167" s="3"/>
      <c r="K167" s="3"/>
      <c r="L167" s="3"/>
      <c r="M167" s="3"/>
      <c r="N167" s="3"/>
      <c r="O167" s="3"/>
      <c r="P167" s="3"/>
      <c r="Q167" s="3"/>
      <c r="R167" s="3"/>
      <c r="S167" s="3"/>
      <c r="T167" s="3"/>
      <c r="U167" s="3"/>
      <c r="V167" s="3"/>
      <c r="W167" s="3"/>
      <c r="X167" s="3"/>
      <c r="Y167" s="3"/>
    </row>
    <row r="168">
      <c r="A168" s="7"/>
      <c r="B168" s="6"/>
      <c r="C168" s="6"/>
      <c r="D168" s="3"/>
      <c r="E168" s="3"/>
      <c r="F168" s="3"/>
      <c r="G168" s="3"/>
      <c r="H168" s="3"/>
      <c r="I168" s="3"/>
      <c r="J168" s="3"/>
      <c r="K168" s="3"/>
      <c r="L168" s="3"/>
      <c r="M168" s="3"/>
      <c r="N168" s="3"/>
      <c r="O168" s="3"/>
      <c r="P168" s="3"/>
      <c r="Q168" s="3"/>
      <c r="R168" s="3"/>
      <c r="S168" s="3"/>
      <c r="T168" s="3"/>
      <c r="U168" s="3"/>
      <c r="V168" s="3"/>
      <c r="W168" s="3"/>
      <c r="X168" s="3"/>
      <c r="Y168" s="3"/>
    </row>
    <row r="169">
      <c r="A169" s="7"/>
      <c r="B169" s="6"/>
      <c r="C169" s="6"/>
      <c r="D169" s="3"/>
      <c r="E169" s="3"/>
      <c r="F169" s="3"/>
      <c r="G169" s="3"/>
      <c r="H169" s="3"/>
      <c r="I169" s="3"/>
      <c r="J169" s="3"/>
      <c r="K169" s="3"/>
      <c r="L169" s="3"/>
      <c r="M169" s="3"/>
      <c r="N169" s="3"/>
      <c r="O169" s="3"/>
      <c r="P169" s="3"/>
      <c r="Q169" s="3"/>
      <c r="R169" s="3"/>
      <c r="S169" s="3"/>
      <c r="T169" s="3"/>
      <c r="U169" s="3"/>
      <c r="V169" s="3"/>
      <c r="W169" s="3"/>
      <c r="X169" s="3"/>
      <c r="Y169" s="3"/>
    </row>
    <row r="170">
      <c r="A170" s="7"/>
      <c r="B170" s="6"/>
      <c r="C170" s="6"/>
      <c r="D170" s="3"/>
      <c r="E170" s="3"/>
      <c r="F170" s="3"/>
      <c r="G170" s="3"/>
      <c r="H170" s="3"/>
      <c r="I170" s="3"/>
      <c r="J170" s="3"/>
      <c r="K170" s="3"/>
      <c r="L170" s="3"/>
      <c r="M170" s="3"/>
      <c r="N170" s="3"/>
      <c r="O170" s="3"/>
      <c r="P170" s="3"/>
      <c r="Q170" s="3"/>
      <c r="R170" s="3"/>
      <c r="S170" s="3"/>
      <c r="T170" s="3"/>
      <c r="U170" s="3"/>
      <c r="V170" s="3"/>
      <c r="W170" s="3"/>
      <c r="X170" s="3"/>
      <c r="Y170" s="3"/>
    </row>
    <row r="171">
      <c r="A171" s="7"/>
      <c r="B171" s="6"/>
      <c r="C171" s="6"/>
      <c r="D171" s="3"/>
      <c r="E171" s="3"/>
      <c r="F171" s="3"/>
      <c r="G171" s="3"/>
      <c r="H171" s="3"/>
      <c r="I171" s="3"/>
      <c r="J171" s="3"/>
      <c r="K171" s="3"/>
      <c r="L171" s="3"/>
      <c r="M171" s="3"/>
      <c r="N171" s="3"/>
      <c r="O171" s="3"/>
      <c r="P171" s="3"/>
      <c r="Q171" s="3"/>
      <c r="R171" s="3"/>
      <c r="S171" s="3"/>
      <c r="T171" s="3"/>
      <c r="U171" s="3"/>
      <c r="V171" s="3"/>
      <c r="W171" s="3"/>
      <c r="X171" s="3"/>
      <c r="Y171" s="3"/>
    </row>
    <row r="172">
      <c r="A172" s="7"/>
      <c r="B172" s="6"/>
      <c r="C172" s="6"/>
      <c r="D172" s="3"/>
      <c r="E172" s="3"/>
      <c r="F172" s="3"/>
      <c r="G172" s="3"/>
      <c r="H172" s="3"/>
      <c r="I172" s="3"/>
      <c r="J172" s="3"/>
      <c r="K172" s="3"/>
      <c r="L172" s="3"/>
      <c r="M172" s="3"/>
      <c r="N172" s="3"/>
      <c r="O172" s="3"/>
      <c r="P172" s="3"/>
      <c r="Q172" s="3"/>
      <c r="R172" s="3"/>
      <c r="S172" s="3"/>
      <c r="T172" s="3"/>
      <c r="U172" s="3"/>
      <c r="V172" s="3"/>
      <c r="W172" s="3"/>
      <c r="X172" s="3"/>
      <c r="Y172" s="3"/>
    </row>
    <row r="173">
      <c r="A173" s="7"/>
      <c r="B173" s="6"/>
      <c r="C173" s="6"/>
      <c r="D173" s="3"/>
      <c r="E173" s="3"/>
      <c r="F173" s="3"/>
      <c r="G173" s="3"/>
      <c r="H173" s="3"/>
      <c r="I173" s="3"/>
      <c r="J173" s="3"/>
      <c r="K173" s="3"/>
      <c r="L173" s="3"/>
      <c r="M173" s="3"/>
      <c r="N173" s="3"/>
      <c r="O173" s="3"/>
      <c r="P173" s="3"/>
      <c r="Q173" s="3"/>
      <c r="R173" s="3"/>
      <c r="S173" s="3"/>
      <c r="T173" s="3"/>
      <c r="U173" s="3"/>
      <c r="V173" s="3"/>
      <c r="W173" s="3"/>
      <c r="X173" s="3"/>
      <c r="Y173" s="3"/>
    </row>
    <row r="174">
      <c r="A174" s="7"/>
      <c r="B174" s="6"/>
      <c r="C174" s="6"/>
      <c r="D174" s="3"/>
      <c r="E174" s="3"/>
      <c r="F174" s="3"/>
      <c r="G174" s="3"/>
      <c r="H174" s="3"/>
      <c r="I174" s="3"/>
      <c r="J174" s="3"/>
      <c r="K174" s="3"/>
      <c r="L174" s="3"/>
      <c r="M174" s="3"/>
      <c r="N174" s="3"/>
      <c r="O174" s="3"/>
      <c r="P174" s="3"/>
      <c r="Q174" s="3"/>
      <c r="R174" s="3"/>
      <c r="S174" s="3"/>
      <c r="T174" s="3"/>
      <c r="U174" s="3"/>
      <c r="V174" s="3"/>
      <c r="W174" s="3"/>
      <c r="X174" s="3"/>
      <c r="Y174" s="3"/>
    </row>
    <row r="175">
      <c r="A175" s="7"/>
      <c r="B175" s="6"/>
      <c r="C175" s="6"/>
      <c r="D175" s="3"/>
      <c r="E175" s="3"/>
      <c r="F175" s="3"/>
      <c r="G175" s="3"/>
      <c r="H175" s="3"/>
      <c r="I175" s="3"/>
      <c r="J175" s="3"/>
      <c r="K175" s="3"/>
      <c r="L175" s="3"/>
      <c r="M175" s="3"/>
      <c r="N175" s="3"/>
      <c r="O175" s="3"/>
      <c r="P175" s="3"/>
      <c r="Q175" s="3"/>
      <c r="R175" s="3"/>
      <c r="S175" s="3"/>
      <c r="T175" s="3"/>
      <c r="U175" s="3"/>
      <c r="V175" s="3"/>
      <c r="W175" s="3"/>
      <c r="X175" s="3"/>
      <c r="Y175" s="3"/>
    </row>
    <row r="176">
      <c r="A176" s="7"/>
      <c r="B176" s="6"/>
      <c r="C176" s="6"/>
      <c r="D176" s="3"/>
      <c r="E176" s="3"/>
      <c r="F176" s="3"/>
      <c r="G176" s="3"/>
      <c r="H176" s="3"/>
      <c r="I176" s="3"/>
      <c r="J176" s="3"/>
      <c r="K176" s="3"/>
      <c r="L176" s="3"/>
      <c r="M176" s="3"/>
      <c r="N176" s="3"/>
      <c r="O176" s="3"/>
      <c r="P176" s="3"/>
      <c r="Q176" s="3"/>
      <c r="R176" s="3"/>
      <c r="S176" s="3"/>
      <c r="T176" s="3"/>
      <c r="U176" s="3"/>
      <c r="V176" s="3"/>
      <c r="W176" s="3"/>
      <c r="X176" s="3"/>
      <c r="Y176" s="3"/>
    </row>
    <row r="177">
      <c r="A177" s="7"/>
      <c r="B177" s="6"/>
      <c r="C177" s="6"/>
      <c r="D177" s="3"/>
      <c r="E177" s="3"/>
      <c r="F177" s="3"/>
      <c r="G177" s="3"/>
      <c r="H177" s="3"/>
      <c r="I177" s="3"/>
      <c r="J177" s="3"/>
      <c r="K177" s="3"/>
      <c r="L177" s="3"/>
      <c r="M177" s="3"/>
      <c r="N177" s="3"/>
      <c r="O177" s="3"/>
      <c r="P177" s="3"/>
      <c r="Q177" s="3"/>
      <c r="R177" s="3"/>
      <c r="S177" s="3"/>
      <c r="T177" s="3"/>
      <c r="U177" s="3"/>
      <c r="V177" s="3"/>
      <c r="W177" s="3"/>
      <c r="X177" s="3"/>
      <c r="Y177" s="3"/>
    </row>
    <row r="178">
      <c r="A178" s="7"/>
      <c r="B178" s="6"/>
      <c r="C178" s="6"/>
      <c r="D178" s="3"/>
      <c r="E178" s="3"/>
      <c r="F178" s="3"/>
      <c r="G178" s="3"/>
      <c r="H178" s="3"/>
      <c r="I178" s="3"/>
      <c r="J178" s="3"/>
      <c r="K178" s="3"/>
      <c r="L178" s="3"/>
      <c r="M178" s="3"/>
      <c r="N178" s="3"/>
      <c r="O178" s="3"/>
      <c r="P178" s="3"/>
      <c r="Q178" s="3"/>
      <c r="R178" s="3"/>
      <c r="S178" s="3"/>
      <c r="T178" s="3"/>
      <c r="U178" s="3"/>
      <c r="V178" s="3"/>
      <c r="W178" s="3"/>
      <c r="X178" s="3"/>
      <c r="Y178" s="3"/>
    </row>
    <row r="179">
      <c r="A179" s="7"/>
      <c r="B179" s="6"/>
      <c r="C179" s="6"/>
      <c r="D179" s="3"/>
      <c r="E179" s="3"/>
      <c r="F179" s="3"/>
      <c r="G179" s="3"/>
      <c r="H179" s="3"/>
      <c r="I179" s="3"/>
      <c r="J179" s="3"/>
      <c r="K179" s="3"/>
      <c r="L179" s="3"/>
      <c r="M179" s="3"/>
      <c r="N179" s="3"/>
      <c r="O179" s="3"/>
      <c r="P179" s="3"/>
      <c r="Q179" s="3"/>
      <c r="R179" s="3"/>
      <c r="S179" s="3"/>
      <c r="T179" s="3"/>
      <c r="U179" s="3"/>
      <c r="V179" s="3"/>
      <c r="W179" s="3"/>
      <c r="X179" s="3"/>
      <c r="Y179" s="3"/>
    </row>
    <row r="180">
      <c r="A180" s="7"/>
      <c r="B180" s="6"/>
      <c r="C180" s="6"/>
      <c r="D180" s="3"/>
      <c r="E180" s="3"/>
      <c r="F180" s="3"/>
      <c r="G180" s="3"/>
      <c r="H180" s="3"/>
      <c r="I180" s="3"/>
      <c r="J180" s="3"/>
      <c r="K180" s="3"/>
      <c r="L180" s="3"/>
      <c r="M180" s="3"/>
      <c r="N180" s="3"/>
      <c r="O180" s="3"/>
      <c r="P180" s="3"/>
      <c r="Q180" s="3"/>
      <c r="R180" s="3"/>
      <c r="S180" s="3"/>
      <c r="T180" s="3"/>
      <c r="U180" s="3"/>
      <c r="V180" s="3"/>
      <c r="W180" s="3"/>
      <c r="X180" s="3"/>
      <c r="Y180" s="3"/>
    </row>
    <row r="181">
      <c r="A181" s="7"/>
      <c r="B181" s="6"/>
      <c r="C181" s="6"/>
      <c r="D181" s="3"/>
      <c r="E181" s="3"/>
      <c r="F181" s="3"/>
      <c r="G181" s="3"/>
      <c r="H181" s="3"/>
      <c r="I181" s="3"/>
      <c r="J181" s="3"/>
      <c r="K181" s="3"/>
      <c r="L181" s="3"/>
      <c r="M181" s="3"/>
      <c r="N181" s="3"/>
      <c r="O181" s="3"/>
      <c r="P181" s="3"/>
      <c r="Q181" s="3"/>
      <c r="R181" s="3"/>
      <c r="S181" s="3"/>
      <c r="T181" s="3"/>
      <c r="U181" s="3"/>
      <c r="V181" s="3"/>
      <c r="W181" s="3"/>
      <c r="X181" s="3"/>
      <c r="Y181" s="3"/>
    </row>
    <row r="182">
      <c r="A182" s="7"/>
      <c r="B182" s="6"/>
      <c r="C182" s="6"/>
      <c r="D182" s="3"/>
      <c r="E182" s="3"/>
      <c r="F182" s="3"/>
      <c r="G182" s="3"/>
      <c r="H182" s="3"/>
      <c r="I182" s="3"/>
      <c r="J182" s="3"/>
      <c r="K182" s="3"/>
      <c r="L182" s="3"/>
      <c r="M182" s="3"/>
      <c r="N182" s="3"/>
      <c r="O182" s="3"/>
      <c r="P182" s="3"/>
      <c r="Q182" s="3"/>
      <c r="R182" s="3"/>
      <c r="S182" s="3"/>
      <c r="T182" s="3"/>
      <c r="U182" s="3"/>
      <c r="V182" s="3"/>
      <c r="W182" s="3"/>
      <c r="X182" s="3"/>
      <c r="Y182" s="3"/>
    </row>
    <row r="183">
      <c r="A183" s="7"/>
      <c r="B183" s="6"/>
      <c r="C183" s="6"/>
      <c r="D183" s="3"/>
      <c r="E183" s="3"/>
      <c r="F183" s="3"/>
      <c r="G183" s="3"/>
      <c r="H183" s="3"/>
      <c r="I183" s="3"/>
      <c r="J183" s="3"/>
      <c r="K183" s="3"/>
      <c r="L183" s="3"/>
      <c r="M183" s="3"/>
      <c r="N183" s="3"/>
      <c r="O183" s="3"/>
      <c r="P183" s="3"/>
      <c r="Q183" s="3"/>
      <c r="R183" s="3"/>
      <c r="S183" s="3"/>
      <c r="T183" s="3"/>
      <c r="U183" s="3"/>
      <c r="V183" s="3"/>
      <c r="W183" s="3"/>
      <c r="X183" s="3"/>
      <c r="Y183" s="3"/>
    </row>
    <row r="184">
      <c r="A184" s="7"/>
      <c r="B184" s="6"/>
      <c r="C184" s="6"/>
      <c r="D184" s="3"/>
      <c r="E184" s="3"/>
      <c r="F184" s="3"/>
      <c r="G184" s="3"/>
      <c r="H184" s="3"/>
      <c r="I184" s="3"/>
      <c r="J184" s="3"/>
      <c r="K184" s="3"/>
      <c r="L184" s="3"/>
      <c r="M184" s="3"/>
      <c r="N184" s="3"/>
      <c r="O184" s="3"/>
      <c r="P184" s="3"/>
      <c r="Q184" s="3"/>
      <c r="R184" s="3"/>
      <c r="S184" s="3"/>
      <c r="T184" s="3"/>
      <c r="U184" s="3"/>
      <c r="V184" s="3"/>
      <c r="W184" s="3"/>
      <c r="X184" s="3"/>
      <c r="Y184" s="3"/>
    </row>
    <row r="185">
      <c r="A185" s="7"/>
      <c r="B185" s="6"/>
      <c r="C185" s="6"/>
      <c r="D185" s="3"/>
      <c r="E185" s="3"/>
      <c r="F185" s="3"/>
      <c r="G185" s="3"/>
      <c r="H185" s="3"/>
      <c r="I185" s="3"/>
      <c r="J185" s="3"/>
      <c r="K185" s="3"/>
      <c r="L185" s="3"/>
      <c r="M185" s="3"/>
      <c r="N185" s="3"/>
      <c r="O185" s="3"/>
      <c r="P185" s="3"/>
      <c r="Q185" s="3"/>
      <c r="R185" s="3"/>
      <c r="S185" s="3"/>
      <c r="T185" s="3"/>
      <c r="U185" s="3"/>
      <c r="V185" s="3"/>
      <c r="W185" s="3"/>
      <c r="X185" s="3"/>
      <c r="Y185" s="3"/>
    </row>
    <row r="186">
      <c r="A186" s="7"/>
      <c r="B186" s="6"/>
      <c r="C186" s="6"/>
      <c r="D186" s="3"/>
      <c r="E186" s="3"/>
      <c r="F186" s="3"/>
      <c r="G186" s="3"/>
      <c r="H186" s="3"/>
      <c r="I186" s="3"/>
      <c r="J186" s="3"/>
      <c r="K186" s="3"/>
      <c r="L186" s="3"/>
      <c r="M186" s="3"/>
      <c r="N186" s="3"/>
      <c r="O186" s="3"/>
      <c r="P186" s="3"/>
      <c r="Q186" s="3"/>
      <c r="R186" s="3"/>
      <c r="S186" s="3"/>
      <c r="T186" s="3"/>
      <c r="U186" s="3"/>
      <c r="V186" s="3"/>
      <c r="W186" s="3"/>
      <c r="X186" s="3"/>
      <c r="Y186" s="3"/>
    </row>
    <row r="187">
      <c r="A187" s="7"/>
      <c r="B187" s="6"/>
      <c r="C187" s="6"/>
      <c r="D187" s="3"/>
      <c r="E187" s="3"/>
      <c r="F187" s="3"/>
      <c r="G187" s="3"/>
      <c r="H187" s="3"/>
      <c r="I187" s="3"/>
      <c r="J187" s="3"/>
      <c r="K187" s="3"/>
      <c r="L187" s="3"/>
      <c r="M187" s="3"/>
      <c r="N187" s="3"/>
      <c r="O187" s="3"/>
      <c r="P187" s="3"/>
      <c r="Q187" s="3"/>
      <c r="R187" s="3"/>
      <c r="S187" s="3"/>
      <c r="T187" s="3"/>
      <c r="U187" s="3"/>
      <c r="V187" s="3"/>
      <c r="W187" s="3"/>
      <c r="X187" s="3"/>
      <c r="Y187" s="3"/>
    </row>
    <row r="188">
      <c r="A188" s="7"/>
      <c r="B188" s="6"/>
      <c r="C188" s="6"/>
      <c r="D188" s="3"/>
      <c r="E188" s="3"/>
      <c r="F188" s="3"/>
      <c r="G188" s="3"/>
      <c r="H188" s="3"/>
      <c r="I188" s="3"/>
      <c r="J188" s="3"/>
      <c r="K188" s="3"/>
      <c r="L188" s="3"/>
      <c r="M188" s="3"/>
      <c r="N188" s="3"/>
      <c r="O188" s="3"/>
      <c r="P188" s="3"/>
      <c r="Q188" s="3"/>
      <c r="R188" s="3"/>
      <c r="S188" s="3"/>
      <c r="T188" s="3"/>
      <c r="U188" s="3"/>
      <c r="V188" s="3"/>
      <c r="W188" s="3"/>
      <c r="X188" s="3"/>
      <c r="Y188" s="3"/>
    </row>
    <row r="189">
      <c r="A189" s="7"/>
      <c r="B189" s="6"/>
      <c r="C189" s="6"/>
      <c r="D189" s="3"/>
      <c r="E189" s="3"/>
      <c r="F189" s="3"/>
      <c r="G189" s="3"/>
      <c r="H189" s="3"/>
      <c r="I189" s="3"/>
      <c r="J189" s="3"/>
      <c r="K189" s="3"/>
      <c r="L189" s="3"/>
      <c r="M189" s="3"/>
      <c r="N189" s="3"/>
      <c r="O189" s="3"/>
      <c r="P189" s="3"/>
      <c r="Q189" s="3"/>
      <c r="R189" s="3"/>
      <c r="S189" s="3"/>
      <c r="T189" s="3"/>
      <c r="U189" s="3"/>
      <c r="V189" s="3"/>
      <c r="W189" s="3"/>
      <c r="X189" s="3"/>
      <c r="Y189" s="3"/>
    </row>
    <row r="190">
      <c r="A190" s="7"/>
      <c r="B190" s="6"/>
      <c r="C190" s="6"/>
      <c r="D190" s="3"/>
      <c r="E190" s="3"/>
      <c r="F190" s="3"/>
      <c r="G190" s="3"/>
      <c r="H190" s="3"/>
      <c r="I190" s="3"/>
      <c r="J190" s="3"/>
      <c r="K190" s="3"/>
      <c r="L190" s="3"/>
      <c r="M190" s="3"/>
      <c r="N190" s="3"/>
      <c r="O190" s="3"/>
      <c r="P190" s="3"/>
      <c r="Q190" s="3"/>
      <c r="R190" s="3"/>
      <c r="S190" s="3"/>
      <c r="T190" s="3"/>
      <c r="U190" s="3"/>
      <c r="V190" s="3"/>
      <c r="W190" s="3"/>
      <c r="X190" s="3"/>
      <c r="Y190" s="3"/>
    </row>
    <row r="191">
      <c r="A191" s="7"/>
      <c r="B191" s="6"/>
      <c r="C191" s="6"/>
      <c r="D191" s="3"/>
      <c r="E191" s="3"/>
      <c r="F191" s="3"/>
      <c r="G191" s="3"/>
      <c r="H191" s="3"/>
      <c r="I191" s="3"/>
      <c r="J191" s="3"/>
      <c r="K191" s="3"/>
      <c r="L191" s="3"/>
      <c r="M191" s="3"/>
      <c r="N191" s="3"/>
      <c r="O191" s="3"/>
      <c r="P191" s="3"/>
      <c r="Q191" s="3"/>
      <c r="R191" s="3"/>
      <c r="S191" s="3"/>
      <c r="T191" s="3"/>
      <c r="U191" s="3"/>
      <c r="V191" s="3"/>
      <c r="W191" s="3"/>
      <c r="X191" s="3"/>
      <c r="Y191" s="3"/>
    </row>
    <row r="192">
      <c r="A192" s="7"/>
      <c r="B192" s="6"/>
      <c r="C192" s="6"/>
      <c r="D192" s="3"/>
      <c r="E192" s="3"/>
      <c r="F192" s="3"/>
      <c r="G192" s="3"/>
      <c r="H192" s="3"/>
      <c r="I192" s="3"/>
      <c r="J192" s="3"/>
      <c r="K192" s="3"/>
      <c r="L192" s="3"/>
      <c r="M192" s="3"/>
      <c r="N192" s="3"/>
      <c r="O192" s="3"/>
      <c r="P192" s="3"/>
      <c r="Q192" s="3"/>
      <c r="R192" s="3"/>
      <c r="S192" s="3"/>
      <c r="T192" s="3"/>
      <c r="U192" s="3"/>
      <c r="V192" s="3"/>
      <c r="W192" s="3"/>
      <c r="X192" s="3"/>
      <c r="Y192" s="3"/>
    </row>
    <row r="193">
      <c r="A193" s="7"/>
      <c r="B193" s="6"/>
      <c r="C193" s="6"/>
      <c r="D193" s="3"/>
      <c r="E193" s="3"/>
      <c r="F193" s="3"/>
      <c r="G193" s="3"/>
      <c r="H193" s="3"/>
      <c r="I193" s="3"/>
      <c r="J193" s="3"/>
      <c r="K193" s="3"/>
      <c r="L193" s="3"/>
      <c r="M193" s="3"/>
      <c r="N193" s="3"/>
      <c r="O193" s="3"/>
      <c r="P193" s="3"/>
      <c r="Q193" s="3"/>
      <c r="R193" s="3"/>
      <c r="S193" s="3"/>
      <c r="T193" s="3"/>
      <c r="U193" s="3"/>
      <c r="V193" s="3"/>
      <c r="W193" s="3"/>
      <c r="X193" s="3"/>
      <c r="Y193" s="3"/>
    </row>
    <row r="194">
      <c r="A194" s="7"/>
      <c r="B194" s="6"/>
      <c r="C194" s="6"/>
      <c r="D194" s="3"/>
      <c r="E194" s="3"/>
      <c r="F194" s="3"/>
      <c r="G194" s="3"/>
      <c r="H194" s="3"/>
      <c r="I194" s="3"/>
      <c r="J194" s="3"/>
      <c r="K194" s="3"/>
      <c r="L194" s="3"/>
      <c r="M194" s="3"/>
      <c r="N194" s="3"/>
      <c r="O194" s="3"/>
      <c r="P194" s="3"/>
      <c r="Q194" s="3"/>
      <c r="R194" s="3"/>
      <c r="S194" s="3"/>
      <c r="T194" s="3"/>
      <c r="U194" s="3"/>
      <c r="V194" s="3"/>
      <c r="W194" s="3"/>
      <c r="X194" s="3"/>
      <c r="Y194" s="3"/>
    </row>
    <row r="195">
      <c r="A195" s="7"/>
      <c r="B195" s="6"/>
      <c r="C195" s="6"/>
      <c r="D195" s="3"/>
      <c r="E195" s="3"/>
      <c r="F195" s="3"/>
      <c r="G195" s="3"/>
      <c r="H195" s="3"/>
      <c r="I195" s="3"/>
      <c r="J195" s="3"/>
      <c r="K195" s="3"/>
      <c r="L195" s="3"/>
      <c r="M195" s="3"/>
      <c r="N195" s="3"/>
      <c r="O195" s="3"/>
      <c r="P195" s="3"/>
      <c r="Q195" s="3"/>
      <c r="R195" s="3"/>
      <c r="S195" s="3"/>
      <c r="T195" s="3"/>
      <c r="U195" s="3"/>
      <c r="V195" s="3"/>
      <c r="W195" s="3"/>
      <c r="X195" s="3"/>
      <c r="Y195" s="3"/>
    </row>
    <row r="196">
      <c r="A196" s="7"/>
      <c r="B196" s="6"/>
      <c r="C196" s="6"/>
      <c r="D196" s="3"/>
      <c r="E196" s="3"/>
      <c r="F196" s="3"/>
      <c r="G196" s="3"/>
      <c r="H196" s="3"/>
      <c r="I196" s="3"/>
      <c r="J196" s="3"/>
      <c r="K196" s="3"/>
      <c r="L196" s="3"/>
      <c r="M196" s="3"/>
      <c r="N196" s="3"/>
      <c r="O196" s="3"/>
      <c r="P196" s="3"/>
      <c r="Q196" s="3"/>
      <c r="R196" s="3"/>
      <c r="S196" s="3"/>
      <c r="T196" s="3"/>
      <c r="U196" s="3"/>
      <c r="V196" s="3"/>
      <c r="W196" s="3"/>
      <c r="X196" s="3"/>
      <c r="Y196" s="3"/>
    </row>
    <row r="197">
      <c r="A197" s="7"/>
      <c r="B197" s="6"/>
      <c r="C197" s="6"/>
      <c r="D197" s="3"/>
      <c r="E197" s="3"/>
      <c r="F197" s="3"/>
      <c r="G197" s="3"/>
      <c r="H197" s="3"/>
      <c r="I197" s="3"/>
      <c r="J197" s="3"/>
      <c r="K197" s="3"/>
      <c r="L197" s="3"/>
      <c r="M197" s="3"/>
      <c r="N197" s="3"/>
      <c r="O197" s="3"/>
      <c r="P197" s="3"/>
      <c r="Q197" s="3"/>
      <c r="R197" s="3"/>
      <c r="S197" s="3"/>
      <c r="T197" s="3"/>
      <c r="U197" s="3"/>
      <c r="V197" s="3"/>
      <c r="W197" s="3"/>
      <c r="X197" s="3"/>
      <c r="Y197" s="3"/>
    </row>
    <row r="198">
      <c r="A198" s="7"/>
      <c r="B198" s="6"/>
      <c r="C198" s="6"/>
      <c r="D198" s="3"/>
      <c r="E198" s="3"/>
      <c r="F198" s="3"/>
      <c r="G198" s="3"/>
      <c r="H198" s="3"/>
      <c r="I198" s="3"/>
      <c r="J198" s="3"/>
      <c r="K198" s="3"/>
      <c r="L198" s="3"/>
      <c r="M198" s="3"/>
      <c r="N198" s="3"/>
      <c r="O198" s="3"/>
      <c r="P198" s="3"/>
      <c r="Q198" s="3"/>
      <c r="R198" s="3"/>
      <c r="S198" s="3"/>
      <c r="T198" s="3"/>
      <c r="U198" s="3"/>
      <c r="V198" s="3"/>
      <c r="W198" s="3"/>
      <c r="X198" s="3"/>
      <c r="Y198" s="3"/>
    </row>
    <row r="199">
      <c r="A199" s="7"/>
      <c r="B199" s="6"/>
      <c r="C199" s="6"/>
      <c r="D199" s="3"/>
      <c r="E199" s="3"/>
      <c r="F199" s="3"/>
      <c r="G199" s="3"/>
      <c r="H199" s="3"/>
      <c r="I199" s="3"/>
      <c r="J199" s="3"/>
      <c r="K199" s="3"/>
      <c r="L199" s="3"/>
      <c r="M199" s="3"/>
      <c r="N199" s="3"/>
      <c r="O199" s="3"/>
      <c r="P199" s="3"/>
      <c r="Q199" s="3"/>
      <c r="R199" s="3"/>
      <c r="S199" s="3"/>
      <c r="T199" s="3"/>
      <c r="U199" s="3"/>
      <c r="V199" s="3"/>
      <c r="W199" s="3"/>
      <c r="X199" s="3"/>
      <c r="Y199" s="3"/>
    </row>
    <row r="200">
      <c r="A200" s="7"/>
      <c r="B200" s="6"/>
      <c r="C200" s="6"/>
      <c r="D200" s="3"/>
      <c r="E200" s="3"/>
      <c r="F200" s="3"/>
      <c r="G200" s="3"/>
      <c r="H200" s="3"/>
      <c r="I200" s="3"/>
      <c r="J200" s="3"/>
      <c r="K200" s="3"/>
      <c r="L200" s="3"/>
      <c r="M200" s="3"/>
      <c r="N200" s="3"/>
      <c r="O200" s="3"/>
      <c r="P200" s="3"/>
      <c r="Q200" s="3"/>
      <c r="R200" s="3"/>
      <c r="S200" s="3"/>
      <c r="T200" s="3"/>
      <c r="U200" s="3"/>
      <c r="V200" s="3"/>
      <c r="W200" s="3"/>
      <c r="X200" s="3"/>
      <c r="Y200" s="3"/>
    </row>
    <row r="201">
      <c r="A201" s="7"/>
      <c r="B201" s="6"/>
      <c r="C201" s="6"/>
      <c r="D201" s="3"/>
      <c r="E201" s="3"/>
      <c r="F201" s="3"/>
      <c r="G201" s="3"/>
      <c r="H201" s="3"/>
      <c r="I201" s="3"/>
      <c r="J201" s="3"/>
      <c r="K201" s="3"/>
      <c r="L201" s="3"/>
      <c r="M201" s="3"/>
      <c r="N201" s="3"/>
      <c r="O201" s="3"/>
      <c r="P201" s="3"/>
      <c r="Q201" s="3"/>
      <c r="R201" s="3"/>
      <c r="S201" s="3"/>
      <c r="T201" s="3"/>
      <c r="U201" s="3"/>
      <c r="V201" s="3"/>
      <c r="W201" s="3"/>
      <c r="X201" s="3"/>
      <c r="Y201" s="3"/>
    </row>
    <row r="202">
      <c r="A202" s="7"/>
      <c r="B202" s="6"/>
      <c r="C202" s="6"/>
      <c r="D202" s="3"/>
      <c r="E202" s="3"/>
      <c r="F202" s="3"/>
      <c r="G202" s="3"/>
      <c r="H202" s="3"/>
      <c r="I202" s="3"/>
      <c r="J202" s="3"/>
      <c r="K202" s="3"/>
      <c r="L202" s="3"/>
      <c r="M202" s="3"/>
      <c r="N202" s="3"/>
      <c r="O202" s="3"/>
      <c r="P202" s="3"/>
      <c r="Q202" s="3"/>
      <c r="R202" s="3"/>
      <c r="S202" s="3"/>
      <c r="T202" s="3"/>
      <c r="U202" s="3"/>
      <c r="V202" s="3"/>
      <c r="W202" s="3"/>
      <c r="X202" s="3"/>
      <c r="Y202" s="3"/>
    </row>
    <row r="203">
      <c r="A203" s="7"/>
      <c r="B203" s="6"/>
      <c r="C203" s="6"/>
      <c r="D203" s="3"/>
      <c r="E203" s="3"/>
      <c r="F203" s="3"/>
      <c r="G203" s="3"/>
      <c r="H203" s="3"/>
      <c r="I203" s="3"/>
      <c r="J203" s="3"/>
      <c r="K203" s="3"/>
      <c r="L203" s="3"/>
      <c r="M203" s="3"/>
      <c r="N203" s="3"/>
      <c r="O203" s="3"/>
      <c r="P203" s="3"/>
      <c r="Q203" s="3"/>
      <c r="R203" s="3"/>
      <c r="S203" s="3"/>
      <c r="T203" s="3"/>
      <c r="U203" s="3"/>
      <c r="V203" s="3"/>
      <c r="W203" s="3"/>
      <c r="X203" s="3"/>
      <c r="Y203" s="3"/>
    </row>
    <row r="204">
      <c r="A204" s="7"/>
      <c r="B204" s="6"/>
      <c r="C204" s="6"/>
      <c r="D204" s="3"/>
      <c r="E204" s="3"/>
      <c r="F204" s="3"/>
      <c r="G204" s="3"/>
      <c r="H204" s="3"/>
      <c r="I204" s="3"/>
      <c r="J204" s="3"/>
      <c r="K204" s="3"/>
      <c r="L204" s="3"/>
      <c r="M204" s="3"/>
      <c r="N204" s="3"/>
      <c r="O204" s="3"/>
      <c r="P204" s="3"/>
      <c r="Q204" s="3"/>
      <c r="R204" s="3"/>
      <c r="S204" s="3"/>
      <c r="T204" s="3"/>
      <c r="U204" s="3"/>
      <c r="V204" s="3"/>
      <c r="W204" s="3"/>
      <c r="X204" s="3"/>
      <c r="Y204" s="3"/>
    </row>
    <row r="205">
      <c r="A205" s="7"/>
      <c r="B205" s="6"/>
      <c r="C205" s="6"/>
      <c r="D205" s="3"/>
      <c r="E205" s="3"/>
      <c r="F205" s="3"/>
      <c r="G205" s="3"/>
      <c r="H205" s="3"/>
      <c r="I205" s="3"/>
      <c r="J205" s="3"/>
      <c r="K205" s="3"/>
      <c r="L205" s="3"/>
      <c r="M205" s="3"/>
      <c r="N205" s="3"/>
      <c r="O205" s="3"/>
      <c r="P205" s="3"/>
      <c r="Q205" s="3"/>
      <c r="R205" s="3"/>
      <c r="S205" s="3"/>
      <c r="T205" s="3"/>
      <c r="U205" s="3"/>
      <c r="V205" s="3"/>
      <c r="W205" s="3"/>
      <c r="X205" s="3"/>
      <c r="Y205" s="3"/>
    </row>
    <row r="206">
      <c r="A206" s="7"/>
      <c r="B206" s="6"/>
      <c r="C206" s="6"/>
      <c r="D206" s="3"/>
      <c r="E206" s="3"/>
      <c r="F206" s="3"/>
      <c r="G206" s="3"/>
      <c r="H206" s="3"/>
      <c r="I206" s="3"/>
      <c r="J206" s="3"/>
      <c r="K206" s="3"/>
      <c r="L206" s="3"/>
      <c r="M206" s="3"/>
      <c r="N206" s="3"/>
      <c r="O206" s="3"/>
      <c r="P206" s="3"/>
      <c r="Q206" s="3"/>
      <c r="R206" s="3"/>
      <c r="S206" s="3"/>
      <c r="T206" s="3"/>
      <c r="U206" s="3"/>
      <c r="V206" s="3"/>
      <c r="W206" s="3"/>
      <c r="X206" s="3"/>
      <c r="Y206" s="3"/>
    </row>
    <row r="207">
      <c r="A207" s="7"/>
      <c r="B207" s="6"/>
      <c r="C207" s="6"/>
      <c r="D207" s="3"/>
      <c r="E207" s="3"/>
      <c r="F207" s="3"/>
      <c r="G207" s="3"/>
      <c r="H207" s="3"/>
      <c r="I207" s="3"/>
      <c r="J207" s="3"/>
      <c r="K207" s="3"/>
      <c r="L207" s="3"/>
      <c r="M207" s="3"/>
      <c r="N207" s="3"/>
      <c r="O207" s="3"/>
      <c r="P207" s="3"/>
      <c r="Q207" s="3"/>
      <c r="R207" s="3"/>
      <c r="S207" s="3"/>
      <c r="T207" s="3"/>
      <c r="U207" s="3"/>
      <c r="V207" s="3"/>
      <c r="W207" s="3"/>
      <c r="X207" s="3"/>
      <c r="Y207" s="3"/>
    </row>
    <row r="208">
      <c r="A208" s="7"/>
      <c r="B208" s="6"/>
      <c r="C208" s="6"/>
      <c r="D208" s="3"/>
      <c r="E208" s="3"/>
      <c r="F208" s="3"/>
      <c r="G208" s="3"/>
      <c r="H208" s="3"/>
      <c r="I208" s="3"/>
      <c r="J208" s="3"/>
      <c r="K208" s="3"/>
      <c r="L208" s="3"/>
      <c r="M208" s="3"/>
      <c r="N208" s="3"/>
      <c r="O208" s="3"/>
      <c r="P208" s="3"/>
      <c r="Q208" s="3"/>
      <c r="R208" s="3"/>
      <c r="S208" s="3"/>
      <c r="T208" s="3"/>
      <c r="U208" s="3"/>
      <c r="V208" s="3"/>
      <c r="W208" s="3"/>
      <c r="X208" s="3"/>
      <c r="Y208" s="3"/>
    </row>
    <row r="209">
      <c r="A209" s="7"/>
      <c r="B209" s="6"/>
      <c r="C209" s="6"/>
      <c r="D209" s="3"/>
      <c r="E209" s="3"/>
      <c r="F209" s="3"/>
      <c r="G209" s="3"/>
      <c r="H209" s="3"/>
      <c r="I209" s="3"/>
      <c r="J209" s="3"/>
      <c r="K209" s="3"/>
      <c r="L209" s="3"/>
      <c r="M209" s="3"/>
      <c r="N209" s="3"/>
      <c r="O209" s="3"/>
      <c r="P209" s="3"/>
      <c r="Q209" s="3"/>
      <c r="R209" s="3"/>
      <c r="S209" s="3"/>
      <c r="T209" s="3"/>
      <c r="U209" s="3"/>
      <c r="V209" s="3"/>
      <c r="W209" s="3"/>
      <c r="X209" s="3"/>
      <c r="Y209" s="3"/>
    </row>
    <row r="210">
      <c r="A210" s="7"/>
      <c r="B210" s="6"/>
      <c r="C210" s="6"/>
      <c r="D210" s="3"/>
      <c r="E210" s="3"/>
      <c r="F210" s="3"/>
      <c r="G210" s="3"/>
      <c r="H210" s="3"/>
      <c r="I210" s="3"/>
      <c r="J210" s="3"/>
      <c r="K210" s="3"/>
      <c r="L210" s="3"/>
      <c r="M210" s="3"/>
      <c r="N210" s="3"/>
      <c r="O210" s="3"/>
      <c r="P210" s="3"/>
      <c r="Q210" s="3"/>
      <c r="R210" s="3"/>
      <c r="S210" s="3"/>
      <c r="T210" s="3"/>
      <c r="U210" s="3"/>
      <c r="V210" s="3"/>
      <c r="W210" s="3"/>
      <c r="X210" s="3"/>
      <c r="Y210" s="3"/>
    </row>
    <row r="211">
      <c r="A211" s="7"/>
      <c r="B211" s="6"/>
      <c r="C211" s="6"/>
      <c r="D211" s="3"/>
      <c r="E211" s="3"/>
      <c r="F211" s="3"/>
      <c r="G211" s="3"/>
      <c r="H211" s="3"/>
      <c r="I211" s="3"/>
      <c r="J211" s="3"/>
      <c r="K211" s="3"/>
      <c r="L211" s="3"/>
      <c r="M211" s="3"/>
      <c r="N211" s="3"/>
      <c r="O211" s="3"/>
      <c r="P211" s="3"/>
      <c r="Q211" s="3"/>
      <c r="R211" s="3"/>
      <c r="S211" s="3"/>
      <c r="T211" s="3"/>
      <c r="U211" s="3"/>
      <c r="V211" s="3"/>
      <c r="W211" s="3"/>
      <c r="X211" s="3"/>
      <c r="Y211" s="3"/>
    </row>
    <row r="212">
      <c r="A212" s="7"/>
      <c r="B212" s="6"/>
      <c r="C212" s="6"/>
      <c r="D212" s="3"/>
      <c r="E212" s="3"/>
      <c r="F212" s="3"/>
      <c r="G212" s="3"/>
      <c r="H212" s="3"/>
      <c r="I212" s="3"/>
      <c r="J212" s="3"/>
      <c r="K212" s="3"/>
      <c r="L212" s="3"/>
      <c r="M212" s="3"/>
      <c r="N212" s="3"/>
      <c r="O212" s="3"/>
      <c r="P212" s="3"/>
      <c r="Q212" s="3"/>
      <c r="R212" s="3"/>
      <c r="S212" s="3"/>
      <c r="T212" s="3"/>
      <c r="U212" s="3"/>
      <c r="V212" s="3"/>
      <c r="W212" s="3"/>
      <c r="X212" s="3"/>
      <c r="Y212" s="3"/>
    </row>
    <row r="213">
      <c r="A213" s="7"/>
      <c r="B213" s="6"/>
      <c r="C213" s="6"/>
      <c r="D213" s="3"/>
      <c r="E213" s="3"/>
      <c r="F213" s="3"/>
      <c r="G213" s="3"/>
      <c r="H213" s="3"/>
      <c r="I213" s="3"/>
      <c r="J213" s="3"/>
      <c r="K213" s="3"/>
      <c r="L213" s="3"/>
      <c r="M213" s="3"/>
      <c r="N213" s="3"/>
      <c r="O213" s="3"/>
      <c r="P213" s="3"/>
      <c r="Q213" s="3"/>
      <c r="R213" s="3"/>
      <c r="S213" s="3"/>
      <c r="T213" s="3"/>
      <c r="U213" s="3"/>
      <c r="V213" s="3"/>
      <c r="W213" s="3"/>
      <c r="X213" s="3"/>
      <c r="Y213" s="3"/>
    </row>
    <row r="214">
      <c r="A214" s="7"/>
      <c r="B214" s="6"/>
      <c r="C214" s="6"/>
      <c r="D214" s="3"/>
      <c r="E214" s="3"/>
      <c r="F214" s="3"/>
      <c r="G214" s="3"/>
      <c r="H214" s="3"/>
      <c r="I214" s="3"/>
      <c r="J214" s="3"/>
      <c r="K214" s="3"/>
      <c r="L214" s="3"/>
      <c r="M214" s="3"/>
      <c r="N214" s="3"/>
      <c r="O214" s="3"/>
      <c r="P214" s="3"/>
      <c r="Q214" s="3"/>
      <c r="R214" s="3"/>
      <c r="S214" s="3"/>
      <c r="T214" s="3"/>
      <c r="U214" s="3"/>
      <c r="V214" s="3"/>
      <c r="W214" s="3"/>
      <c r="X214" s="3"/>
      <c r="Y214" s="3"/>
    </row>
    <row r="215">
      <c r="A215" s="7"/>
      <c r="B215" s="6"/>
      <c r="C215" s="6"/>
      <c r="D215" s="3"/>
      <c r="E215" s="3"/>
      <c r="F215" s="3"/>
      <c r="G215" s="3"/>
      <c r="H215" s="3"/>
      <c r="I215" s="3"/>
      <c r="J215" s="3"/>
      <c r="K215" s="3"/>
      <c r="L215" s="3"/>
      <c r="M215" s="3"/>
      <c r="N215" s="3"/>
      <c r="O215" s="3"/>
      <c r="P215" s="3"/>
      <c r="Q215" s="3"/>
      <c r="R215" s="3"/>
      <c r="S215" s="3"/>
      <c r="T215" s="3"/>
      <c r="U215" s="3"/>
      <c r="V215" s="3"/>
      <c r="W215" s="3"/>
      <c r="X215" s="3"/>
      <c r="Y215" s="3"/>
    </row>
    <row r="216">
      <c r="A216" s="7"/>
      <c r="B216" s="6"/>
      <c r="C216" s="6"/>
      <c r="D216" s="3"/>
      <c r="E216" s="3"/>
      <c r="F216" s="3"/>
      <c r="G216" s="3"/>
      <c r="H216" s="3"/>
      <c r="I216" s="3"/>
      <c r="J216" s="3"/>
      <c r="K216" s="3"/>
      <c r="L216" s="3"/>
      <c r="M216" s="3"/>
      <c r="N216" s="3"/>
      <c r="O216" s="3"/>
      <c r="P216" s="3"/>
      <c r="Q216" s="3"/>
      <c r="R216" s="3"/>
      <c r="S216" s="3"/>
      <c r="T216" s="3"/>
      <c r="U216" s="3"/>
      <c r="V216" s="3"/>
      <c r="W216" s="3"/>
      <c r="X216" s="3"/>
      <c r="Y216" s="3"/>
    </row>
    <row r="217">
      <c r="A217" s="7"/>
      <c r="B217" s="6"/>
      <c r="C217" s="6"/>
      <c r="D217" s="3"/>
      <c r="E217" s="3"/>
      <c r="F217" s="3"/>
      <c r="G217" s="3"/>
      <c r="H217" s="3"/>
      <c r="I217" s="3"/>
      <c r="J217" s="3"/>
      <c r="K217" s="3"/>
      <c r="L217" s="3"/>
      <c r="M217" s="3"/>
      <c r="N217" s="3"/>
      <c r="O217" s="3"/>
      <c r="P217" s="3"/>
      <c r="Q217" s="3"/>
      <c r="R217" s="3"/>
      <c r="S217" s="3"/>
      <c r="T217" s="3"/>
      <c r="U217" s="3"/>
      <c r="V217" s="3"/>
      <c r="W217" s="3"/>
      <c r="X217" s="3"/>
      <c r="Y217" s="3"/>
    </row>
    <row r="218">
      <c r="A218" s="7"/>
      <c r="B218" s="6"/>
      <c r="C218" s="6"/>
      <c r="D218" s="3"/>
      <c r="E218" s="3"/>
      <c r="F218" s="3"/>
      <c r="G218" s="3"/>
      <c r="H218" s="3"/>
      <c r="I218" s="3"/>
      <c r="J218" s="3"/>
      <c r="K218" s="3"/>
      <c r="L218" s="3"/>
      <c r="M218" s="3"/>
      <c r="N218" s="3"/>
      <c r="O218" s="3"/>
      <c r="P218" s="3"/>
      <c r="Q218" s="3"/>
      <c r="R218" s="3"/>
      <c r="S218" s="3"/>
      <c r="T218" s="3"/>
      <c r="U218" s="3"/>
      <c r="V218" s="3"/>
      <c r="W218" s="3"/>
      <c r="X218" s="3"/>
      <c r="Y218" s="3"/>
    </row>
    <row r="219">
      <c r="A219" s="7"/>
      <c r="B219" s="6"/>
      <c r="C219" s="6"/>
      <c r="D219" s="3"/>
      <c r="E219" s="3"/>
      <c r="F219" s="3"/>
      <c r="G219" s="3"/>
      <c r="H219" s="3"/>
      <c r="I219" s="3"/>
      <c r="J219" s="3"/>
      <c r="K219" s="3"/>
      <c r="L219" s="3"/>
      <c r="M219" s="3"/>
      <c r="N219" s="3"/>
      <c r="O219" s="3"/>
      <c r="P219" s="3"/>
      <c r="Q219" s="3"/>
      <c r="R219" s="3"/>
      <c r="S219" s="3"/>
      <c r="T219" s="3"/>
      <c r="U219" s="3"/>
      <c r="V219" s="3"/>
      <c r="W219" s="3"/>
      <c r="X219" s="3"/>
      <c r="Y219" s="3"/>
    </row>
    <row r="220">
      <c r="A220" s="7"/>
      <c r="B220" s="6"/>
      <c r="C220" s="6"/>
      <c r="D220" s="3"/>
      <c r="E220" s="3"/>
      <c r="F220" s="3"/>
      <c r="G220" s="3"/>
      <c r="H220" s="3"/>
      <c r="I220" s="3"/>
      <c r="J220" s="3"/>
      <c r="K220" s="3"/>
      <c r="L220" s="3"/>
      <c r="M220" s="3"/>
      <c r="N220" s="3"/>
      <c r="O220" s="3"/>
      <c r="P220" s="3"/>
      <c r="Q220" s="3"/>
      <c r="R220" s="3"/>
      <c r="S220" s="3"/>
      <c r="T220" s="3"/>
      <c r="U220" s="3"/>
      <c r="V220" s="3"/>
      <c r="W220" s="3"/>
      <c r="X220" s="3"/>
      <c r="Y220" s="3"/>
    </row>
    <row r="221">
      <c r="A221" s="7"/>
      <c r="B221" s="6"/>
      <c r="C221" s="6"/>
      <c r="D221" s="3"/>
      <c r="E221" s="3"/>
      <c r="F221" s="3"/>
      <c r="G221" s="3"/>
      <c r="H221" s="3"/>
      <c r="I221" s="3"/>
      <c r="J221" s="3"/>
      <c r="K221" s="3"/>
      <c r="L221" s="3"/>
      <c r="M221" s="3"/>
      <c r="N221" s="3"/>
      <c r="O221" s="3"/>
      <c r="P221" s="3"/>
      <c r="Q221" s="3"/>
      <c r="R221" s="3"/>
      <c r="S221" s="3"/>
      <c r="T221" s="3"/>
      <c r="U221" s="3"/>
      <c r="V221" s="3"/>
      <c r="W221" s="3"/>
      <c r="X221" s="3"/>
      <c r="Y221" s="3"/>
    </row>
    <row r="222">
      <c r="A222" s="7"/>
      <c r="B222" s="6"/>
      <c r="C222" s="6"/>
      <c r="D222" s="3"/>
      <c r="E222" s="3"/>
      <c r="F222" s="3"/>
      <c r="G222" s="3"/>
      <c r="H222" s="3"/>
      <c r="I222" s="3"/>
      <c r="J222" s="3"/>
      <c r="K222" s="3"/>
      <c r="L222" s="3"/>
      <c r="M222" s="3"/>
      <c r="N222" s="3"/>
      <c r="O222" s="3"/>
      <c r="P222" s="3"/>
      <c r="Q222" s="3"/>
      <c r="R222" s="3"/>
      <c r="S222" s="3"/>
      <c r="T222" s="3"/>
      <c r="U222" s="3"/>
      <c r="V222" s="3"/>
      <c r="W222" s="3"/>
      <c r="X222" s="3"/>
      <c r="Y222" s="3"/>
    </row>
    <row r="223">
      <c r="A223" s="7"/>
      <c r="B223" s="6"/>
      <c r="C223" s="6"/>
      <c r="D223" s="3"/>
      <c r="E223" s="3"/>
      <c r="F223" s="3"/>
      <c r="G223" s="3"/>
      <c r="H223" s="3"/>
      <c r="I223" s="3"/>
      <c r="J223" s="3"/>
      <c r="K223" s="3"/>
      <c r="L223" s="3"/>
      <c r="M223" s="3"/>
      <c r="N223" s="3"/>
      <c r="O223" s="3"/>
      <c r="P223" s="3"/>
      <c r="Q223" s="3"/>
      <c r="R223" s="3"/>
      <c r="S223" s="3"/>
      <c r="T223" s="3"/>
      <c r="U223" s="3"/>
      <c r="V223" s="3"/>
      <c r="W223" s="3"/>
      <c r="X223" s="3"/>
      <c r="Y223" s="3"/>
    </row>
    <row r="224">
      <c r="A224" s="7"/>
      <c r="B224" s="6"/>
      <c r="C224" s="6"/>
      <c r="D224" s="3"/>
      <c r="E224" s="3"/>
      <c r="F224" s="3"/>
      <c r="G224" s="3"/>
      <c r="H224" s="3"/>
      <c r="I224" s="3"/>
      <c r="J224" s="3"/>
      <c r="K224" s="3"/>
      <c r="L224" s="3"/>
      <c r="M224" s="3"/>
      <c r="N224" s="3"/>
      <c r="O224" s="3"/>
      <c r="P224" s="3"/>
      <c r="Q224" s="3"/>
      <c r="R224" s="3"/>
      <c r="S224" s="3"/>
      <c r="T224" s="3"/>
      <c r="U224" s="3"/>
      <c r="V224" s="3"/>
      <c r="W224" s="3"/>
      <c r="X224" s="3"/>
      <c r="Y224" s="3"/>
    </row>
    <row r="225">
      <c r="A225" s="7"/>
      <c r="B225" s="6"/>
      <c r="C225" s="6"/>
      <c r="D225" s="3"/>
      <c r="E225" s="3"/>
      <c r="F225" s="3"/>
      <c r="G225" s="3"/>
      <c r="H225" s="3"/>
      <c r="I225" s="3"/>
      <c r="J225" s="3"/>
      <c r="K225" s="3"/>
      <c r="L225" s="3"/>
      <c r="M225" s="3"/>
      <c r="N225" s="3"/>
      <c r="O225" s="3"/>
      <c r="P225" s="3"/>
      <c r="Q225" s="3"/>
      <c r="R225" s="3"/>
      <c r="S225" s="3"/>
      <c r="T225" s="3"/>
      <c r="U225" s="3"/>
      <c r="V225" s="3"/>
      <c r="W225" s="3"/>
      <c r="X225" s="3"/>
      <c r="Y225" s="3"/>
    </row>
    <row r="226">
      <c r="A226" s="7"/>
      <c r="B226" s="6"/>
      <c r="C226" s="6"/>
      <c r="D226" s="3"/>
      <c r="E226" s="3"/>
      <c r="F226" s="3"/>
      <c r="G226" s="3"/>
      <c r="H226" s="3"/>
      <c r="I226" s="3"/>
      <c r="J226" s="3"/>
      <c r="K226" s="3"/>
      <c r="L226" s="3"/>
      <c r="M226" s="3"/>
      <c r="N226" s="3"/>
      <c r="O226" s="3"/>
      <c r="P226" s="3"/>
      <c r="Q226" s="3"/>
      <c r="R226" s="3"/>
      <c r="S226" s="3"/>
      <c r="T226" s="3"/>
      <c r="U226" s="3"/>
      <c r="V226" s="3"/>
      <c r="W226" s="3"/>
      <c r="X226" s="3"/>
      <c r="Y226" s="3"/>
    </row>
    <row r="227">
      <c r="A227" s="7"/>
      <c r="B227" s="6"/>
      <c r="C227" s="6"/>
      <c r="D227" s="3"/>
      <c r="E227" s="3"/>
      <c r="F227" s="3"/>
      <c r="G227" s="3"/>
      <c r="H227" s="3"/>
      <c r="I227" s="3"/>
      <c r="J227" s="3"/>
      <c r="K227" s="3"/>
      <c r="L227" s="3"/>
      <c r="M227" s="3"/>
      <c r="N227" s="3"/>
      <c r="O227" s="3"/>
      <c r="P227" s="3"/>
      <c r="Q227" s="3"/>
      <c r="R227" s="3"/>
      <c r="S227" s="3"/>
      <c r="T227" s="3"/>
      <c r="U227" s="3"/>
      <c r="V227" s="3"/>
      <c r="W227" s="3"/>
      <c r="X227" s="3"/>
      <c r="Y227" s="3"/>
    </row>
    <row r="228">
      <c r="A228" s="7"/>
      <c r="B228" s="6"/>
      <c r="C228" s="6"/>
      <c r="D228" s="3"/>
      <c r="E228" s="3"/>
      <c r="F228" s="3"/>
      <c r="G228" s="3"/>
      <c r="H228" s="3"/>
      <c r="I228" s="3"/>
      <c r="J228" s="3"/>
      <c r="K228" s="3"/>
      <c r="L228" s="3"/>
      <c r="M228" s="3"/>
      <c r="N228" s="3"/>
      <c r="O228" s="3"/>
      <c r="P228" s="3"/>
      <c r="Q228" s="3"/>
      <c r="R228" s="3"/>
      <c r="S228" s="3"/>
      <c r="T228" s="3"/>
      <c r="U228" s="3"/>
      <c r="V228" s="3"/>
      <c r="W228" s="3"/>
      <c r="X228" s="3"/>
      <c r="Y228" s="3"/>
    </row>
    <row r="229">
      <c r="A229" s="7"/>
      <c r="B229" s="6"/>
      <c r="C229" s="6"/>
      <c r="D229" s="3"/>
      <c r="E229" s="3"/>
      <c r="F229" s="3"/>
      <c r="G229" s="3"/>
      <c r="H229" s="3"/>
      <c r="I229" s="3"/>
      <c r="J229" s="3"/>
      <c r="K229" s="3"/>
      <c r="L229" s="3"/>
      <c r="M229" s="3"/>
      <c r="N229" s="3"/>
      <c r="O229" s="3"/>
      <c r="P229" s="3"/>
      <c r="Q229" s="3"/>
      <c r="R229" s="3"/>
      <c r="S229" s="3"/>
      <c r="T229" s="3"/>
      <c r="U229" s="3"/>
      <c r="V229" s="3"/>
      <c r="W229" s="3"/>
      <c r="X229" s="3"/>
      <c r="Y229" s="3"/>
    </row>
    <row r="230">
      <c r="A230" s="7"/>
      <c r="B230" s="6"/>
      <c r="C230" s="6"/>
      <c r="D230" s="3"/>
      <c r="E230" s="3"/>
      <c r="F230" s="3"/>
      <c r="G230" s="3"/>
      <c r="H230" s="3"/>
      <c r="I230" s="3"/>
      <c r="J230" s="3"/>
      <c r="K230" s="3"/>
      <c r="L230" s="3"/>
      <c r="M230" s="3"/>
      <c r="N230" s="3"/>
      <c r="O230" s="3"/>
      <c r="P230" s="3"/>
      <c r="Q230" s="3"/>
      <c r="R230" s="3"/>
      <c r="S230" s="3"/>
      <c r="T230" s="3"/>
      <c r="U230" s="3"/>
      <c r="V230" s="3"/>
      <c r="W230" s="3"/>
      <c r="X230" s="3"/>
      <c r="Y230" s="3"/>
    </row>
    <row r="231">
      <c r="A231" s="7"/>
      <c r="B231" s="6"/>
      <c r="C231" s="6"/>
      <c r="D231" s="3"/>
      <c r="E231" s="3"/>
      <c r="F231" s="3"/>
      <c r="G231" s="3"/>
      <c r="H231" s="3"/>
      <c r="I231" s="3"/>
      <c r="J231" s="3"/>
      <c r="K231" s="3"/>
      <c r="L231" s="3"/>
      <c r="M231" s="3"/>
      <c r="N231" s="3"/>
      <c r="O231" s="3"/>
      <c r="P231" s="3"/>
      <c r="Q231" s="3"/>
      <c r="R231" s="3"/>
      <c r="S231" s="3"/>
      <c r="T231" s="3"/>
      <c r="U231" s="3"/>
      <c r="V231" s="3"/>
      <c r="W231" s="3"/>
      <c r="X231" s="3"/>
      <c r="Y231" s="3"/>
    </row>
    <row r="232">
      <c r="A232" s="7"/>
      <c r="B232" s="6"/>
      <c r="C232" s="6"/>
      <c r="D232" s="3"/>
      <c r="E232" s="3"/>
      <c r="F232" s="3"/>
      <c r="G232" s="3"/>
      <c r="H232" s="3"/>
      <c r="I232" s="3"/>
      <c r="J232" s="3"/>
      <c r="K232" s="3"/>
      <c r="L232" s="3"/>
      <c r="M232" s="3"/>
      <c r="N232" s="3"/>
      <c r="O232" s="3"/>
      <c r="P232" s="3"/>
      <c r="Q232" s="3"/>
      <c r="R232" s="3"/>
      <c r="S232" s="3"/>
      <c r="T232" s="3"/>
      <c r="U232" s="3"/>
      <c r="V232" s="3"/>
      <c r="W232" s="3"/>
      <c r="X232" s="3"/>
      <c r="Y232" s="3"/>
    </row>
    <row r="233">
      <c r="A233" s="7"/>
      <c r="B233" s="6"/>
      <c r="C233" s="6"/>
      <c r="D233" s="3"/>
      <c r="E233" s="3"/>
      <c r="F233" s="3"/>
      <c r="G233" s="3"/>
      <c r="H233" s="3"/>
      <c r="I233" s="3"/>
      <c r="J233" s="3"/>
      <c r="K233" s="3"/>
      <c r="L233" s="3"/>
      <c r="M233" s="3"/>
      <c r="N233" s="3"/>
      <c r="O233" s="3"/>
      <c r="P233" s="3"/>
      <c r="Q233" s="3"/>
      <c r="R233" s="3"/>
      <c r="S233" s="3"/>
      <c r="T233" s="3"/>
      <c r="U233" s="3"/>
      <c r="V233" s="3"/>
      <c r="W233" s="3"/>
      <c r="X233" s="3"/>
      <c r="Y233" s="3"/>
    </row>
    <row r="234">
      <c r="A234" s="7"/>
      <c r="B234" s="6"/>
      <c r="C234" s="6"/>
      <c r="D234" s="3"/>
      <c r="E234" s="3"/>
      <c r="F234" s="3"/>
      <c r="G234" s="3"/>
      <c r="H234" s="3"/>
      <c r="I234" s="3"/>
      <c r="J234" s="3"/>
      <c r="K234" s="3"/>
      <c r="L234" s="3"/>
      <c r="M234" s="3"/>
      <c r="N234" s="3"/>
      <c r="O234" s="3"/>
      <c r="P234" s="3"/>
      <c r="Q234" s="3"/>
      <c r="R234" s="3"/>
      <c r="S234" s="3"/>
      <c r="T234" s="3"/>
      <c r="U234" s="3"/>
      <c r="V234" s="3"/>
      <c r="W234" s="3"/>
      <c r="X234" s="3"/>
      <c r="Y234" s="3"/>
    </row>
    <row r="235">
      <c r="A235" s="7"/>
      <c r="B235" s="6"/>
      <c r="C235" s="6"/>
      <c r="D235" s="3"/>
      <c r="E235" s="3"/>
      <c r="F235" s="3"/>
      <c r="G235" s="3"/>
      <c r="H235" s="3"/>
      <c r="I235" s="3"/>
      <c r="J235" s="3"/>
      <c r="K235" s="3"/>
      <c r="L235" s="3"/>
      <c r="M235" s="3"/>
      <c r="N235" s="3"/>
      <c r="O235" s="3"/>
      <c r="P235" s="3"/>
      <c r="Q235" s="3"/>
      <c r="R235" s="3"/>
      <c r="S235" s="3"/>
      <c r="T235" s="3"/>
      <c r="U235" s="3"/>
      <c r="V235" s="3"/>
      <c r="W235" s="3"/>
      <c r="X235" s="3"/>
      <c r="Y235" s="3"/>
    </row>
    <row r="236">
      <c r="A236" s="7"/>
      <c r="B236" s="6"/>
      <c r="C236" s="6"/>
      <c r="D236" s="3"/>
      <c r="E236" s="3"/>
      <c r="F236" s="3"/>
      <c r="G236" s="3"/>
      <c r="H236" s="3"/>
      <c r="I236" s="3"/>
      <c r="J236" s="3"/>
      <c r="K236" s="3"/>
      <c r="L236" s="3"/>
      <c r="M236" s="3"/>
      <c r="N236" s="3"/>
      <c r="O236" s="3"/>
      <c r="P236" s="3"/>
      <c r="Q236" s="3"/>
      <c r="R236" s="3"/>
      <c r="S236" s="3"/>
      <c r="T236" s="3"/>
      <c r="U236" s="3"/>
      <c r="V236" s="3"/>
      <c r="W236" s="3"/>
      <c r="X236" s="3"/>
      <c r="Y236" s="3"/>
    </row>
    <row r="237">
      <c r="A237" s="7"/>
      <c r="B237" s="6"/>
      <c r="C237" s="6"/>
      <c r="D237" s="3"/>
      <c r="E237" s="3"/>
      <c r="F237" s="3"/>
      <c r="G237" s="3"/>
      <c r="H237" s="3"/>
      <c r="I237" s="3"/>
      <c r="J237" s="3"/>
      <c r="K237" s="3"/>
      <c r="L237" s="3"/>
      <c r="M237" s="3"/>
      <c r="N237" s="3"/>
      <c r="O237" s="3"/>
      <c r="P237" s="3"/>
      <c r="Q237" s="3"/>
      <c r="R237" s="3"/>
      <c r="S237" s="3"/>
      <c r="T237" s="3"/>
      <c r="U237" s="3"/>
      <c r="V237" s="3"/>
      <c r="W237" s="3"/>
      <c r="X237" s="3"/>
      <c r="Y237" s="3"/>
    </row>
    <row r="238">
      <c r="A238" s="7"/>
      <c r="B238" s="6"/>
      <c r="C238" s="6"/>
      <c r="D238" s="3"/>
      <c r="E238" s="3"/>
      <c r="F238" s="3"/>
      <c r="G238" s="3"/>
      <c r="H238" s="3"/>
      <c r="I238" s="3"/>
      <c r="J238" s="3"/>
      <c r="K238" s="3"/>
      <c r="L238" s="3"/>
      <c r="M238" s="3"/>
      <c r="N238" s="3"/>
      <c r="O238" s="3"/>
      <c r="P238" s="3"/>
      <c r="Q238" s="3"/>
      <c r="R238" s="3"/>
      <c r="S238" s="3"/>
      <c r="T238" s="3"/>
      <c r="U238" s="3"/>
      <c r="V238" s="3"/>
      <c r="W238" s="3"/>
      <c r="X238" s="3"/>
      <c r="Y238" s="3"/>
    </row>
    <row r="239">
      <c r="A239" s="7"/>
      <c r="B239" s="6"/>
      <c r="C239" s="6"/>
      <c r="D239" s="3"/>
      <c r="E239" s="3"/>
      <c r="F239" s="3"/>
      <c r="G239" s="3"/>
      <c r="H239" s="3"/>
      <c r="I239" s="3"/>
      <c r="J239" s="3"/>
      <c r="K239" s="3"/>
      <c r="L239" s="3"/>
      <c r="M239" s="3"/>
      <c r="N239" s="3"/>
      <c r="O239" s="3"/>
      <c r="P239" s="3"/>
      <c r="Q239" s="3"/>
      <c r="R239" s="3"/>
      <c r="S239" s="3"/>
      <c r="T239" s="3"/>
      <c r="U239" s="3"/>
      <c r="V239" s="3"/>
      <c r="W239" s="3"/>
      <c r="X239" s="3"/>
      <c r="Y239" s="3"/>
    </row>
    <row r="240">
      <c r="A240" s="7"/>
      <c r="B240" s="6"/>
      <c r="C240" s="6"/>
      <c r="D240" s="3"/>
      <c r="E240" s="3"/>
      <c r="F240" s="3"/>
      <c r="G240" s="3"/>
      <c r="H240" s="3"/>
      <c r="I240" s="3"/>
      <c r="J240" s="3"/>
      <c r="K240" s="3"/>
      <c r="L240" s="3"/>
      <c r="M240" s="3"/>
      <c r="N240" s="3"/>
      <c r="O240" s="3"/>
      <c r="P240" s="3"/>
      <c r="Q240" s="3"/>
      <c r="R240" s="3"/>
      <c r="S240" s="3"/>
      <c r="T240" s="3"/>
      <c r="U240" s="3"/>
      <c r="V240" s="3"/>
      <c r="W240" s="3"/>
      <c r="X240" s="3"/>
      <c r="Y240" s="3"/>
    </row>
    <row r="241">
      <c r="A241" s="7"/>
      <c r="B241" s="6"/>
      <c r="C241" s="6"/>
      <c r="D241" s="3"/>
      <c r="E241" s="3"/>
      <c r="F241" s="3"/>
      <c r="G241" s="3"/>
      <c r="H241" s="3"/>
      <c r="I241" s="3"/>
      <c r="J241" s="3"/>
      <c r="K241" s="3"/>
      <c r="L241" s="3"/>
      <c r="M241" s="3"/>
      <c r="N241" s="3"/>
      <c r="O241" s="3"/>
      <c r="P241" s="3"/>
      <c r="Q241" s="3"/>
      <c r="R241" s="3"/>
      <c r="S241" s="3"/>
      <c r="T241" s="3"/>
      <c r="U241" s="3"/>
      <c r="V241" s="3"/>
      <c r="W241" s="3"/>
      <c r="X241" s="3"/>
      <c r="Y241" s="3"/>
    </row>
    <row r="242">
      <c r="A242" s="7"/>
      <c r="B242" s="6"/>
      <c r="C242" s="6"/>
      <c r="D242" s="3"/>
      <c r="E242" s="3"/>
      <c r="F242" s="3"/>
      <c r="G242" s="3"/>
      <c r="H242" s="3"/>
      <c r="I242" s="3"/>
      <c r="J242" s="3"/>
      <c r="K242" s="3"/>
      <c r="L242" s="3"/>
      <c r="M242" s="3"/>
      <c r="N242" s="3"/>
      <c r="O242" s="3"/>
      <c r="P242" s="3"/>
      <c r="Q242" s="3"/>
      <c r="R242" s="3"/>
      <c r="S242" s="3"/>
      <c r="T242" s="3"/>
      <c r="U242" s="3"/>
      <c r="V242" s="3"/>
      <c r="W242" s="3"/>
      <c r="X242" s="3"/>
      <c r="Y242" s="3"/>
    </row>
    <row r="243">
      <c r="A243" s="7"/>
      <c r="B243" s="6"/>
      <c r="C243" s="6"/>
      <c r="D243" s="3"/>
      <c r="E243" s="3"/>
      <c r="F243" s="3"/>
      <c r="G243" s="3"/>
      <c r="H243" s="3"/>
      <c r="I243" s="3"/>
      <c r="J243" s="3"/>
      <c r="K243" s="3"/>
      <c r="L243" s="3"/>
      <c r="M243" s="3"/>
      <c r="N243" s="3"/>
      <c r="O243" s="3"/>
      <c r="P243" s="3"/>
      <c r="Q243" s="3"/>
      <c r="R243" s="3"/>
      <c r="S243" s="3"/>
      <c r="T243" s="3"/>
      <c r="U243" s="3"/>
      <c r="V243" s="3"/>
      <c r="W243" s="3"/>
      <c r="X243" s="3"/>
      <c r="Y243" s="3"/>
    </row>
    <row r="244">
      <c r="A244" s="7"/>
      <c r="B244" s="6"/>
      <c r="C244" s="6"/>
      <c r="D244" s="3"/>
      <c r="E244" s="3"/>
      <c r="F244" s="3"/>
      <c r="G244" s="3"/>
      <c r="H244" s="3"/>
      <c r="I244" s="3"/>
      <c r="J244" s="3"/>
      <c r="K244" s="3"/>
      <c r="L244" s="3"/>
      <c r="M244" s="3"/>
      <c r="N244" s="3"/>
      <c r="O244" s="3"/>
      <c r="P244" s="3"/>
      <c r="Q244" s="3"/>
      <c r="R244" s="3"/>
      <c r="S244" s="3"/>
      <c r="T244" s="3"/>
      <c r="U244" s="3"/>
      <c r="V244" s="3"/>
      <c r="W244" s="3"/>
      <c r="X244" s="3"/>
      <c r="Y244" s="3"/>
    </row>
    <row r="245">
      <c r="A245" s="7"/>
      <c r="B245" s="6"/>
      <c r="C245" s="6"/>
      <c r="D245" s="3"/>
      <c r="E245" s="3"/>
      <c r="F245" s="3"/>
      <c r="G245" s="3"/>
      <c r="H245" s="3"/>
      <c r="I245" s="3"/>
      <c r="J245" s="3"/>
      <c r="K245" s="3"/>
      <c r="L245" s="3"/>
      <c r="M245" s="3"/>
      <c r="N245" s="3"/>
      <c r="O245" s="3"/>
      <c r="P245" s="3"/>
      <c r="Q245" s="3"/>
      <c r="R245" s="3"/>
      <c r="S245" s="3"/>
      <c r="T245" s="3"/>
      <c r="U245" s="3"/>
      <c r="V245" s="3"/>
      <c r="W245" s="3"/>
      <c r="X245" s="3"/>
      <c r="Y245" s="3"/>
    </row>
    <row r="246">
      <c r="A246" s="7"/>
      <c r="B246" s="6"/>
      <c r="C246" s="6"/>
      <c r="D246" s="3"/>
      <c r="E246" s="3"/>
      <c r="F246" s="3"/>
      <c r="G246" s="3"/>
      <c r="H246" s="3"/>
      <c r="I246" s="3"/>
      <c r="J246" s="3"/>
      <c r="K246" s="3"/>
      <c r="L246" s="3"/>
      <c r="M246" s="3"/>
      <c r="N246" s="3"/>
      <c r="O246" s="3"/>
      <c r="P246" s="3"/>
      <c r="Q246" s="3"/>
      <c r="R246" s="3"/>
      <c r="S246" s="3"/>
      <c r="T246" s="3"/>
      <c r="U246" s="3"/>
      <c r="V246" s="3"/>
      <c r="W246" s="3"/>
      <c r="X246" s="3"/>
      <c r="Y246" s="3"/>
    </row>
    <row r="247">
      <c r="A247" s="7"/>
      <c r="B247" s="6"/>
      <c r="C247" s="6"/>
      <c r="D247" s="3"/>
      <c r="E247" s="3"/>
      <c r="F247" s="3"/>
      <c r="G247" s="3"/>
      <c r="H247" s="3"/>
      <c r="I247" s="3"/>
      <c r="J247" s="3"/>
      <c r="K247" s="3"/>
      <c r="L247" s="3"/>
      <c r="M247" s="3"/>
      <c r="N247" s="3"/>
      <c r="O247" s="3"/>
      <c r="P247" s="3"/>
      <c r="Q247" s="3"/>
      <c r="R247" s="3"/>
      <c r="S247" s="3"/>
      <c r="T247" s="3"/>
      <c r="U247" s="3"/>
      <c r="V247" s="3"/>
      <c r="W247" s="3"/>
      <c r="X247" s="3"/>
      <c r="Y247" s="3"/>
    </row>
    <row r="248">
      <c r="A248" s="7"/>
      <c r="B248" s="6"/>
      <c r="C248" s="6"/>
      <c r="D248" s="3"/>
      <c r="E248" s="3"/>
      <c r="F248" s="3"/>
      <c r="G248" s="3"/>
      <c r="H248" s="3"/>
      <c r="I248" s="3"/>
      <c r="J248" s="3"/>
      <c r="K248" s="3"/>
      <c r="L248" s="3"/>
      <c r="M248" s="3"/>
      <c r="N248" s="3"/>
      <c r="O248" s="3"/>
      <c r="P248" s="3"/>
      <c r="Q248" s="3"/>
      <c r="R248" s="3"/>
      <c r="S248" s="3"/>
      <c r="T248" s="3"/>
      <c r="U248" s="3"/>
      <c r="V248" s="3"/>
      <c r="W248" s="3"/>
      <c r="X248" s="3"/>
      <c r="Y248" s="3"/>
    </row>
    <row r="249">
      <c r="A249" s="7"/>
      <c r="B249" s="6"/>
      <c r="C249" s="6"/>
      <c r="D249" s="3"/>
      <c r="E249" s="3"/>
      <c r="F249" s="3"/>
      <c r="G249" s="3"/>
      <c r="H249" s="3"/>
      <c r="I249" s="3"/>
      <c r="J249" s="3"/>
      <c r="K249" s="3"/>
      <c r="L249" s="3"/>
      <c r="M249" s="3"/>
      <c r="N249" s="3"/>
      <c r="O249" s="3"/>
      <c r="P249" s="3"/>
      <c r="Q249" s="3"/>
      <c r="R249" s="3"/>
      <c r="S249" s="3"/>
      <c r="T249" s="3"/>
      <c r="U249" s="3"/>
      <c r="V249" s="3"/>
      <c r="W249" s="3"/>
      <c r="X249" s="3"/>
      <c r="Y249" s="3"/>
    </row>
    <row r="250">
      <c r="A250" s="7"/>
      <c r="B250" s="6"/>
      <c r="C250" s="6"/>
      <c r="D250" s="3"/>
      <c r="E250" s="3"/>
      <c r="F250" s="3"/>
      <c r="G250" s="3"/>
      <c r="H250" s="3"/>
      <c r="I250" s="3"/>
      <c r="J250" s="3"/>
      <c r="K250" s="3"/>
      <c r="L250" s="3"/>
      <c r="M250" s="3"/>
      <c r="N250" s="3"/>
      <c r="O250" s="3"/>
      <c r="P250" s="3"/>
      <c r="Q250" s="3"/>
      <c r="R250" s="3"/>
      <c r="S250" s="3"/>
      <c r="T250" s="3"/>
      <c r="U250" s="3"/>
      <c r="V250" s="3"/>
      <c r="W250" s="3"/>
      <c r="X250" s="3"/>
      <c r="Y250" s="3"/>
    </row>
    <row r="251">
      <c r="A251" s="7"/>
      <c r="B251" s="6"/>
      <c r="C251" s="6"/>
      <c r="D251" s="3"/>
      <c r="E251" s="3"/>
      <c r="F251" s="3"/>
      <c r="G251" s="3"/>
      <c r="H251" s="3"/>
      <c r="I251" s="3"/>
      <c r="J251" s="3"/>
      <c r="K251" s="3"/>
      <c r="L251" s="3"/>
      <c r="M251" s="3"/>
      <c r="N251" s="3"/>
      <c r="O251" s="3"/>
      <c r="P251" s="3"/>
      <c r="Q251" s="3"/>
      <c r="R251" s="3"/>
      <c r="S251" s="3"/>
      <c r="T251" s="3"/>
      <c r="U251" s="3"/>
      <c r="V251" s="3"/>
      <c r="W251" s="3"/>
      <c r="X251" s="3"/>
      <c r="Y251" s="3"/>
    </row>
    <row r="252">
      <c r="A252" s="7"/>
      <c r="B252" s="6"/>
      <c r="C252" s="6"/>
      <c r="D252" s="3"/>
      <c r="E252" s="3"/>
      <c r="F252" s="3"/>
      <c r="G252" s="3"/>
      <c r="H252" s="3"/>
      <c r="I252" s="3"/>
      <c r="J252" s="3"/>
      <c r="K252" s="3"/>
      <c r="L252" s="3"/>
      <c r="M252" s="3"/>
      <c r="N252" s="3"/>
      <c r="O252" s="3"/>
      <c r="P252" s="3"/>
      <c r="Q252" s="3"/>
      <c r="R252" s="3"/>
      <c r="S252" s="3"/>
      <c r="T252" s="3"/>
      <c r="U252" s="3"/>
      <c r="V252" s="3"/>
      <c r="W252" s="3"/>
      <c r="X252" s="3"/>
      <c r="Y252" s="3"/>
    </row>
    <row r="253">
      <c r="A253" s="7"/>
      <c r="B253" s="6"/>
      <c r="C253" s="6"/>
      <c r="D253" s="3"/>
      <c r="E253" s="3"/>
      <c r="F253" s="3"/>
      <c r="G253" s="3"/>
      <c r="H253" s="3"/>
      <c r="I253" s="3"/>
      <c r="J253" s="3"/>
      <c r="K253" s="3"/>
      <c r="L253" s="3"/>
      <c r="M253" s="3"/>
      <c r="N253" s="3"/>
      <c r="O253" s="3"/>
      <c r="P253" s="3"/>
      <c r="Q253" s="3"/>
      <c r="R253" s="3"/>
      <c r="S253" s="3"/>
      <c r="T253" s="3"/>
      <c r="U253" s="3"/>
      <c r="V253" s="3"/>
      <c r="W253" s="3"/>
      <c r="X253" s="3"/>
      <c r="Y253" s="3"/>
    </row>
    <row r="254">
      <c r="A254" s="7"/>
      <c r="B254" s="6"/>
      <c r="C254" s="6"/>
      <c r="D254" s="3"/>
      <c r="E254" s="3"/>
      <c r="F254" s="3"/>
      <c r="G254" s="3"/>
      <c r="H254" s="3"/>
      <c r="I254" s="3"/>
      <c r="J254" s="3"/>
      <c r="K254" s="3"/>
      <c r="L254" s="3"/>
      <c r="M254" s="3"/>
      <c r="N254" s="3"/>
      <c r="O254" s="3"/>
      <c r="P254" s="3"/>
      <c r="Q254" s="3"/>
      <c r="R254" s="3"/>
      <c r="S254" s="3"/>
      <c r="T254" s="3"/>
      <c r="U254" s="3"/>
      <c r="V254" s="3"/>
      <c r="W254" s="3"/>
      <c r="X254" s="3"/>
      <c r="Y254" s="3"/>
    </row>
    <row r="255">
      <c r="A255" s="7"/>
      <c r="B255" s="6"/>
      <c r="C255" s="6"/>
      <c r="D255" s="3"/>
      <c r="E255" s="3"/>
      <c r="F255" s="3"/>
      <c r="G255" s="3"/>
      <c r="H255" s="3"/>
      <c r="I255" s="3"/>
      <c r="J255" s="3"/>
      <c r="K255" s="3"/>
      <c r="L255" s="3"/>
      <c r="M255" s="3"/>
      <c r="N255" s="3"/>
      <c r="O255" s="3"/>
      <c r="P255" s="3"/>
      <c r="Q255" s="3"/>
      <c r="R255" s="3"/>
      <c r="S255" s="3"/>
      <c r="T255" s="3"/>
      <c r="U255" s="3"/>
      <c r="V255" s="3"/>
      <c r="W255" s="3"/>
      <c r="X255" s="3"/>
      <c r="Y255" s="3"/>
    </row>
    <row r="256">
      <c r="A256" s="7"/>
      <c r="B256" s="6"/>
      <c r="C256" s="6"/>
      <c r="D256" s="3"/>
      <c r="E256" s="3"/>
      <c r="F256" s="3"/>
      <c r="G256" s="3"/>
      <c r="H256" s="3"/>
      <c r="I256" s="3"/>
      <c r="J256" s="3"/>
      <c r="K256" s="3"/>
      <c r="L256" s="3"/>
      <c r="M256" s="3"/>
      <c r="N256" s="3"/>
      <c r="O256" s="3"/>
      <c r="P256" s="3"/>
      <c r="Q256" s="3"/>
      <c r="R256" s="3"/>
      <c r="S256" s="3"/>
      <c r="T256" s="3"/>
      <c r="U256" s="3"/>
      <c r="V256" s="3"/>
      <c r="W256" s="3"/>
      <c r="X256" s="3"/>
      <c r="Y256" s="3"/>
    </row>
    <row r="257">
      <c r="A257" s="7"/>
      <c r="B257" s="6"/>
      <c r="C257" s="6"/>
      <c r="D257" s="3"/>
      <c r="E257" s="3"/>
      <c r="F257" s="3"/>
      <c r="G257" s="3"/>
      <c r="H257" s="3"/>
      <c r="I257" s="3"/>
      <c r="J257" s="3"/>
      <c r="K257" s="3"/>
      <c r="L257" s="3"/>
      <c r="M257" s="3"/>
      <c r="N257" s="3"/>
      <c r="O257" s="3"/>
      <c r="P257" s="3"/>
      <c r="Q257" s="3"/>
      <c r="R257" s="3"/>
      <c r="S257" s="3"/>
      <c r="T257" s="3"/>
      <c r="U257" s="3"/>
      <c r="V257" s="3"/>
      <c r="W257" s="3"/>
      <c r="X257" s="3"/>
      <c r="Y257" s="3"/>
    </row>
    <row r="258">
      <c r="A258" s="7"/>
      <c r="B258" s="6"/>
      <c r="C258" s="6"/>
      <c r="D258" s="3"/>
      <c r="E258" s="3"/>
      <c r="F258" s="3"/>
      <c r="G258" s="3"/>
      <c r="H258" s="3"/>
      <c r="I258" s="3"/>
      <c r="J258" s="3"/>
      <c r="K258" s="3"/>
      <c r="L258" s="3"/>
      <c r="M258" s="3"/>
      <c r="N258" s="3"/>
      <c r="O258" s="3"/>
      <c r="P258" s="3"/>
      <c r="Q258" s="3"/>
      <c r="R258" s="3"/>
      <c r="S258" s="3"/>
      <c r="T258" s="3"/>
      <c r="U258" s="3"/>
      <c r="V258" s="3"/>
      <c r="W258" s="3"/>
      <c r="X258" s="3"/>
      <c r="Y258" s="3"/>
    </row>
    <row r="259">
      <c r="A259" s="7"/>
      <c r="B259" s="6"/>
      <c r="C259" s="6"/>
      <c r="D259" s="3"/>
      <c r="E259" s="3"/>
      <c r="F259" s="3"/>
      <c r="G259" s="3"/>
      <c r="H259" s="3"/>
      <c r="I259" s="3"/>
      <c r="J259" s="3"/>
      <c r="K259" s="3"/>
      <c r="L259" s="3"/>
      <c r="M259" s="3"/>
      <c r="N259" s="3"/>
      <c r="O259" s="3"/>
      <c r="P259" s="3"/>
      <c r="Q259" s="3"/>
      <c r="R259" s="3"/>
      <c r="S259" s="3"/>
      <c r="T259" s="3"/>
      <c r="U259" s="3"/>
      <c r="V259" s="3"/>
      <c r="W259" s="3"/>
      <c r="X259" s="3"/>
      <c r="Y259" s="3"/>
    </row>
    <row r="260">
      <c r="A260" s="7"/>
      <c r="B260" s="6"/>
      <c r="C260" s="6"/>
      <c r="D260" s="3"/>
      <c r="E260" s="3"/>
      <c r="F260" s="3"/>
      <c r="G260" s="3"/>
      <c r="H260" s="3"/>
      <c r="I260" s="3"/>
      <c r="J260" s="3"/>
      <c r="K260" s="3"/>
      <c r="L260" s="3"/>
      <c r="M260" s="3"/>
      <c r="N260" s="3"/>
      <c r="O260" s="3"/>
      <c r="P260" s="3"/>
      <c r="Q260" s="3"/>
      <c r="R260" s="3"/>
      <c r="S260" s="3"/>
      <c r="T260" s="3"/>
      <c r="U260" s="3"/>
      <c r="V260" s="3"/>
      <c r="W260" s="3"/>
      <c r="X260" s="3"/>
      <c r="Y260" s="3"/>
    </row>
    <row r="261">
      <c r="A261" s="7"/>
      <c r="B261" s="6"/>
      <c r="C261" s="6"/>
      <c r="D261" s="3"/>
      <c r="E261" s="3"/>
      <c r="F261" s="3"/>
      <c r="G261" s="3"/>
      <c r="H261" s="3"/>
      <c r="I261" s="3"/>
      <c r="J261" s="3"/>
      <c r="K261" s="3"/>
      <c r="L261" s="3"/>
      <c r="M261" s="3"/>
      <c r="N261" s="3"/>
      <c r="O261" s="3"/>
      <c r="P261" s="3"/>
      <c r="Q261" s="3"/>
      <c r="R261" s="3"/>
      <c r="S261" s="3"/>
      <c r="T261" s="3"/>
      <c r="U261" s="3"/>
      <c r="V261" s="3"/>
      <c r="W261" s="3"/>
      <c r="X261" s="3"/>
      <c r="Y261" s="3"/>
    </row>
    <row r="262">
      <c r="A262" s="7"/>
      <c r="B262" s="6"/>
      <c r="C262" s="6"/>
      <c r="D262" s="3"/>
      <c r="E262" s="3"/>
      <c r="F262" s="3"/>
      <c r="G262" s="3"/>
      <c r="H262" s="3"/>
      <c r="I262" s="3"/>
      <c r="J262" s="3"/>
      <c r="K262" s="3"/>
      <c r="L262" s="3"/>
      <c r="M262" s="3"/>
      <c r="N262" s="3"/>
      <c r="O262" s="3"/>
      <c r="P262" s="3"/>
      <c r="Q262" s="3"/>
      <c r="R262" s="3"/>
      <c r="S262" s="3"/>
      <c r="T262" s="3"/>
      <c r="U262" s="3"/>
      <c r="V262" s="3"/>
      <c r="W262" s="3"/>
      <c r="X262" s="3"/>
      <c r="Y262" s="3"/>
    </row>
    <row r="263">
      <c r="A263" s="7"/>
      <c r="B263" s="6"/>
      <c r="C263" s="6"/>
      <c r="D263" s="3"/>
      <c r="E263" s="3"/>
      <c r="F263" s="3"/>
      <c r="G263" s="3"/>
      <c r="H263" s="3"/>
      <c r="I263" s="3"/>
      <c r="J263" s="3"/>
      <c r="K263" s="3"/>
      <c r="L263" s="3"/>
      <c r="M263" s="3"/>
      <c r="N263" s="3"/>
      <c r="O263" s="3"/>
      <c r="P263" s="3"/>
      <c r="Q263" s="3"/>
      <c r="R263" s="3"/>
      <c r="S263" s="3"/>
      <c r="T263" s="3"/>
      <c r="U263" s="3"/>
      <c r="V263" s="3"/>
      <c r="W263" s="3"/>
      <c r="X263" s="3"/>
      <c r="Y263" s="3"/>
    </row>
    <row r="264">
      <c r="A264" s="7"/>
      <c r="B264" s="6"/>
      <c r="C264" s="6"/>
      <c r="D264" s="3"/>
      <c r="E264" s="3"/>
      <c r="F264" s="3"/>
      <c r="G264" s="3"/>
      <c r="H264" s="3"/>
      <c r="I264" s="3"/>
      <c r="J264" s="3"/>
      <c r="K264" s="3"/>
      <c r="L264" s="3"/>
      <c r="M264" s="3"/>
      <c r="N264" s="3"/>
      <c r="O264" s="3"/>
      <c r="P264" s="3"/>
      <c r="Q264" s="3"/>
      <c r="R264" s="3"/>
      <c r="S264" s="3"/>
      <c r="T264" s="3"/>
      <c r="U264" s="3"/>
      <c r="V264" s="3"/>
      <c r="W264" s="3"/>
      <c r="X264" s="3"/>
      <c r="Y264" s="3"/>
    </row>
    <row r="265">
      <c r="A265" s="7"/>
      <c r="B265" s="6"/>
      <c r="C265" s="6"/>
      <c r="D265" s="3"/>
      <c r="E265" s="3"/>
      <c r="F265" s="3"/>
      <c r="G265" s="3"/>
      <c r="H265" s="3"/>
      <c r="I265" s="3"/>
      <c r="J265" s="3"/>
      <c r="K265" s="3"/>
      <c r="L265" s="3"/>
      <c r="M265" s="3"/>
      <c r="N265" s="3"/>
      <c r="O265" s="3"/>
      <c r="P265" s="3"/>
      <c r="Q265" s="3"/>
      <c r="R265" s="3"/>
      <c r="S265" s="3"/>
      <c r="T265" s="3"/>
      <c r="U265" s="3"/>
      <c r="V265" s="3"/>
      <c r="W265" s="3"/>
      <c r="X265" s="3"/>
      <c r="Y265" s="3"/>
    </row>
    <row r="266">
      <c r="A266" s="7"/>
      <c r="B266" s="6"/>
      <c r="C266" s="6"/>
      <c r="D266" s="3"/>
      <c r="E266" s="3"/>
      <c r="F266" s="3"/>
      <c r="G266" s="3"/>
      <c r="H266" s="3"/>
      <c r="I266" s="3"/>
      <c r="J266" s="3"/>
      <c r="K266" s="3"/>
      <c r="L266" s="3"/>
      <c r="M266" s="3"/>
      <c r="N266" s="3"/>
      <c r="O266" s="3"/>
      <c r="P266" s="3"/>
      <c r="Q266" s="3"/>
      <c r="R266" s="3"/>
      <c r="S266" s="3"/>
      <c r="T266" s="3"/>
      <c r="U266" s="3"/>
      <c r="V266" s="3"/>
      <c r="W266" s="3"/>
      <c r="X266" s="3"/>
      <c r="Y266" s="3"/>
    </row>
    <row r="267">
      <c r="A267" s="7"/>
      <c r="B267" s="6"/>
      <c r="C267" s="6"/>
      <c r="D267" s="3"/>
      <c r="E267" s="3"/>
      <c r="F267" s="3"/>
      <c r="G267" s="3"/>
      <c r="H267" s="3"/>
      <c r="I267" s="3"/>
      <c r="J267" s="3"/>
      <c r="K267" s="3"/>
      <c r="L267" s="3"/>
      <c r="M267" s="3"/>
      <c r="N267" s="3"/>
      <c r="O267" s="3"/>
      <c r="P267" s="3"/>
      <c r="Q267" s="3"/>
      <c r="R267" s="3"/>
      <c r="S267" s="3"/>
      <c r="T267" s="3"/>
      <c r="U267" s="3"/>
      <c r="V267" s="3"/>
      <c r="W267" s="3"/>
      <c r="X267" s="3"/>
      <c r="Y267" s="3"/>
    </row>
    <row r="268">
      <c r="A268" s="7"/>
      <c r="B268" s="6"/>
      <c r="C268" s="6"/>
      <c r="D268" s="3"/>
      <c r="E268" s="3"/>
      <c r="F268" s="3"/>
      <c r="G268" s="3"/>
      <c r="H268" s="3"/>
      <c r="I268" s="3"/>
      <c r="J268" s="3"/>
      <c r="K268" s="3"/>
      <c r="L268" s="3"/>
      <c r="M268" s="3"/>
      <c r="N268" s="3"/>
      <c r="O268" s="3"/>
      <c r="P268" s="3"/>
      <c r="Q268" s="3"/>
      <c r="R268" s="3"/>
      <c r="S268" s="3"/>
      <c r="T268" s="3"/>
      <c r="U268" s="3"/>
      <c r="V268" s="3"/>
      <c r="W268" s="3"/>
      <c r="X268" s="3"/>
      <c r="Y268" s="3"/>
    </row>
    <row r="269">
      <c r="A269" s="7"/>
      <c r="B269" s="6"/>
      <c r="C269" s="6"/>
      <c r="D269" s="3"/>
      <c r="E269" s="3"/>
      <c r="F269" s="3"/>
      <c r="G269" s="3"/>
      <c r="H269" s="3"/>
      <c r="I269" s="3"/>
      <c r="J269" s="3"/>
      <c r="K269" s="3"/>
      <c r="L269" s="3"/>
      <c r="M269" s="3"/>
      <c r="N269" s="3"/>
      <c r="O269" s="3"/>
      <c r="P269" s="3"/>
      <c r="Q269" s="3"/>
      <c r="R269" s="3"/>
      <c r="S269" s="3"/>
      <c r="T269" s="3"/>
      <c r="U269" s="3"/>
      <c r="V269" s="3"/>
      <c r="W269" s="3"/>
      <c r="X269" s="3"/>
      <c r="Y269" s="3"/>
    </row>
    <row r="270">
      <c r="A270" s="7"/>
      <c r="B270" s="6"/>
      <c r="C270" s="6"/>
      <c r="D270" s="3"/>
      <c r="E270" s="3"/>
      <c r="F270" s="3"/>
      <c r="G270" s="3"/>
      <c r="H270" s="3"/>
      <c r="I270" s="3"/>
      <c r="J270" s="3"/>
      <c r="K270" s="3"/>
      <c r="L270" s="3"/>
      <c r="M270" s="3"/>
      <c r="N270" s="3"/>
      <c r="O270" s="3"/>
      <c r="P270" s="3"/>
      <c r="Q270" s="3"/>
      <c r="R270" s="3"/>
      <c r="S270" s="3"/>
      <c r="T270" s="3"/>
      <c r="U270" s="3"/>
      <c r="V270" s="3"/>
      <c r="W270" s="3"/>
      <c r="X270" s="3"/>
      <c r="Y270" s="3"/>
    </row>
    <row r="271">
      <c r="A271" s="7"/>
      <c r="B271" s="6"/>
      <c r="C271" s="6"/>
      <c r="D271" s="3"/>
      <c r="E271" s="3"/>
      <c r="F271" s="3"/>
      <c r="G271" s="3"/>
      <c r="H271" s="3"/>
      <c r="I271" s="3"/>
      <c r="J271" s="3"/>
      <c r="K271" s="3"/>
      <c r="L271" s="3"/>
      <c r="M271" s="3"/>
      <c r="N271" s="3"/>
      <c r="O271" s="3"/>
      <c r="P271" s="3"/>
      <c r="Q271" s="3"/>
      <c r="R271" s="3"/>
      <c r="S271" s="3"/>
      <c r="T271" s="3"/>
      <c r="U271" s="3"/>
      <c r="V271" s="3"/>
      <c r="W271" s="3"/>
      <c r="X271" s="3"/>
      <c r="Y271" s="3"/>
    </row>
    <row r="272">
      <c r="A272" s="7"/>
      <c r="B272" s="6"/>
      <c r="C272" s="6"/>
      <c r="D272" s="3"/>
      <c r="E272" s="3"/>
      <c r="F272" s="3"/>
      <c r="G272" s="3"/>
      <c r="H272" s="3"/>
      <c r="I272" s="3"/>
      <c r="J272" s="3"/>
      <c r="K272" s="3"/>
      <c r="L272" s="3"/>
      <c r="M272" s="3"/>
      <c r="N272" s="3"/>
      <c r="O272" s="3"/>
      <c r="P272" s="3"/>
      <c r="Q272" s="3"/>
      <c r="R272" s="3"/>
      <c r="S272" s="3"/>
      <c r="T272" s="3"/>
      <c r="U272" s="3"/>
      <c r="V272" s="3"/>
      <c r="W272" s="3"/>
      <c r="X272" s="3"/>
      <c r="Y272" s="3"/>
    </row>
    <row r="273">
      <c r="A273" s="7"/>
      <c r="B273" s="6"/>
      <c r="C273" s="6"/>
      <c r="D273" s="3"/>
      <c r="E273" s="3"/>
      <c r="F273" s="3"/>
      <c r="G273" s="3"/>
      <c r="H273" s="3"/>
      <c r="I273" s="3"/>
      <c r="J273" s="3"/>
      <c r="K273" s="3"/>
      <c r="L273" s="3"/>
      <c r="M273" s="3"/>
      <c r="N273" s="3"/>
      <c r="O273" s="3"/>
      <c r="P273" s="3"/>
      <c r="Q273" s="3"/>
      <c r="R273" s="3"/>
      <c r="S273" s="3"/>
      <c r="T273" s="3"/>
      <c r="U273" s="3"/>
      <c r="V273" s="3"/>
      <c r="W273" s="3"/>
      <c r="X273" s="3"/>
      <c r="Y273" s="3"/>
    </row>
    <row r="274">
      <c r="A274" s="7"/>
      <c r="B274" s="6"/>
      <c r="C274" s="6"/>
      <c r="D274" s="3"/>
      <c r="E274" s="3"/>
      <c r="F274" s="3"/>
      <c r="G274" s="3"/>
      <c r="H274" s="3"/>
      <c r="I274" s="3"/>
      <c r="J274" s="3"/>
      <c r="K274" s="3"/>
      <c r="L274" s="3"/>
      <c r="M274" s="3"/>
      <c r="N274" s="3"/>
      <c r="O274" s="3"/>
      <c r="P274" s="3"/>
      <c r="Q274" s="3"/>
      <c r="R274" s="3"/>
      <c r="S274" s="3"/>
      <c r="T274" s="3"/>
      <c r="U274" s="3"/>
      <c r="V274" s="3"/>
      <c r="W274" s="3"/>
      <c r="X274" s="3"/>
      <c r="Y274" s="3"/>
    </row>
    <row r="275">
      <c r="A275" s="7"/>
      <c r="B275" s="6"/>
      <c r="C275" s="6"/>
      <c r="D275" s="3"/>
      <c r="E275" s="3"/>
      <c r="F275" s="3"/>
      <c r="G275" s="3"/>
      <c r="H275" s="3"/>
      <c r="I275" s="3"/>
      <c r="J275" s="3"/>
      <c r="K275" s="3"/>
      <c r="L275" s="3"/>
      <c r="M275" s="3"/>
      <c r="N275" s="3"/>
      <c r="O275" s="3"/>
      <c r="P275" s="3"/>
      <c r="Q275" s="3"/>
      <c r="R275" s="3"/>
      <c r="S275" s="3"/>
      <c r="T275" s="3"/>
      <c r="U275" s="3"/>
      <c r="V275" s="3"/>
      <c r="W275" s="3"/>
      <c r="X275" s="3"/>
      <c r="Y275" s="3"/>
    </row>
    <row r="276">
      <c r="A276" s="7"/>
      <c r="B276" s="6"/>
      <c r="C276" s="6"/>
      <c r="D276" s="3"/>
      <c r="E276" s="3"/>
      <c r="F276" s="3"/>
      <c r="G276" s="3"/>
      <c r="H276" s="3"/>
      <c r="I276" s="3"/>
      <c r="J276" s="3"/>
      <c r="K276" s="3"/>
      <c r="L276" s="3"/>
      <c r="M276" s="3"/>
      <c r="N276" s="3"/>
      <c r="O276" s="3"/>
      <c r="P276" s="3"/>
      <c r="Q276" s="3"/>
      <c r="R276" s="3"/>
      <c r="S276" s="3"/>
      <c r="T276" s="3"/>
      <c r="U276" s="3"/>
      <c r="V276" s="3"/>
      <c r="W276" s="3"/>
      <c r="X276" s="3"/>
      <c r="Y276" s="3"/>
    </row>
    <row r="277">
      <c r="A277" s="7"/>
      <c r="B277" s="6"/>
      <c r="C277" s="6"/>
      <c r="D277" s="3"/>
      <c r="E277" s="3"/>
      <c r="F277" s="3"/>
      <c r="G277" s="3"/>
      <c r="H277" s="3"/>
      <c r="I277" s="3"/>
      <c r="J277" s="3"/>
      <c r="K277" s="3"/>
      <c r="L277" s="3"/>
      <c r="M277" s="3"/>
      <c r="N277" s="3"/>
      <c r="O277" s="3"/>
      <c r="P277" s="3"/>
      <c r="Q277" s="3"/>
      <c r="R277" s="3"/>
      <c r="S277" s="3"/>
      <c r="T277" s="3"/>
      <c r="U277" s="3"/>
      <c r="V277" s="3"/>
      <c r="W277" s="3"/>
      <c r="X277" s="3"/>
      <c r="Y277" s="3"/>
    </row>
    <row r="278">
      <c r="A278" s="7"/>
      <c r="B278" s="6"/>
      <c r="C278" s="6"/>
      <c r="D278" s="3"/>
      <c r="E278" s="3"/>
      <c r="F278" s="3"/>
      <c r="G278" s="3"/>
      <c r="H278" s="3"/>
      <c r="I278" s="3"/>
      <c r="J278" s="3"/>
      <c r="K278" s="3"/>
      <c r="L278" s="3"/>
      <c r="M278" s="3"/>
      <c r="N278" s="3"/>
      <c r="O278" s="3"/>
      <c r="P278" s="3"/>
      <c r="Q278" s="3"/>
      <c r="R278" s="3"/>
      <c r="S278" s="3"/>
      <c r="T278" s="3"/>
      <c r="U278" s="3"/>
      <c r="V278" s="3"/>
      <c r="W278" s="3"/>
      <c r="X278" s="3"/>
      <c r="Y278" s="3"/>
    </row>
    <row r="279">
      <c r="A279" s="7"/>
      <c r="B279" s="6"/>
      <c r="C279" s="6"/>
      <c r="D279" s="3"/>
      <c r="E279" s="3"/>
      <c r="F279" s="3"/>
      <c r="G279" s="3"/>
      <c r="H279" s="3"/>
      <c r="I279" s="3"/>
      <c r="J279" s="3"/>
      <c r="K279" s="3"/>
      <c r="L279" s="3"/>
      <c r="M279" s="3"/>
      <c r="N279" s="3"/>
      <c r="O279" s="3"/>
      <c r="P279" s="3"/>
      <c r="Q279" s="3"/>
      <c r="R279" s="3"/>
      <c r="S279" s="3"/>
      <c r="T279" s="3"/>
      <c r="U279" s="3"/>
      <c r="V279" s="3"/>
      <c r="W279" s="3"/>
      <c r="X279" s="3"/>
      <c r="Y279" s="3"/>
    </row>
    <row r="280">
      <c r="A280" s="7"/>
      <c r="B280" s="6"/>
      <c r="C280" s="6"/>
      <c r="D280" s="3"/>
      <c r="E280" s="3"/>
      <c r="F280" s="3"/>
      <c r="G280" s="3"/>
      <c r="H280" s="3"/>
      <c r="I280" s="3"/>
      <c r="J280" s="3"/>
      <c r="K280" s="3"/>
      <c r="L280" s="3"/>
      <c r="M280" s="3"/>
      <c r="N280" s="3"/>
      <c r="O280" s="3"/>
      <c r="P280" s="3"/>
      <c r="Q280" s="3"/>
      <c r="R280" s="3"/>
      <c r="S280" s="3"/>
      <c r="T280" s="3"/>
      <c r="U280" s="3"/>
      <c r="V280" s="3"/>
      <c r="W280" s="3"/>
      <c r="X280" s="3"/>
      <c r="Y280" s="3"/>
    </row>
    <row r="281">
      <c r="A281" s="7"/>
      <c r="B281" s="6"/>
      <c r="C281" s="6"/>
      <c r="D281" s="3"/>
      <c r="E281" s="3"/>
      <c r="F281" s="3"/>
      <c r="G281" s="3"/>
      <c r="H281" s="3"/>
      <c r="I281" s="3"/>
      <c r="J281" s="3"/>
      <c r="K281" s="3"/>
      <c r="L281" s="3"/>
      <c r="M281" s="3"/>
      <c r="N281" s="3"/>
      <c r="O281" s="3"/>
      <c r="P281" s="3"/>
      <c r="Q281" s="3"/>
      <c r="R281" s="3"/>
      <c r="S281" s="3"/>
      <c r="T281" s="3"/>
      <c r="U281" s="3"/>
      <c r="V281" s="3"/>
      <c r="W281" s="3"/>
      <c r="X281" s="3"/>
      <c r="Y281" s="3"/>
    </row>
    <row r="282">
      <c r="A282" s="7"/>
      <c r="B282" s="6"/>
      <c r="C282" s="6"/>
      <c r="D282" s="3"/>
      <c r="E282" s="3"/>
      <c r="F282" s="3"/>
      <c r="G282" s="3"/>
      <c r="H282" s="3"/>
      <c r="I282" s="3"/>
      <c r="J282" s="3"/>
      <c r="K282" s="3"/>
      <c r="L282" s="3"/>
      <c r="M282" s="3"/>
      <c r="N282" s="3"/>
      <c r="O282" s="3"/>
      <c r="P282" s="3"/>
      <c r="Q282" s="3"/>
      <c r="R282" s="3"/>
      <c r="S282" s="3"/>
      <c r="T282" s="3"/>
      <c r="U282" s="3"/>
      <c r="V282" s="3"/>
      <c r="W282" s="3"/>
      <c r="X282" s="3"/>
      <c r="Y282" s="3"/>
    </row>
    <row r="283">
      <c r="A283" s="7"/>
      <c r="B283" s="6"/>
      <c r="C283" s="6"/>
      <c r="D283" s="3"/>
      <c r="E283" s="3"/>
      <c r="F283" s="3"/>
      <c r="G283" s="3"/>
      <c r="H283" s="3"/>
      <c r="I283" s="3"/>
      <c r="J283" s="3"/>
      <c r="K283" s="3"/>
      <c r="L283" s="3"/>
      <c r="M283" s="3"/>
      <c r="N283" s="3"/>
      <c r="O283" s="3"/>
      <c r="P283" s="3"/>
      <c r="Q283" s="3"/>
      <c r="R283" s="3"/>
      <c r="S283" s="3"/>
      <c r="T283" s="3"/>
      <c r="U283" s="3"/>
      <c r="V283" s="3"/>
      <c r="W283" s="3"/>
      <c r="X283" s="3"/>
      <c r="Y283" s="3"/>
    </row>
    <row r="284">
      <c r="A284" s="7"/>
      <c r="B284" s="6"/>
      <c r="C284" s="6"/>
      <c r="D284" s="3"/>
      <c r="E284" s="3"/>
      <c r="F284" s="3"/>
      <c r="G284" s="3"/>
      <c r="H284" s="3"/>
      <c r="I284" s="3"/>
      <c r="J284" s="3"/>
      <c r="K284" s="3"/>
      <c r="L284" s="3"/>
      <c r="M284" s="3"/>
      <c r="N284" s="3"/>
      <c r="O284" s="3"/>
      <c r="P284" s="3"/>
      <c r="Q284" s="3"/>
      <c r="R284" s="3"/>
      <c r="S284" s="3"/>
      <c r="T284" s="3"/>
      <c r="U284" s="3"/>
      <c r="V284" s="3"/>
      <c r="W284" s="3"/>
      <c r="X284" s="3"/>
      <c r="Y284" s="3"/>
    </row>
    <row r="285">
      <c r="A285" s="7"/>
      <c r="B285" s="6"/>
      <c r="C285" s="6"/>
      <c r="D285" s="3"/>
      <c r="E285" s="3"/>
      <c r="F285" s="3"/>
      <c r="G285" s="3"/>
      <c r="H285" s="3"/>
      <c r="I285" s="3"/>
      <c r="J285" s="3"/>
      <c r="K285" s="3"/>
      <c r="L285" s="3"/>
      <c r="M285" s="3"/>
      <c r="N285" s="3"/>
      <c r="O285" s="3"/>
      <c r="P285" s="3"/>
      <c r="Q285" s="3"/>
      <c r="R285" s="3"/>
      <c r="S285" s="3"/>
      <c r="T285" s="3"/>
      <c r="U285" s="3"/>
      <c r="V285" s="3"/>
      <c r="W285" s="3"/>
      <c r="X285" s="3"/>
      <c r="Y285" s="3"/>
    </row>
    <row r="286">
      <c r="A286" s="7"/>
      <c r="B286" s="6"/>
      <c r="C286" s="6"/>
      <c r="D286" s="3"/>
      <c r="E286" s="3"/>
      <c r="F286" s="3"/>
      <c r="G286" s="3"/>
      <c r="H286" s="3"/>
      <c r="I286" s="3"/>
      <c r="J286" s="3"/>
      <c r="K286" s="3"/>
      <c r="L286" s="3"/>
      <c r="M286" s="3"/>
      <c r="N286" s="3"/>
      <c r="O286" s="3"/>
      <c r="P286" s="3"/>
      <c r="Q286" s="3"/>
      <c r="R286" s="3"/>
      <c r="S286" s="3"/>
      <c r="T286" s="3"/>
      <c r="U286" s="3"/>
      <c r="V286" s="3"/>
      <c r="W286" s="3"/>
      <c r="X286" s="3"/>
      <c r="Y286" s="3"/>
    </row>
    <row r="287">
      <c r="A287" s="7"/>
      <c r="B287" s="6"/>
      <c r="C287" s="6"/>
      <c r="D287" s="3"/>
      <c r="E287" s="3"/>
      <c r="F287" s="3"/>
      <c r="G287" s="3"/>
      <c r="H287" s="3"/>
      <c r="I287" s="3"/>
      <c r="J287" s="3"/>
      <c r="K287" s="3"/>
      <c r="L287" s="3"/>
      <c r="M287" s="3"/>
      <c r="N287" s="3"/>
      <c r="O287" s="3"/>
      <c r="P287" s="3"/>
      <c r="Q287" s="3"/>
      <c r="R287" s="3"/>
      <c r="S287" s="3"/>
      <c r="T287" s="3"/>
      <c r="U287" s="3"/>
      <c r="V287" s="3"/>
      <c r="W287" s="3"/>
      <c r="X287" s="3"/>
      <c r="Y287" s="3"/>
    </row>
    <row r="288">
      <c r="A288" s="7"/>
      <c r="B288" s="6"/>
      <c r="C288" s="6"/>
      <c r="D288" s="3"/>
      <c r="E288" s="3"/>
      <c r="F288" s="3"/>
      <c r="G288" s="3"/>
      <c r="H288" s="3"/>
      <c r="I288" s="3"/>
      <c r="J288" s="3"/>
      <c r="K288" s="3"/>
      <c r="L288" s="3"/>
      <c r="M288" s="3"/>
      <c r="N288" s="3"/>
      <c r="O288" s="3"/>
      <c r="P288" s="3"/>
      <c r="Q288" s="3"/>
      <c r="R288" s="3"/>
      <c r="S288" s="3"/>
      <c r="T288" s="3"/>
      <c r="U288" s="3"/>
      <c r="V288" s="3"/>
      <c r="W288" s="3"/>
      <c r="X288" s="3"/>
      <c r="Y288" s="3"/>
    </row>
    <row r="289">
      <c r="A289" s="7"/>
      <c r="B289" s="6"/>
      <c r="C289" s="6"/>
      <c r="D289" s="3"/>
      <c r="E289" s="3"/>
      <c r="F289" s="3"/>
      <c r="G289" s="3"/>
      <c r="H289" s="3"/>
      <c r="I289" s="3"/>
      <c r="J289" s="3"/>
      <c r="K289" s="3"/>
      <c r="L289" s="3"/>
      <c r="M289" s="3"/>
      <c r="N289" s="3"/>
      <c r="O289" s="3"/>
      <c r="P289" s="3"/>
      <c r="Q289" s="3"/>
      <c r="R289" s="3"/>
      <c r="S289" s="3"/>
      <c r="T289" s="3"/>
      <c r="U289" s="3"/>
      <c r="V289" s="3"/>
      <c r="W289" s="3"/>
      <c r="X289" s="3"/>
      <c r="Y289" s="3"/>
    </row>
    <row r="290">
      <c r="A290" s="7"/>
      <c r="B290" s="6"/>
      <c r="C290" s="6"/>
      <c r="D290" s="3"/>
      <c r="E290" s="3"/>
      <c r="F290" s="3"/>
      <c r="G290" s="3"/>
      <c r="H290" s="3"/>
      <c r="I290" s="3"/>
      <c r="J290" s="3"/>
      <c r="K290" s="3"/>
      <c r="L290" s="3"/>
      <c r="M290" s="3"/>
      <c r="N290" s="3"/>
      <c r="O290" s="3"/>
      <c r="P290" s="3"/>
      <c r="Q290" s="3"/>
      <c r="R290" s="3"/>
      <c r="S290" s="3"/>
      <c r="T290" s="3"/>
      <c r="U290" s="3"/>
      <c r="V290" s="3"/>
      <c r="W290" s="3"/>
      <c r="X290" s="3"/>
      <c r="Y290" s="3"/>
    </row>
    <row r="291">
      <c r="A291" s="7"/>
      <c r="B291" s="6"/>
      <c r="C291" s="6"/>
      <c r="D291" s="3"/>
      <c r="E291" s="3"/>
      <c r="F291" s="3"/>
      <c r="G291" s="3"/>
      <c r="H291" s="3"/>
      <c r="I291" s="3"/>
      <c r="J291" s="3"/>
      <c r="K291" s="3"/>
      <c r="L291" s="3"/>
      <c r="M291" s="3"/>
      <c r="N291" s="3"/>
      <c r="O291" s="3"/>
      <c r="P291" s="3"/>
      <c r="Q291" s="3"/>
      <c r="R291" s="3"/>
      <c r="S291" s="3"/>
      <c r="T291" s="3"/>
      <c r="U291" s="3"/>
      <c r="V291" s="3"/>
      <c r="W291" s="3"/>
      <c r="X291" s="3"/>
      <c r="Y291" s="3"/>
    </row>
    <row r="292">
      <c r="A292" s="7"/>
      <c r="B292" s="6"/>
      <c r="C292" s="6"/>
      <c r="D292" s="3"/>
      <c r="E292" s="3"/>
      <c r="F292" s="3"/>
      <c r="G292" s="3"/>
      <c r="H292" s="3"/>
      <c r="I292" s="3"/>
      <c r="J292" s="3"/>
      <c r="K292" s="3"/>
      <c r="L292" s="3"/>
      <c r="M292" s="3"/>
      <c r="N292" s="3"/>
      <c r="O292" s="3"/>
      <c r="P292" s="3"/>
      <c r="Q292" s="3"/>
      <c r="R292" s="3"/>
      <c r="S292" s="3"/>
      <c r="T292" s="3"/>
      <c r="U292" s="3"/>
      <c r="V292" s="3"/>
      <c r="W292" s="3"/>
      <c r="X292" s="3"/>
      <c r="Y292" s="3"/>
    </row>
    <row r="293">
      <c r="A293" s="7"/>
      <c r="B293" s="6"/>
      <c r="C293" s="6"/>
      <c r="D293" s="3"/>
      <c r="E293" s="3"/>
      <c r="F293" s="3"/>
      <c r="G293" s="3"/>
      <c r="H293" s="3"/>
      <c r="I293" s="3"/>
      <c r="J293" s="3"/>
      <c r="K293" s="3"/>
      <c r="L293" s="3"/>
      <c r="M293" s="3"/>
      <c r="N293" s="3"/>
      <c r="O293" s="3"/>
      <c r="P293" s="3"/>
      <c r="Q293" s="3"/>
      <c r="R293" s="3"/>
      <c r="S293" s="3"/>
      <c r="T293" s="3"/>
      <c r="U293" s="3"/>
      <c r="V293" s="3"/>
      <c r="W293" s="3"/>
      <c r="X293" s="3"/>
      <c r="Y293" s="3"/>
    </row>
    <row r="294">
      <c r="A294" s="7"/>
      <c r="B294" s="6"/>
      <c r="C294" s="6"/>
      <c r="D294" s="3"/>
      <c r="E294" s="3"/>
      <c r="F294" s="3"/>
      <c r="G294" s="3"/>
      <c r="H294" s="3"/>
      <c r="I294" s="3"/>
      <c r="J294" s="3"/>
      <c r="K294" s="3"/>
      <c r="L294" s="3"/>
      <c r="M294" s="3"/>
      <c r="N294" s="3"/>
      <c r="O294" s="3"/>
      <c r="P294" s="3"/>
      <c r="Q294" s="3"/>
      <c r="R294" s="3"/>
      <c r="S294" s="3"/>
      <c r="T294" s="3"/>
      <c r="U294" s="3"/>
      <c r="V294" s="3"/>
      <c r="W294" s="3"/>
      <c r="X294" s="3"/>
      <c r="Y294" s="3"/>
    </row>
    <row r="295">
      <c r="A295" s="7"/>
      <c r="B295" s="6"/>
      <c r="C295" s="6"/>
      <c r="D295" s="3"/>
      <c r="E295" s="3"/>
      <c r="F295" s="3"/>
      <c r="G295" s="3"/>
      <c r="H295" s="3"/>
      <c r="I295" s="3"/>
      <c r="J295" s="3"/>
      <c r="K295" s="3"/>
      <c r="L295" s="3"/>
      <c r="M295" s="3"/>
      <c r="N295" s="3"/>
      <c r="O295" s="3"/>
      <c r="P295" s="3"/>
      <c r="Q295" s="3"/>
      <c r="R295" s="3"/>
      <c r="S295" s="3"/>
      <c r="T295" s="3"/>
      <c r="U295" s="3"/>
      <c r="V295" s="3"/>
      <c r="W295" s="3"/>
      <c r="X295" s="3"/>
      <c r="Y295" s="3"/>
    </row>
    <row r="296">
      <c r="A296" s="7"/>
      <c r="B296" s="6"/>
      <c r="C296" s="6"/>
      <c r="D296" s="3"/>
      <c r="E296" s="3"/>
      <c r="F296" s="3"/>
      <c r="G296" s="3"/>
      <c r="H296" s="3"/>
      <c r="I296" s="3"/>
      <c r="J296" s="3"/>
      <c r="K296" s="3"/>
      <c r="L296" s="3"/>
      <c r="M296" s="3"/>
      <c r="N296" s="3"/>
      <c r="O296" s="3"/>
      <c r="P296" s="3"/>
      <c r="Q296" s="3"/>
      <c r="R296" s="3"/>
      <c r="S296" s="3"/>
      <c r="T296" s="3"/>
      <c r="U296" s="3"/>
      <c r="V296" s="3"/>
      <c r="W296" s="3"/>
      <c r="X296" s="3"/>
      <c r="Y296" s="3"/>
    </row>
    <row r="297">
      <c r="A297" s="7"/>
      <c r="B297" s="6"/>
      <c r="C297" s="6"/>
      <c r="D297" s="3"/>
      <c r="E297" s="3"/>
      <c r="F297" s="3"/>
      <c r="G297" s="3"/>
      <c r="H297" s="3"/>
      <c r="I297" s="3"/>
      <c r="J297" s="3"/>
      <c r="K297" s="3"/>
      <c r="L297" s="3"/>
      <c r="M297" s="3"/>
      <c r="N297" s="3"/>
      <c r="O297" s="3"/>
      <c r="P297" s="3"/>
      <c r="Q297" s="3"/>
      <c r="R297" s="3"/>
      <c r="S297" s="3"/>
      <c r="T297" s="3"/>
      <c r="U297" s="3"/>
      <c r="V297" s="3"/>
      <c r="W297" s="3"/>
      <c r="X297" s="3"/>
      <c r="Y297" s="3"/>
    </row>
    <row r="298">
      <c r="A298" s="7"/>
      <c r="B298" s="6"/>
      <c r="C298" s="6"/>
      <c r="D298" s="3"/>
      <c r="E298" s="3"/>
      <c r="F298" s="3"/>
      <c r="G298" s="3"/>
      <c r="H298" s="3"/>
      <c r="I298" s="3"/>
      <c r="J298" s="3"/>
      <c r="K298" s="3"/>
      <c r="L298" s="3"/>
      <c r="M298" s="3"/>
      <c r="N298" s="3"/>
      <c r="O298" s="3"/>
      <c r="P298" s="3"/>
      <c r="Q298" s="3"/>
      <c r="R298" s="3"/>
      <c r="S298" s="3"/>
      <c r="T298" s="3"/>
      <c r="U298" s="3"/>
      <c r="V298" s="3"/>
      <c r="W298" s="3"/>
      <c r="X298" s="3"/>
      <c r="Y298" s="3"/>
    </row>
    <row r="299">
      <c r="A299" s="7"/>
      <c r="B299" s="6"/>
      <c r="C299" s="6"/>
      <c r="D299" s="3"/>
      <c r="E299" s="3"/>
      <c r="F299" s="3"/>
      <c r="G299" s="3"/>
      <c r="H299" s="3"/>
      <c r="I299" s="3"/>
      <c r="J299" s="3"/>
      <c r="K299" s="3"/>
      <c r="L299" s="3"/>
      <c r="M299" s="3"/>
      <c r="N299" s="3"/>
      <c r="O299" s="3"/>
      <c r="P299" s="3"/>
      <c r="Q299" s="3"/>
      <c r="R299" s="3"/>
      <c r="S299" s="3"/>
      <c r="T299" s="3"/>
      <c r="U299" s="3"/>
      <c r="V299" s="3"/>
      <c r="W299" s="3"/>
      <c r="X299" s="3"/>
      <c r="Y299" s="3"/>
    </row>
    <row r="300">
      <c r="A300" s="7"/>
      <c r="B300" s="6"/>
      <c r="C300" s="6"/>
      <c r="D300" s="3"/>
      <c r="E300" s="3"/>
      <c r="F300" s="3"/>
      <c r="G300" s="3"/>
      <c r="H300" s="3"/>
      <c r="I300" s="3"/>
      <c r="J300" s="3"/>
      <c r="K300" s="3"/>
      <c r="L300" s="3"/>
      <c r="M300" s="3"/>
      <c r="N300" s="3"/>
      <c r="O300" s="3"/>
      <c r="P300" s="3"/>
      <c r="Q300" s="3"/>
      <c r="R300" s="3"/>
      <c r="S300" s="3"/>
      <c r="T300" s="3"/>
      <c r="U300" s="3"/>
      <c r="V300" s="3"/>
      <c r="W300" s="3"/>
      <c r="X300" s="3"/>
      <c r="Y300" s="3"/>
    </row>
    <row r="301">
      <c r="A301" s="7"/>
      <c r="B301" s="6"/>
      <c r="C301" s="6"/>
      <c r="D301" s="3"/>
      <c r="E301" s="3"/>
      <c r="F301" s="3"/>
      <c r="G301" s="3"/>
      <c r="H301" s="3"/>
      <c r="I301" s="3"/>
      <c r="J301" s="3"/>
      <c r="K301" s="3"/>
      <c r="L301" s="3"/>
      <c r="M301" s="3"/>
      <c r="N301" s="3"/>
      <c r="O301" s="3"/>
      <c r="P301" s="3"/>
      <c r="Q301" s="3"/>
      <c r="R301" s="3"/>
      <c r="S301" s="3"/>
      <c r="T301" s="3"/>
      <c r="U301" s="3"/>
      <c r="V301" s="3"/>
      <c r="W301" s="3"/>
      <c r="X301" s="3"/>
      <c r="Y301" s="3"/>
    </row>
    <row r="302">
      <c r="A302" s="7"/>
      <c r="B302" s="6"/>
      <c r="C302" s="6"/>
      <c r="D302" s="3"/>
      <c r="E302" s="3"/>
      <c r="F302" s="3"/>
      <c r="G302" s="3"/>
      <c r="H302" s="3"/>
      <c r="I302" s="3"/>
      <c r="J302" s="3"/>
      <c r="K302" s="3"/>
      <c r="L302" s="3"/>
      <c r="M302" s="3"/>
      <c r="N302" s="3"/>
      <c r="O302" s="3"/>
      <c r="P302" s="3"/>
      <c r="Q302" s="3"/>
      <c r="R302" s="3"/>
      <c r="S302" s="3"/>
      <c r="T302" s="3"/>
      <c r="U302" s="3"/>
      <c r="V302" s="3"/>
      <c r="W302" s="3"/>
      <c r="X302" s="3"/>
      <c r="Y302" s="3"/>
    </row>
    <row r="303">
      <c r="A303" s="7"/>
      <c r="B303" s="6"/>
      <c r="C303" s="6"/>
      <c r="D303" s="3"/>
      <c r="E303" s="3"/>
      <c r="F303" s="3"/>
      <c r="G303" s="3"/>
      <c r="H303" s="3"/>
      <c r="I303" s="3"/>
      <c r="J303" s="3"/>
      <c r="K303" s="3"/>
      <c r="L303" s="3"/>
      <c r="M303" s="3"/>
      <c r="N303" s="3"/>
      <c r="O303" s="3"/>
      <c r="P303" s="3"/>
      <c r="Q303" s="3"/>
      <c r="R303" s="3"/>
      <c r="S303" s="3"/>
      <c r="T303" s="3"/>
      <c r="U303" s="3"/>
      <c r="V303" s="3"/>
      <c r="W303" s="3"/>
      <c r="X303" s="3"/>
      <c r="Y303" s="3"/>
    </row>
    <row r="304">
      <c r="A304" s="7"/>
      <c r="B304" s="6"/>
      <c r="C304" s="6"/>
      <c r="D304" s="3"/>
      <c r="E304" s="3"/>
      <c r="F304" s="3"/>
      <c r="G304" s="3"/>
      <c r="H304" s="3"/>
      <c r="I304" s="3"/>
      <c r="J304" s="3"/>
      <c r="K304" s="3"/>
      <c r="L304" s="3"/>
      <c r="M304" s="3"/>
      <c r="N304" s="3"/>
      <c r="O304" s="3"/>
      <c r="P304" s="3"/>
      <c r="Q304" s="3"/>
      <c r="R304" s="3"/>
      <c r="S304" s="3"/>
      <c r="T304" s="3"/>
      <c r="U304" s="3"/>
      <c r="V304" s="3"/>
      <c r="W304" s="3"/>
      <c r="X304" s="3"/>
      <c r="Y304" s="3"/>
    </row>
    <row r="305">
      <c r="A305" s="7"/>
      <c r="B305" s="6"/>
      <c r="C305" s="6"/>
      <c r="D305" s="3"/>
      <c r="E305" s="3"/>
      <c r="F305" s="3"/>
      <c r="G305" s="3"/>
      <c r="H305" s="3"/>
      <c r="I305" s="3"/>
      <c r="J305" s="3"/>
      <c r="K305" s="3"/>
      <c r="L305" s="3"/>
      <c r="M305" s="3"/>
      <c r="N305" s="3"/>
      <c r="O305" s="3"/>
      <c r="P305" s="3"/>
      <c r="Q305" s="3"/>
      <c r="R305" s="3"/>
      <c r="S305" s="3"/>
      <c r="T305" s="3"/>
      <c r="U305" s="3"/>
      <c r="V305" s="3"/>
      <c r="W305" s="3"/>
      <c r="X305" s="3"/>
      <c r="Y305" s="3"/>
    </row>
    <row r="306">
      <c r="A306" s="7"/>
      <c r="B306" s="6"/>
      <c r="C306" s="6"/>
      <c r="D306" s="3"/>
      <c r="E306" s="3"/>
      <c r="F306" s="3"/>
      <c r="G306" s="3"/>
      <c r="H306" s="3"/>
      <c r="I306" s="3"/>
      <c r="J306" s="3"/>
      <c r="K306" s="3"/>
      <c r="L306" s="3"/>
      <c r="M306" s="3"/>
      <c r="N306" s="3"/>
      <c r="O306" s="3"/>
      <c r="P306" s="3"/>
      <c r="Q306" s="3"/>
      <c r="R306" s="3"/>
      <c r="S306" s="3"/>
      <c r="T306" s="3"/>
      <c r="U306" s="3"/>
      <c r="V306" s="3"/>
      <c r="W306" s="3"/>
      <c r="X306" s="3"/>
      <c r="Y306" s="3"/>
    </row>
    <row r="307">
      <c r="A307" s="7"/>
      <c r="B307" s="6"/>
      <c r="C307" s="6"/>
      <c r="D307" s="3"/>
      <c r="E307" s="3"/>
      <c r="F307" s="3"/>
      <c r="G307" s="3"/>
      <c r="H307" s="3"/>
      <c r="I307" s="3"/>
      <c r="J307" s="3"/>
      <c r="K307" s="3"/>
      <c r="L307" s="3"/>
      <c r="M307" s="3"/>
      <c r="N307" s="3"/>
      <c r="O307" s="3"/>
      <c r="P307" s="3"/>
      <c r="Q307" s="3"/>
      <c r="R307" s="3"/>
      <c r="S307" s="3"/>
      <c r="T307" s="3"/>
      <c r="U307" s="3"/>
      <c r="V307" s="3"/>
      <c r="W307" s="3"/>
      <c r="X307" s="3"/>
      <c r="Y307" s="3"/>
    </row>
    <row r="308">
      <c r="A308" s="7"/>
      <c r="B308" s="6"/>
      <c r="C308" s="6"/>
      <c r="D308" s="3"/>
      <c r="E308" s="3"/>
      <c r="F308" s="3"/>
      <c r="G308" s="3"/>
      <c r="H308" s="3"/>
      <c r="I308" s="3"/>
      <c r="J308" s="3"/>
      <c r="K308" s="3"/>
      <c r="L308" s="3"/>
      <c r="M308" s="3"/>
      <c r="N308" s="3"/>
      <c r="O308" s="3"/>
      <c r="P308" s="3"/>
      <c r="Q308" s="3"/>
      <c r="R308" s="3"/>
      <c r="S308" s="3"/>
      <c r="T308" s="3"/>
      <c r="U308" s="3"/>
      <c r="V308" s="3"/>
      <c r="W308" s="3"/>
      <c r="X308" s="3"/>
      <c r="Y308" s="3"/>
    </row>
    <row r="309">
      <c r="A309" s="7"/>
      <c r="B309" s="6"/>
      <c r="C309" s="6"/>
      <c r="D309" s="3"/>
      <c r="E309" s="3"/>
      <c r="F309" s="3"/>
      <c r="G309" s="3"/>
      <c r="H309" s="3"/>
      <c r="I309" s="3"/>
      <c r="J309" s="3"/>
      <c r="K309" s="3"/>
      <c r="L309" s="3"/>
      <c r="M309" s="3"/>
      <c r="N309" s="3"/>
      <c r="O309" s="3"/>
      <c r="P309" s="3"/>
      <c r="Q309" s="3"/>
      <c r="R309" s="3"/>
      <c r="S309" s="3"/>
      <c r="T309" s="3"/>
      <c r="U309" s="3"/>
      <c r="V309" s="3"/>
      <c r="W309" s="3"/>
      <c r="X309" s="3"/>
      <c r="Y309" s="3"/>
    </row>
    <row r="310">
      <c r="A310" s="7"/>
      <c r="B310" s="6"/>
      <c r="C310" s="6"/>
      <c r="D310" s="3"/>
      <c r="E310" s="3"/>
      <c r="F310" s="3"/>
      <c r="G310" s="3"/>
      <c r="H310" s="3"/>
      <c r="I310" s="3"/>
      <c r="J310" s="3"/>
      <c r="K310" s="3"/>
      <c r="L310" s="3"/>
      <c r="M310" s="3"/>
      <c r="N310" s="3"/>
      <c r="O310" s="3"/>
      <c r="P310" s="3"/>
      <c r="Q310" s="3"/>
      <c r="R310" s="3"/>
      <c r="S310" s="3"/>
      <c r="T310" s="3"/>
      <c r="U310" s="3"/>
      <c r="V310" s="3"/>
      <c r="W310" s="3"/>
      <c r="X310" s="3"/>
      <c r="Y310" s="3"/>
    </row>
    <row r="311">
      <c r="A311" s="7"/>
      <c r="B311" s="6"/>
      <c r="C311" s="6"/>
      <c r="D311" s="3"/>
      <c r="E311" s="3"/>
      <c r="F311" s="3"/>
      <c r="G311" s="3"/>
      <c r="H311" s="3"/>
      <c r="I311" s="3"/>
      <c r="J311" s="3"/>
      <c r="K311" s="3"/>
      <c r="L311" s="3"/>
      <c r="M311" s="3"/>
      <c r="N311" s="3"/>
      <c r="O311" s="3"/>
      <c r="P311" s="3"/>
      <c r="Q311" s="3"/>
      <c r="R311" s="3"/>
      <c r="S311" s="3"/>
      <c r="T311" s="3"/>
      <c r="U311" s="3"/>
      <c r="V311" s="3"/>
      <c r="W311" s="3"/>
      <c r="X311" s="3"/>
      <c r="Y311" s="3"/>
    </row>
    <row r="312">
      <c r="A312" s="7"/>
      <c r="B312" s="6"/>
      <c r="C312" s="6"/>
      <c r="D312" s="3"/>
      <c r="E312" s="3"/>
      <c r="F312" s="3"/>
      <c r="G312" s="3"/>
      <c r="H312" s="3"/>
      <c r="I312" s="3"/>
      <c r="J312" s="3"/>
      <c r="K312" s="3"/>
      <c r="L312" s="3"/>
      <c r="M312" s="3"/>
      <c r="N312" s="3"/>
      <c r="O312" s="3"/>
      <c r="P312" s="3"/>
      <c r="Q312" s="3"/>
      <c r="R312" s="3"/>
      <c r="S312" s="3"/>
      <c r="T312" s="3"/>
      <c r="U312" s="3"/>
      <c r="V312" s="3"/>
      <c r="W312" s="3"/>
      <c r="X312" s="3"/>
      <c r="Y312" s="3"/>
    </row>
    <row r="313">
      <c r="A313" s="7"/>
      <c r="B313" s="6"/>
      <c r="C313" s="6"/>
      <c r="D313" s="3"/>
      <c r="E313" s="3"/>
      <c r="F313" s="3"/>
      <c r="G313" s="3"/>
      <c r="H313" s="3"/>
      <c r="I313" s="3"/>
      <c r="J313" s="3"/>
      <c r="K313" s="3"/>
      <c r="L313" s="3"/>
      <c r="M313" s="3"/>
      <c r="N313" s="3"/>
      <c r="O313" s="3"/>
      <c r="P313" s="3"/>
      <c r="Q313" s="3"/>
      <c r="R313" s="3"/>
      <c r="S313" s="3"/>
      <c r="T313" s="3"/>
      <c r="U313" s="3"/>
      <c r="V313" s="3"/>
      <c r="W313" s="3"/>
      <c r="X313" s="3"/>
      <c r="Y313" s="3"/>
    </row>
    <row r="314">
      <c r="A314" s="7"/>
      <c r="B314" s="6"/>
      <c r="C314" s="6"/>
      <c r="D314" s="3"/>
      <c r="E314" s="3"/>
      <c r="F314" s="3"/>
      <c r="G314" s="3"/>
      <c r="H314" s="3"/>
      <c r="I314" s="3"/>
      <c r="J314" s="3"/>
      <c r="K314" s="3"/>
      <c r="L314" s="3"/>
      <c r="M314" s="3"/>
      <c r="N314" s="3"/>
      <c r="O314" s="3"/>
      <c r="P314" s="3"/>
      <c r="Q314" s="3"/>
      <c r="R314" s="3"/>
      <c r="S314" s="3"/>
      <c r="T314" s="3"/>
      <c r="U314" s="3"/>
      <c r="V314" s="3"/>
      <c r="W314" s="3"/>
      <c r="X314" s="3"/>
      <c r="Y314" s="3"/>
    </row>
    <row r="315">
      <c r="A315" s="7"/>
      <c r="B315" s="6"/>
      <c r="C315" s="6"/>
      <c r="D315" s="3"/>
      <c r="E315" s="3"/>
      <c r="F315" s="3"/>
      <c r="G315" s="3"/>
      <c r="H315" s="3"/>
      <c r="I315" s="3"/>
      <c r="J315" s="3"/>
      <c r="K315" s="3"/>
      <c r="L315" s="3"/>
      <c r="M315" s="3"/>
      <c r="N315" s="3"/>
      <c r="O315" s="3"/>
      <c r="P315" s="3"/>
      <c r="Q315" s="3"/>
      <c r="R315" s="3"/>
      <c r="S315" s="3"/>
      <c r="T315" s="3"/>
      <c r="U315" s="3"/>
      <c r="V315" s="3"/>
      <c r="W315" s="3"/>
      <c r="X315" s="3"/>
      <c r="Y315" s="3"/>
    </row>
    <row r="316">
      <c r="A316" s="7"/>
      <c r="B316" s="6"/>
      <c r="C316" s="6"/>
      <c r="D316" s="3"/>
      <c r="E316" s="3"/>
      <c r="F316" s="3"/>
      <c r="G316" s="3"/>
      <c r="H316" s="3"/>
      <c r="I316" s="3"/>
      <c r="J316" s="3"/>
      <c r="K316" s="3"/>
      <c r="L316" s="3"/>
      <c r="M316" s="3"/>
      <c r="N316" s="3"/>
      <c r="O316" s="3"/>
      <c r="P316" s="3"/>
      <c r="Q316" s="3"/>
      <c r="R316" s="3"/>
      <c r="S316" s="3"/>
      <c r="T316" s="3"/>
      <c r="U316" s="3"/>
      <c r="V316" s="3"/>
      <c r="W316" s="3"/>
      <c r="X316" s="3"/>
      <c r="Y316" s="3"/>
    </row>
    <row r="317">
      <c r="A317" s="7"/>
      <c r="B317" s="6"/>
      <c r="C317" s="6"/>
      <c r="D317" s="3"/>
      <c r="E317" s="3"/>
      <c r="F317" s="3"/>
      <c r="G317" s="3"/>
      <c r="H317" s="3"/>
      <c r="I317" s="3"/>
      <c r="J317" s="3"/>
      <c r="K317" s="3"/>
      <c r="L317" s="3"/>
      <c r="M317" s="3"/>
      <c r="N317" s="3"/>
      <c r="O317" s="3"/>
      <c r="P317" s="3"/>
      <c r="Q317" s="3"/>
      <c r="R317" s="3"/>
      <c r="S317" s="3"/>
      <c r="T317" s="3"/>
      <c r="U317" s="3"/>
      <c r="V317" s="3"/>
      <c r="W317" s="3"/>
      <c r="X317" s="3"/>
      <c r="Y317" s="3"/>
    </row>
    <row r="318">
      <c r="A318" s="7"/>
      <c r="B318" s="6"/>
      <c r="C318" s="6"/>
      <c r="D318" s="3"/>
      <c r="E318" s="3"/>
      <c r="F318" s="3"/>
      <c r="G318" s="3"/>
      <c r="H318" s="3"/>
      <c r="I318" s="3"/>
      <c r="J318" s="3"/>
      <c r="K318" s="3"/>
      <c r="L318" s="3"/>
      <c r="M318" s="3"/>
      <c r="N318" s="3"/>
      <c r="O318" s="3"/>
      <c r="P318" s="3"/>
      <c r="Q318" s="3"/>
      <c r="R318" s="3"/>
      <c r="S318" s="3"/>
      <c r="T318" s="3"/>
      <c r="U318" s="3"/>
      <c r="V318" s="3"/>
      <c r="W318" s="3"/>
      <c r="X318" s="3"/>
      <c r="Y318" s="3"/>
    </row>
    <row r="319">
      <c r="A319" s="7"/>
      <c r="B319" s="6"/>
      <c r="C319" s="6"/>
      <c r="D319" s="3"/>
      <c r="E319" s="3"/>
      <c r="F319" s="3"/>
      <c r="G319" s="3"/>
      <c r="H319" s="3"/>
      <c r="I319" s="3"/>
      <c r="J319" s="3"/>
      <c r="K319" s="3"/>
      <c r="L319" s="3"/>
      <c r="M319" s="3"/>
      <c r="N319" s="3"/>
      <c r="O319" s="3"/>
      <c r="P319" s="3"/>
      <c r="Q319" s="3"/>
      <c r="R319" s="3"/>
      <c r="S319" s="3"/>
      <c r="T319" s="3"/>
      <c r="U319" s="3"/>
      <c r="V319" s="3"/>
      <c r="W319" s="3"/>
      <c r="X319" s="3"/>
      <c r="Y319" s="3"/>
    </row>
    <row r="320">
      <c r="A320" s="7"/>
      <c r="B320" s="6"/>
      <c r="C320" s="6"/>
      <c r="D320" s="3"/>
      <c r="E320" s="3"/>
      <c r="F320" s="3"/>
      <c r="G320" s="3"/>
      <c r="H320" s="3"/>
      <c r="I320" s="3"/>
      <c r="J320" s="3"/>
      <c r="K320" s="3"/>
      <c r="L320" s="3"/>
      <c r="M320" s="3"/>
      <c r="N320" s="3"/>
      <c r="O320" s="3"/>
      <c r="P320" s="3"/>
      <c r="Q320" s="3"/>
      <c r="R320" s="3"/>
      <c r="S320" s="3"/>
      <c r="T320" s="3"/>
      <c r="U320" s="3"/>
      <c r="V320" s="3"/>
      <c r="W320" s="3"/>
      <c r="X320" s="3"/>
      <c r="Y320" s="3"/>
    </row>
    <row r="321">
      <c r="A321" s="7"/>
      <c r="B321" s="6"/>
      <c r="C321" s="6"/>
      <c r="D321" s="3"/>
      <c r="E321" s="3"/>
      <c r="F321" s="3"/>
      <c r="G321" s="3"/>
      <c r="H321" s="3"/>
      <c r="I321" s="3"/>
      <c r="J321" s="3"/>
      <c r="K321" s="3"/>
      <c r="L321" s="3"/>
      <c r="M321" s="3"/>
      <c r="N321" s="3"/>
      <c r="O321" s="3"/>
      <c r="P321" s="3"/>
      <c r="Q321" s="3"/>
      <c r="R321" s="3"/>
      <c r="S321" s="3"/>
      <c r="T321" s="3"/>
      <c r="U321" s="3"/>
      <c r="V321" s="3"/>
      <c r="W321" s="3"/>
      <c r="X321" s="3"/>
      <c r="Y321" s="3"/>
    </row>
    <row r="322">
      <c r="A322" s="7"/>
      <c r="B322" s="6"/>
      <c r="C322" s="6"/>
      <c r="D322" s="3"/>
      <c r="E322" s="3"/>
      <c r="F322" s="3"/>
      <c r="G322" s="3"/>
      <c r="H322" s="3"/>
      <c r="I322" s="3"/>
      <c r="J322" s="3"/>
      <c r="K322" s="3"/>
      <c r="L322" s="3"/>
      <c r="M322" s="3"/>
      <c r="N322" s="3"/>
      <c r="O322" s="3"/>
      <c r="P322" s="3"/>
      <c r="Q322" s="3"/>
      <c r="R322" s="3"/>
      <c r="S322" s="3"/>
      <c r="T322" s="3"/>
      <c r="U322" s="3"/>
      <c r="V322" s="3"/>
      <c r="W322" s="3"/>
      <c r="X322" s="3"/>
      <c r="Y322" s="3"/>
    </row>
    <row r="323">
      <c r="A323" s="7"/>
      <c r="B323" s="6"/>
      <c r="C323" s="6"/>
      <c r="D323" s="3"/>
      <c r="E323" s="3"/>
      <c r="F323" s="3"/>
      <c r="G323" s="3"/>
      <c r="H323" s="3"/>
      <c r="I323" s="3"/>
      <c r="J323" s="3"/>
      <c r="K323" s="3"/>
      <c r="L323" s="3"/>
      <c r="M323" s="3"/>
      <c r="N323" s="3"/>
      <c r="O323" s="3"/>
      <c r="P323" s="3"/>
      <c r="Q323" s="3"/>
      <c r="R323" s="3"/>
      <c r="S323" s="3"/>
      <c r="T323" s="3"/>
      <c r="U323" s="3"/>
      <c r="V323" s="3"/>
      <c r="W323" s="3"/>
      <c r="X323" s="3"/>
      <c r="Y323" s="3"/>
    </row>
    <row r="324">
      <c r="A324" s="7"/>
      <c r="B324" s="6"/>
      <c r="C324" s="6"/>
      <c r="D324" s="3"/>
      <c r="E324" s="3"/>
      <c r="F324" s="3"/>
      <c r="G324" s="3"/>
      <c r="H324" s="3"/>
      <c r="I324" s="3"/>
      <c r="J324" s="3"/>
      <c r="K324" s="3"/>
      <c r="L324" s="3"/>
      <c r="M324" s="3"/>
      <c r="N324" s="3"/>
      <c r="O324" s="3"/>
      <c r="P324" s="3"/>
      <c r="Q324" s="3"/>
      <c r="R324" s="3"/>
      <c r="S324" s="3"/>
      <c r="T324" s="3"/>
      <c r="U324" s="3"/>
      <c r="V324" s="3"/>
      <c r="W324" s="3"/>
      <c r="X324" s="3"/>
      <c r="Y324" s="3"/>
    </row>
    <row r="325">
      <c r="A325" s="7"/>
      <c r="B325" s="6"/>
      <c r="C325" s="6"/>
      <c r="D325" s="3"/>
      <c r="E325" s="3"/>
      <c r="F325" s="3"/>
      <c r="G325" s="3"/>
      <c r="H325" s="3"/>
      <c r="I325" s="3"/>
      <c r="J325" s="3"/>
      <c r="K325" s="3"/>
      <c r="L325" s="3"/>
      <c r="M325" s="3"/>
      <c r="N325" s="3"/>
      <c r="O325" s="3"/>
      <c r="P325" s="3"/>
      <c r="Q325" s="3"/>
      <c r="R325" s="3"/>
      <c r="S325" s="3"/>
      <c r="T325" s="3"/>
      <c r="U325" s="3"/>
      <c r="V325" s="3"/>
      <c r="W325" s="3"/>
      <c r="X325" s="3"/>
      <c r="Y325" s="3"/>
    </row>
    <row r="326">
      <c r="A326" s="7"/>
      <c r="B326" s="6"/>
      <c r="C326" s="6"/>
      <c r="D326" s="3"/>
      <c r="E326" s="3"/>
      <c r="F326" s="3"/>
      <c r="G326" s="3"/>
      <c r="H326" s="3"/>
      <c r="I326" s="3"/>
      <c r="J326" s="3"/>
      <c r="K326" s="3"/>
      <c r="L326" s="3"/>
      <c r="M326" s="3"/>
      <c r="N326" s="3"/>
      <c r="O326" s="3"/>
      <c r="P326" s="3"/>
      <c r="Q326" s="3"/>
      <c r="R326" s="3"/>
      <c r="S326" s="3"/>
      <c r="T326" s="3"/>
      <c r="U326" s="3"/>
      <c r="V326" s="3"/>
      <c r="W326" s="3"/>
      <c r="X326" s="3"/>
      <c r="Y326" s="3"/>
    </row>
    <row r="327">
      <c r="A327" s="7"/>
      <c r="B327" s="6"/>
      <c r="C327" s="6"/>
      <c r="D327" s="3"/>
      <c r="E327" s="3"/>
      <c r="F327" s="3"/>
      <c r="G327" s="3"/>
      <c r="H327" s="3"/>
      <c r="I327" s="3"/>
      <c r="J327" s="3"/>
      <c r="K327" s="3"/>
      <c r="L327" s="3"/>
      <c r="M327" s="3"/>
      <c r="N327" s="3"/>
      <c r="O327" s="3"/>
      <c r="P327" s="3"/>
      <c r="Q327" s="3"/>
      <c r="R327" s="3"/>
      <c r="S327" s="3"/>
      <c r="T327" s="3"/>
      <c r="U327" s="3"/>
      <c r="V327" s="3"/>
      <c r="W327" s="3"/>
      <c r="X327" s="3"/>
      <c r="Y327" s="3"/>
    </row>
    <row r="328">
      <c r="A328" s="7"/>
      <c r="B328" s="6"/>
      <c r="C328" s="6"/>
      <c r="D328" s="3"/>
      <c r="E328" s="3"/>
      <c r="F328" s="3"/>
      <c r="G328" s="3"/>
      <c r="H328" s="3"/>
      <c r="I328" s="3"/>
      <c r="J328" s="3"/>
      <c r="K328" s="3"/>
      <c r="L328" s="3"/>
      <c r="M328" s="3"/>
      <c r="N328" s="3"/>
      <c r="O328" s="3"/>
      <c r="P328" s="3"/>
      <c r="Q328" s="3"/>
      <c r="R328" s="3"/>
      <c r="S328" s="3"/>
      <c r="T328" s="3"/>
      <c r="U328" s="3"/>
      <c r="V328" s="3"/>
      <c r="W328" s="3"/>
      <c r="X328" s="3"/>
      <c r="Y328" s="3"/>
    </row>
    <row r="329">
      <c r="A329" s="7"/>
      <c r="B329" s="6"/>
      <c r="C329" s="6"/>
      <c r="D329" s="3"/>
      <c r="E329" s="3"/>
      <c r="F329" s="3"/>
      <c r="G329" s="3"/>
      <c r="H329" s="3"/>
      <c r="I329" s="3"/>
      <c r="J329" s="3"/>
      <c r="K329" s="3"/>
      <c r="L329" s="3"/>
      <c r="M329" s="3"/>
      <c r="N329" s="3"/>
      <c r="O329" s="3"/>
      <c r="P329" s="3"/>
      <c r="Q329" s="3"/>
      <c r="R329" s="3"/>
      <c r="S329" s="3"/>
      <c r="T329" s="3"/>
      <c r="U329" s="3"/>
      <c r="V329" s="3"/>
      <c r="W329" s="3"/>
      <c r="X329" s="3"/>
      <c r="Y329" s="3"/>
    </row>
    <row r="330">
      <c r="A330" s="7"/>
      <c r="B330" s="6"/>
      <c r="C330" s="6"/>
      <c r="D330" s="3"/>
      <c r="E330" s="3"/>
      <c r="F330" s="3"/>
      <c r="G330" s="3"/>
      <c r="H330" s="3"/>
      <c r="I330" s="3"/>
      <c r="J330" s="3"/>
      <c r="K330" s="3"/>
      <c r="L330" s="3"/>
      <c r="M330" s="3"/>
      <c r="N330" s="3"/>
      <c r="O330" s="3"/>
      <c r="P330" s="3"/>
      <c r="Q330" s="3"/>
      <c r="R330" s="3"/>
      <c r="S330" s="3"/>
      <c r="T330" s="3"/>
      <c r="U330" s="3"/>
      <c r="V330" s="3"/>
      <c r="W330" s="3"/>
      <c r="X330" s="3"/>
      <c r="Y330" s="3"/>
    </row>
    <row r="331">
      <c r="A331" s="7"/>
      <c r="B331" s="6"/>
      <c r="C331" s="6"/>
      <c r="D331" s="3"/>
      <c r="E331" s="3"/>
      <c r="F331" s="3"/>
      <c r="G331" s="3"/>
      <c r="H331" s="3"/>
      <c r="I331" s="3"/>
      <c r="J331" s="3"/>
      <c r="K331" s="3"/>
      <c r="L331" s="3"/>
      <c r="M331" s="3"/>
      <c r="N331" s="3"/>
      <c r="O331" s="3"/>
      <c r="P331" s="3"/>
      <c r="Q331" s="3"/>
      <c r="R331" s="3"/>
      <c r="S331" s="3"/>
      <c r="T331" s="3"/>
      <c r="U331" s="3"/>
      <c r="V331" s="3"/>
      <c r="W331" s="3"/>
      <c r="X331" s="3"/>
      <c r="Y331" s="3"/>
    </row>
    <row r="332">
      <c r="A332" s="7"/>
      <c r="B332" s="6"/>
      <c r="C332" s="6"/>
      <c r="D332" s="3"/>
      <c r="E332" s="3"/>
      <c r="F332" s="3"/>
      <c r="G332" s="3"/>
      <c r="H332" s="3"/>
      <c r="I332" s="3"/>
      <c r="J332" s="3"/>
      <c r="K332" s="3"/>
      <c r="L332" s="3"/>
      <c r="M332" s="3"/>
      <c r="N332" s="3"/>
      <c r="O332" s="3"/>
      <c r="P332" s="3"/>
      <c r="Q332" s="3"/>
      <c r="R332" s="3"/>
      <c r="S332" s="3"/>
      <c r="T332" s="3"/>
      <c r="U332" s="3"/>
      <c r="V332" s="3"/>
      <c r="W332" s="3"/>
      <c r="X332" s="3"/>
      <c r="Y332" s="3"/>
    </row>
    <row r="333">
      <c r="A333" s="7"/>
      <c r="B333" s="6"/>
      <c r="C333" s="6"/>
      <c r="D333" s="3"/>
      <c r="E333" s="3"/>
      <c r="F333" s="3"/>
      <c r="G333" s="3"/>
      <c r="H333" s="3"/>
      <c r="I333" s="3"/>
      <c r="J333" s="3"/>
      <c r="K333" s="3"/>
      <c r="L333" s="3"/>
      <c r="M333" s="3"/>
      <c r="N333" s="3"/>
      <c r="O333" s="3"/>
      <c r="P333" s="3"/>
      <c r="Q333" s="3"/>
      <c r="R333" s="3"/>
      <c r="S333" s="3"/>
      <c r="T333" s="3"/>
      <c r="U333" s="3"/>
      <c r="V333" s="3"/>
      <c r="W333" s="3"/>
      <c r="X333" s="3"/>
      <c r="Y333" s="3"/>
    </row>
    <row r="334">
      <c r="A334" s="7"/>
      <c r="B334" s="6"/>
      <c r="C334" s="6"/>
      <c r="D334" s="3"/>
      <c r="E334" s="3"/>
      <c r="F334" s="3"/>
      <c r="G334" s="3"/>
      <c r="H334" s="3"/>
      <c r="I334" s="3"/>
      <c r="J334" s="3"/>
      <c r="K334" s="3"/>
      <c r="L334" s="3"/>
      <c r="M334" s="3"/>
      <c r="N334" s="3"/>
      <c r="O334" s="3"/>
      <c r="P334" s="3"/>
      <c r="Q334" s="3"/>
      <c r="R334" s="3"/>
      <c r="S334" s="3"/>
      <c r="T334" s="3"/>
      <c r="U334" s="3"/>
      <c r="V334" s="3"/>
      <c r="W334" s="3"/>
      <c r="X334" s="3"/>
      <c r="Y334" s="3"/>
    </row>
    <row r="335">
      <c r="A335" s="7"/>
      <c r="B335" s="6"/>
      <c r="C335" s="6"/>
      <c r="D335" s="3"/>
      <c r="E335" s="3"/>
      <c r="F335" s="3"/>
      <c r="G335" s="3"/>
      <c r="H335" s="3"/>
      <c r="I335" s="3"/>
      <c r="J335" s="3"/>
      <c r="K335" s="3"/>
      <c r="L335" s="3"/>
      <c r="M335" s="3"/>
      <c r="N335" s="3"/>
      <c r="O335" s="3"/>
      <c r="P335" s="3"/>
      <c r="Q335" s="3"/>
      <c r="R335" s="3"/>
      <c r="S335" s="3"/>
      <c r="T335" s="3"/>
      <c r="U335" s="3"/>
      <c r="V335" s="3"/>
      <c r="W335" s="3"/>
      <c r="X335" s="3"/>
      <c r="Y335" s="3"/>
    </row>
    <row r="336">
      <c r="A336" s="7"/>
      <c r="B336" s="6"/>
      <c r="C336" s="6"/>
      <c r="D336" s="3"/>
      <c r="E336" s="3"/>
      <c r="F336" s="3"/>
      <c r="G336" s="3"/>
      <c r="H336" s="3"/>
      <c r="I336" s="3"/>
      <c r="J336" s="3"/>
      <c r="K336" s="3"/>
      <c r="L336" s="3"/>
      <c r="M336" s="3"/>
      <c r="N336" s="3"/>
      <c r="O336" s="3"/>
      <c r="P336" s="3"/>
      <c r="Q336" s="3"/>
      <c r="R336" s="3"/>
      <c r="S336" s="3"/>
      <c r="T336" s="3"/>
      <c r="U336" s="3"/>
      <c r="V336" s="3"/>
      <c r="W336" s="3"/>
      <c r="X336" s="3"/>
      <c r="Y336" s="3"/>
    </row>
    <row r="337">
      <c r="A337" s="7"/>
      <c r="B337" s="6"/>
      <c r="C337" s="6"/>
      <c r="D337" s="3"/>
      <c r="E337" s="3"/>
      <c r="F337" s="3"/>
      <c r="G337" s="3"/>
      <c r="H337" s="3"/>
      <c r="I337" s="3"/>
      <c r="J337" s="3"/>
      <c r="K337" s="3"/>
      <c r="L337" s="3"/>
      <c r="M337" s="3"/>
      <c r="N337" s="3"/>
      <c r="O337" s="3"/>
      <c r="P337" s="3"/>
      <c r="Q337" s="3"/>
      <c r="R337" s="3"/>
      <c r="S337" s="3"/>
      <c r="T337" s="3"/>
      <c r="U337" s="3"/>
      <c r="V337" s="3"/>
      <c r="W337" s="3"/>
      <c r="X337" s="3"/>
      <c r="Y337" s="3"/>
    </row>
    <row r="338">
      <c r="A338" s="7"/>
      <c r="B338" s="6"/>
      <c r="C338" s="6"/>
      <c r="D338" s="3"/>
      <c r="E338" s="3"/>
      <c r="F338" s="3"/>
      <c r="G338" s="3"/>
      <c r="H338" s="3"/>
      <c r="I338" s="3"/>
      <c r="J338" s="3"/>
      <c r="K338" s="3"/>
      <c r="L338" s="3"/>
      <c r="M338" s="3"/>
      <c r="N338" s="3"/>
      <c r="O338" s="3"/>
      <c r="P338" s="3"/>
      <c r="Q338" s="3"/>
      <c r="R338" s="3"/>
      <c r="S338" s="3"/>
      <c r="T338" s="3"/>
      <c r="U338" s="3"/>
      <c r="V338" s="3"/>
      <c r="W338" s="3"/>
      <c r="X338" s="3"/>
      <c r="Y338" s="3"/>
    </row>
    <row r="339">
      <c r="A339" s="7"/>
      <c r="B339" s="6"/>
      <c r="C339" s="6"/>
      <c r="D339" s="3"/>
      <c r="E339" s="3"/>
      <c r="F339" s="3"/>
      <c r="G339" s="3"/>
      <c r="H339" s="3"/>
      <c r="I339" s="3"/>
      <c r="J339" s="3"/>
      <c r="K339" s="3"/>
      <c r="L339" s="3"/>
      <c r="M339" s="3"/>
      <c r="N339" s="3"/>
      <c r="O339" s="3"/>
      <c r="P339" s="3"/>
      <c r="Q339" s="3"/>
      <c r="R339" s="3"/>
      <c r="S339" s="3"/>
      <c r="T339" s="3"/>
      <c r="U339" s="3"/>
      <c r="V339" s="3"/>
      <c r="W339" s="3"/>
      <c r="X339" s="3"/>
      <c r="Y339" s="3"/>
    </row>
    <row r="340">
      <c r="A340" s="7"/>
      <c r="B340" s="6"/>
      <c r="C340" s="6"/>
      <c r="D340" s="3"/>
      <c r="E340" s="3"/>
      <c r="F340" s="3"/>
      <c r="G340" s="3"/>
      <c r="H340" s="3"/>
      <c r="I340" s="3"/>
      <c r="J340" s="3"/>
      <c r="K340" s="3"/>
      <c r="L340" s="3"/>
      <c r="M340" s="3"/>
      <c r="N340" s="3"/>
      <c r="O340" s="3"/>
      <c r="P340" s="3"/>
      <c r="Q340" s="3"/>
      <c r="R340" s="3"/>
      <c r="S340" s="3"/>
      <c r="T340" s="3"/>
      <c r="U340" s="3"/>
      <c r="V340" s="3"/>
      <c r="W340" s="3"/>
      <c r="X340" s="3"/>
      <c r="Y340" s="3"/>
    </row>
    <row r="341">
      <c r="A341" s="7"/>
      <c r="B341" s="6"/>
      <c r="C341" s="6"/>
      <c r="D341" s="3"/>
      <c r="E341" s="3"/>
      <c r="F341" s="3"/>
      <c r="G341" s="3"/>
      <c r="H341" s="3"/>
      <c r="I341" s="3"/>
      <c r="J341" s="3"/>
      <c r="K341" s="3"/>
      <c r="L341" s="3"/>
      <c r="M341" s="3"/>
      <c r="N341" s="3"/>
      <c r="O341" s="3"/>
      <c r="P341" s="3"/>
      <c r="Q341" s="3"/>
      <c r="R341" s="3"/>
      <c r="S341" s="3"/>
      <c r="T341" s="3"/>
      <c r="U341" s="3"/>
      <c r="V341" s="3"/>
      <c r="W341" s="3"/>
      <c r="X341" s="3"/>
      <c r="Y341" s="3"/>
    </row>
    <row r="342">
      <c r="A342" s="7"/>
      <c r="B342" s="6"/>
      <c r="C342" s="6"/>
      <c r="D342" s="3"/>
      <c r="E342" s="3"/>
      <c r="F342" s="3"/>
      <c r="G342" s="3"/>
      <c r="H342" s="3"/>
      <c r="I342" s="3"/>
      <c r="J342" s="3"/>
      <c r="K342" s="3"/>
      <c r="L342" s="3"/>
      <c r="M342" s="3"/>
      <c r="N342" s="3"/>
      <c r="O342" s="3"/>
      <c r="P342" s="3"/>
      <c r="Q342" s="3"/>
      <c r="R342" s="3"/>
      <c r="S342" s="3"/>
      <c r="T342" s="3"/>
      <c r="U342" s="3"/>
      <c r="V342" s="3"/>
      <c r="W342" s="3"/>
      <c r="X342" s="3"/>
      <c r="Y342" s="3"/>
    </row>
    <row r="343">
      <c r="A343" s="7"/>
      <c r="B343" s="6"/>
      <c r="C343" s="6"/>
      <c r="D343" s="3"/>
      <c r="E343" s="3"/>
      <c r="F343" s="3"/>
      <c r="G343" s="3"/>
      <c r="H343" s="3"/>
      <c r="I343" s="3"/>
      <c r="J343" s="3"/>
      <c r="K343" s="3"/>
      <c r="L343" s="3"/>
      <c r="M343" s="3"/>
      <c r="N343" s="3"/>
      <c r="O343" s="3"/>
      <c r="P343" s="3"/>
      <c r="Q343" s="3"/>
      <c r="R343" s="3"/>
      <c r="S343" s="3"/>
      <c r="T343" s="3"/>
      <c r="U343" s="3"/>
      <c r="V343" s="3"/>
      <c r="W343" s="3"/>
      <c r="X343" s="3"/>
      <c r="Y343" s="3"/>
    </row>
    <row r="344">
      <c r="A344" s="7"/>
      <c r="B344" s="6"/>
      <c r="C344" s="6"/>
      <c r="D344" s="3"/>
      <c r="E344" s="3"/>
      <c r="F344" s="3"/>
      <c r="G344" s="3"/>
      <c r="H344" s="3"/>
      <c r="I344" s="3"/>
      <c r="J344" s="3"/>
      <c r="K344" s="3"/>
      <c r="L344" s="3"/>
      <c r="M344" s="3"/>
      <c r="N344" s="3"/>
      <c r="O344" s="3"/>
      <c r="P344" s="3"/>
      <c r="Q344" s="3"/>
      <c r="R344" s="3"/>
      <c r="S344" s="3"/>
      <c r="T344" s="3"/>
      <c r="U344" s="3"/>
      <c r="V344" s="3"/>
      <c r="W344" s="3"/>
      <c r="X344" s="3"/>
      <c r="Y344" s="3"/>
    </row>
    <row r="345">
      <c r="A345" s="7"/>
      <c r="B345" s="6"/>
      <c r="C345" s="6"/>
      <c r="D345" s="3"/>
      <c r="E345" s="3"/>
      <c r="F345" s="3"/>
      <c r="G345" s="3"/>
      <c r="H345" s="3"/>
      <c r="I345" s="3"/>
      <c r="J345" s="3"/>
      <c r="K345" s="3"/>
      <c r="L345" s="3"/>
      <c r="M345" s="3"/>
      <c r="N345" s="3"/>
      <c r="O345" s="3"/>
      <c r="P345" s="3"/>
      <c r="Q345" s="3"/>
      <c r="R345" s="3"/>
      <c r="S345" s="3"/>
      <c r="T345" s="3"/>
      <c r="U345" s="3"/>
      <c r="V345" s="3"/>
      <c r="W345" s="3"/>
      <c r="X345" s="3"/>
      <c r="Y345" s="3"/>
    </row>
    <row r="346">
      <c r="A346" s="7"/>
      <c r="B346" s="6"/>
      <c r="C346" s="6"/>
      <c r="D346" s="3"/>
      <c r="E346" s="3"/>
      <c r="F346" s="3"/>
      <c r="G346" s="3"/>
      <c r="H346" s="3"/>
      <c r="I346" s="3"/>
      <c r="J346" s="3"/>
      <c r="K346" s="3"/>
      <c r="L346" s="3"/>
      <c r="M346" s="3"/>
      <c r="N346" s="3"/>
      <c r="O346" s="3"/>
      <c r="P346" s="3"/>
      <c r="Q346" s="3"/>
      <c r="R346" s="3"/>
      <c r="S346" s="3"/>
      <c r="T346" s="3"/>
      <c r="U346" s="3"/>
      <c r="V346" s="3"/>
      <c r="W346" s="3"/>
      <c r="X346" s="3"/>
      <c r="Y346" s="3"/>
    </row>
    <row r="347">
      <c r="A347" s="7"/>
      <c r="B347" s="6"/>
      <c r="C347" s="6"/>
      <c r="D347" s="3"/>
      <c r="E347" s="3"/>
      <c r="F347" s="3"/>
      <c r="G347" s="3"/>
      <c r="H347" s="3"/>
      <c r="I347" s="3"/>
      <c r="J347" s="3"/>
      <c r="K347" s="3"/>
      <c r="L347" s="3"/>
      <c r="M347" s="3"/>
      <c r="N347" s="3"/>
      <c r="O347" s="3"/>
      <c r="P347" s="3"/>
      <c r="Q347" s="3"/>
      <c r="R347" s="3"/>
      <c r="S347" s="3"/>
      <c r="T347" s="3"/>
      <c r="U347" s="3"/>
      <c r="V347" s="3"/>
      <c r="W347" s="3"/>
      <c r="X347" s="3"/>
      <c r="Y347" s="3"/>
    </row>
    <row r="348">
      <c r="A348" s="7"/>
      <c r="B348" s="6"/>
      <c r="C348" s="6"/>
      <c r="D348" s="3"/>
      <c r="E348" s="3"/>
      <c r="F348" s="3"/>
      <c r="G348" s="3"/>
      <c r="H348" s="3"/>
      <c r="I348" s="3"/>
      <c r="J348" s="3"/>
      <c r="K348" s="3"/>
      <c r="L348" s="3"/>
      <c r="M348" s="3"/>
      <c r="N348" s="3"/>
      <c r="O348" s="3"/>
      <c r="P348" s="3"/>
      <c r="Q348" s="3"/>
      <c r="R348" s="3"/>
      <c r="S348" s="3"/>
      <c r="T348" s="3"/>
      <c r="U348" s="3"/>
      <c r="V348" s="3"/>
      <c r="W348" s="3"/>
      <c r="X348" s="3"/>
      <c r="Y348" s="3"/>
    </row>
    <row r="349">
      <c r="A349" s="7"/>
      <c r="B349" s="6"/>
      <c r="C349" s="6"/>
      <c r="D349" s="3"/>
      <c r="E349" s="3"/>
      <c r="F349" s="3"/>
      <c r="G349" s="3"/>
      <c r="H349" s="3"/>
      <c r="I349" s="3"/>
      <c r="J349" s="3"/>
      <c r="K349" s="3"/>
      <c r="L349" s="3"/>
      <c r="M349" s="3"/>
      <c r="N349" s="3"/>
      <c r="O349" s="3"/>
      <c r="P349" s="3"/>
      <c r="Q349" s="3"/>
      <c r="R349" s="3"/>
      <c r="S349" s="3"/>
      <c r="T349" s="3"/>
      <c r="U349" s="3"/>
      <c r="V349" s="3"/>
      <c r="W349" s="3"/>
      <c r="X349" s="3"/>
      <c r="Y349" s="3"/>
    </row>
    <row r="350">
      <c r="A350" s="7"/>
      <c r="B350" s="6"/>
      <c r="C350" s="6"/>
      <c r="D350" s="3"/>
      <c r="E350" s="3"/>
      <c r="F350" s="3"/>
      <c r="G350" s="3"/>
      <c r="H350" s="3"/>
      <c r="I350" s="3"/>
      <c r="J350" s="3"/>
      <c r="K350" s="3"/>
      <c r="L350" s="3"/>
      <c r="M350" s="3"/>
      <c r="N350" s="3"/>
      <c r="O350" s="3"/>
      <c r="P350" s="3"/>
      <c r="Q350" s="3"/>
      <c r="R350" s="3"/>
      <c r="S350" s="3"/>
      <c r="T350" s="3"/>
      <c r="U350" s="3"/>
      <c r="V350" s="3"/>
      <c r="W350" s="3"/>
      <c r="X350" s="3"/>
      <c r="Y350" s="3"/>
    </row>
    <row r="351">
      <c r="A351" s="7"/>
      <c r="B351" s="6"/>
      <c r="C351" s="6"/>
      <c r="D351" s="3"/>
      <c r="E351" s="3"/>
      <c r="F351" s="3"/>
      <c r="G351" s="3"/>
      <c r="H351" s="3"/>
      <c r="I351" s="3"/>
      <c r="J351" s="3"/>
      <c r="K351" s="3"/>
      <c r="L351" s="3"/>
      <c r="M351" s="3"/>
      <c r="N351" s="3"/>
      <c r="O351" s="3"/>
      <c r="P351" s="3"/>
      <c r="Q351" s="3"/>
      <c r="R351" s="3"/>
      <c r="S351" s="3"/>
      <c r="T351" s="3"/>
      <c r="U351" s="3"/>
      <c r="V351" s="3"/>
      <c r="W351" s="3"/>
      <c r="X351" s="3"/>
      <c r="Y351" s="3"/>
    </row>
    <row r="352">
      <c r="A352" s="7"/>
      <c r="B352" s="6"/>
      <c r="C352" s="6"/>
      <c r="D352" s="3"/>
      <c r="E352" s="3"/>
      <c r="F352" s="3"/>
      <c r="G352" s="3"/>
      <c r="H352" s="3"/>
      <c r="I352" s="3"/>
      <c r="J352" s="3"/>
      <c r="K352" s="3"/>
      <c r="L352" s="3"/>
      <c r="M352" s="3"/>
      <c r="N352" s="3"/>
      <c r="O352" s="3"/>
      <c r="P352" s="3"/>
      <c r="Q352" s="3"/>
      <c r="R352" s="3"/>
      <c r="S352" s="3"/>
      <c r="T352" s="3"/>
      <c r="U352" s="3"/>
      <c r="V352" s="3"/>
      <c r="W352" s="3"/>
      <c r="X352" s="3"/>
      <c r="Y352" s="3"/>
    </row>
    <row r="353">
      <c r="A353" s="7"/>
      <c r="B353" s="6"/>
      <c r="C353" s="6"/>
      <c r="D353" s="3"/>
      <c r="E353" s="3"/>
      <c r="F353" s="3"/>
      <c r="G353" s="3"/>
      <c r="H353" s="3"/>
      <c r="I353" s="3"/>
      <c r="J353" s="3"/>
      <c r="K353" s="3"/>
      <c r="L353" s="3"/>
      <c r="M353" s="3"/>
      <c r="N353" s="3"/>
      <c r="O353" s="3"/>
      <c r="P353" s="3"/>
      <c r="Q353" s="3"/>
      <c r="R353" s="3"/>
      <c r="S353" s="3"/>
      <c r="T353" s="3"/>
      <c r="U353" s="3"/>
      <c r="V353" s="3"/>
      <c r="W353" s="3"/>
      <c r="X353" s="3"/>
      <c r="Y353" s="3"/>
    </row>
    <row r="354">
      <c r="A354" s="7"/>
      <c r="B354" s="6"/>
      <c r="C354" s="6"/>
      <c r="D354" s="3"/>
      <c r="E354" s="3"/>
      <c r="F354" s="3"/>
      <c r="G354" s="3"/>
      <c r="H354" s="3"/>
      <c r="I354" s="3"/>
      <c r="J354" s="3"/>
      <c r="K354" s="3"/>
      <c r="L354" s="3"/>
      <c r="M354" s="3"/>
      <c r="N354" s="3"/>
      <c r="O354" s="3"/>
      <c r="P354" s="3"/>
      <c r="Q354" s="3"/>
      <c r="R354" s="3"/>
      <c r="S354" s="3"/>
      <c r="T354" s="3"/>
      <c r="U354" s="3"/>
      <c r="V354" s="3"/>
      <c r="W354" s="3"/>
      <c r="X354" s="3"/>
      <c r="Y354" s="3"/>
    </row>
    <row r="355">
      <c r="A355" s="7"/>
      <c r="B355" s="6"/>
      <c r="C355" s="6"/>
      <c r="D355" s="3"/>
      <c r="E355" s="3"/>
      <c r="F355" s="3"/>
      <c r="G355" s="3"/>
      <c r="H355" s="3"/>
      <c r="I355" s="3"/>
      <c r="J355" s="3"/>
      <c r="K355" s="3"/>
      <c r="L355" s="3"/>
      <c r="M355" s="3"/>
      <c r="N355" s="3"/>
      <c r="O355" s="3"/>
      <c r="P355" s="3"/>
      <c r="Q355" s="3"/>
      <c r="R355" s="3"/>
      <c r="S355" s="3"/>
      <c r="T355" s="3"/>
      <c r="U355" s="3"/>
      <c r="V355" s="3"/>
      <c r="W355" s="3"/>
      <c r="X355" s="3"/>
      <c r="Y355" s="3"/>
    </row>
    <row r="356">
      <c r="A356" s="7"/>
      <c r="B356" s="6"/>
      <c r="C356" s="6"/>
      <c r="D356" s="3"/>
      <c r="E356" s="3"/>
      <c r="F356" s="3"/>
      <c r="G356" s="3"/>
      <c r="H356" s="3"/>
      <c r="I356" s="3"/>
      <c r="J356" s="3"/>
      <c r="K356" s="3"/>
      <c r="L356" s="3"/>
      <c r="M356" s="3"/>
      <c r="N356" s="3"/>
      <c r="O356" s="3"/>
      <c r="P356" s="3"/>
      <c r="Q356" s="3"/>
      <c r="R356" s="3"/>
      <c r="S356" s="3"/>
      <c r="T356" s="3"/>
      <c r="U356" s="3"/>
      <c r="V356" s="3"/>
      <c r="W356" s="3"/>
      <c r="X356" s="3"/>
      <c r="Y356" s="3"/>
    </row>
    <row r="357">
      <c r="A357" s="7"/>
      <c r="B357" s="6"/>
      <c r="C357" s="6"/>
      <c r="D357" s="3"/>
      <c r="E357" s="3"/>
      <c r="F357" s="3"/>
      <c r="G357" s="3"/>
      <c r="H357" s="3"/>
      <c r="I357" s="3"/>
      <c r="J357" s="3"/>
      <c r="K357" s="3"/>
      <c r="L357" s="3"/>
      <c r="M357" s="3"/>
      <c r="N357" s="3"/>
      <c r="O357" s="3"/>
      <c r="P357" s="3"/>
      <c r="Q357" s="3"/>
      <c r="R357" s="3"/>
      <c r="S357" s="3"/>
      <c r="T357" s="3"/>
      <c r="U357" s="3"/>
      <c r="V357" s="3"/>
      <c r="W357" s="3"/>
      <c r="X357" s="3"/>
      <c r="Y357" s="3"/>
    </row>
    <row r="358">
      <c r="A358" s="7"/>
      <c r="B358" s="6"/>
      <c r="C358" s="6"/>
      <c r="D358" s="3"/>
      <c r="E358" s="3"/>
      <c r="F358" s="3"/>
      <c r="G358" s="3"/>
      <c r="H358" s="3"/>
      <c r="I358" s="3"/>
      <c r="J358" s="3"/>
      <c r="K358" s="3"/>
      <c r="L358" s="3"/>
      <c r="M358" s="3"/>
      <c r="N358" s="3"/>
      <c r="O358" s="3"/>
      <c r="P358" s="3"/>
      <c r="Q358" s="3"/>
      <c r="R358" s="3"/>
      <c r="S358" s="3"/>
      <c r="T358" s="3"/>
      <c r="U358" s="3"/>
      <c r="V358" s="3"/>
      <c r="W358" s="3"/>
      <c r="X358" s="3"/>
      <c r="Y358" s="3"/>
    </row>
    <row r="359">
      <c r="A359" s="7"/>
      <c r="B359" s="6"/>
      <c r="C359" s="6"/>
      <c r="D359" s="3"/>
      <c r="E359" s="3"/>
      <c r="F359" s="3"/>
      <c r="G359" s="3"/>
      <c r="H359" s="3"/>
      <c r="I359" s="3"/>
      <c r="J359" s="3"/>
      <c r="K359" s="3"/>
      <c r="L359" s="3"/>
      <c r="M359" s="3"/>
      <c r="N359" s="3"/>
      <c r="O359" s="3"/>
      <c r="P359" s="3"/>
      <c r="Q359" s="3"/>
      <c r="R359" s="3"/>
      <c r="S359" s="3"/>
      <c r="T359" s="3"/>
      <c r="U359" s="3"/>
      <c r="V359" s="3"/>
      <c r="W359" s="3"/>
      <c r="X359" s="3"/>
      <c r="Y359" s="3"/>
    </row>
    <row r="360">
      <c r="A360" s="7"/>
      <c r="B360" s="6"/>
      <c r="C360" s="6"/>
      <c r="D360" s="3"/>
      <c r="E360" s="3"/>
      <c r="F360" s="3"/>
      <c r="G360" s="3"/>
      <c r="H360" s="3"/>
      <c r="I360" s="3"/>
      <c r="J360" s="3"/>
      <c r="K360" s="3"/>
      <c r="L360" s="3"/>
      <c r="M360" s="3"/>
      <c r="N360" s="3"/>
      <c r="O360" s="3"/>
      <c r="P360" s="3"/>
      <c r="Q360" s="3"/>
      <c r="R360" s="3"/>
      <c r="S360" s="3"/>
      <c r="T360" s="3"/>
      <c r="U360" s="3"/>
      <c r="V360" s="3"/>
      <c r="W360" s="3"/>
      <c r="X360" s="3"/>
      <c r="Y360" s="3"/>
    </row>
    <row r="361">
      <c r="A361" s="7"/>
      <c r="B361" s="6"/>
      <c r="C361" s="6"/>
      <c r="D361" s="3"/>
      <c r="E361" s="3"/>
      <c r="F361" s="3"/>
      <c r="G361" s="3"/>
      <c r="H361" s="3"/>
      <c r="I361" s="3"/>
      <c r="J361" s="3"/>
      <c r="K361" s="3"/>
      <c r="L361" s="3"/>
      <c r="M361" s="3"/>
      <c r="N361" s="3"/>
      <c r="O361" s="3"/>
      <c r="P361" s="3"/>
      <c r="Q361" s="3"/>
      <c r="R361" s="3"/>
      <c r="S361" s="3"/>
      <c r="T361" s="3"/>
      <c r="U361" s="3"/>
      <c r="V361" s="3"/>
      <c r="W361" s="3"/>
      <c r="X361" s="3"/>
      <c r="Y361" s="3"/>
    </row>
    <row r="362">
      <c r="A362" s="7"/>
      <c r="B362" s="6"/>
      <c r="C362" s="6"/>
      <c r="D362" s="3"/>
      <c r="E362" s="3"/>
      <c r="F362" s="3"/>
      <c r="G362" s="3"/>
      <c r="H362" s="3"/>
      <c r="I362" s="3"/>
      <c r="J362" s="3"/>
      <c r="K362" s="3"/>
      <c r="L362" s="3"/>
      <c r="M362" s="3"/>
      <c r="N362" s="3"/>
      <c r="O362" s="3"/>
      <c r="P362" s="3"/>
      <c r="Q362" s="3"/>
      <c r="R362" s="3"/>
      <c r="S362" s="3"/>
      <c r="T362" s="3"/>
      <c r="U362" s="3"/>
      <c r="V362" s="3"/>
      <c r="W362" s="3"/>
      <c r="X362" s="3"/>
      <c r="Y362" s="3"/>
    </row>
    <row r="363">
      <c r="A363" s="7"/>
      <c r="B363" s="6"/>
      <c r="C363" s="6"/>
      <c r="D363" s="3"/>
      <c r="E363" s="3"/>
      <c r="F363" s="3"/>
      <c r="G363" s="3"/>
      <c r="H363" s="3"/>
      <c r="I363" s="3"/>
      <c r="J363" s="3"/>
      <c r="K363" s="3"/>
      <c r="L363" s="3"/>
      <c r="M363" s="3"/>
      <c r="N363" s="3"/>
      <c r="O363" s="3"/>
      <c r="P363" s="3"/>
      <c r="Q363" s="3"/>
      <c r="R363" s="3"/>
      <c r="S363" s="3"/>
      <c r="T363" s="3"/>
      <c r="U363" s="3"/>
      <c r="V363" s="3"/>
      <c r="W363" s="3"/>
      <c r="X363" s="3"/>
      <c r="Y363" s="3"/>
    </row>
    <row r="364">
      <c r="A364" s="7"/>
      <c r="B364" s="6"/>
      <c r="C364" s="6"/>
      <c r="D364" s="3"/>
      <c r="E364" s="3"/>
      <c r="F364" s="3"/>
      <c r="G364" s="3"/>
      <c r="H364" s="3"/>
      <c r="I364" s="3"/>
      <c r="J364" s="3"/>
      <c r="K364" s="3"/>
      <c r="L364" s="3"/>
      <c r="M364" s="3"/>
      <c r="N364" s="3"/>
      <c r="O364" s="3"/>
      <c r="P364" s="3"/>
      <c r="Q364" s="3"/>
      <c r="R364" s="3"/>
      <c r="S364" s="3"/>
      <c r="T364" s="3"/>
      <c r="U364" s="3"/>
      <c r="V364" s="3"/>
      <c r="W364" s="3"/>
      <c r="X364" s="3"/>
      <c r="Y364" s="3"/>
    </row>
    <row r="365">
      <c r="A365" s="7"/>
      <c r="B365" s="6"/>
      <c r="C365" s="6"/>
      <c r="D365" s="3"/>
      <c r="E365" s="3"/>
      <c r="F365" s="3"/>
      <c r="G365" s="3"/>
      <c r="H365" s="3"/>
      <c r="I365" s="3"/>
      <c r="J365" s="3"/>
      <c r="K365" s="3"/>
      <c r="L365" s="3"/>
      <c r="M365" s="3"/>
      <c r="N365" s="3"/>
      <c r="O365" s="3"/>
      <c r="P365" s="3"/>
      <c r="Q365" s="3"/>
      <c r="R365" s="3"/>
      <c r="S365" s="3"/>
      <c r="T365" s="3"/>
      <c r="U365" s="3"/>
      <c r="V365" s="3"/>
      <c r="W365" s="3"/>
      <c r="X365" s="3"/>
      <c r="Y365" s="3"/>
    </row>
    <row r="366">
      <c r="A366" s="7"/>
      <c r="B366" s="6"/>
      <c r="C366" s="6"/>
      <c r="D366" s="3"/>
      <c r="E366" s="3"/>
      <c r="F366" s="3"/>
      <c r="G366" s="3"/>
      <c r="H366" s="3"/>
      <c r="I366" s="3"/>
      <c r="J366" s="3"/>
      <c r="K366" s="3"/>
      <c r="L366" s="3"/>
      <c r="M366" s="3"/>
      <c r="N366" s="3"/>
      <c r="O366" s="3"/>
      <c r="P366" s="3"/>
      <c r="Q366" s="3"/>
      <c r="R366" s="3"/>
      <c r="S366" s="3"/>
      <c r="T366" s="3"/>
      <c r="U366" s="3"/>
      <c r="V366" s="3"/>
      <c r="W366" s="3"/>
      <c r="X366" s="3"/>
      <c r="Y366" s="3"/>
    </row>
    <row r="367">
      <c r="A367" s="7"/>
      <c r="B367" s="6"/>
      <c r="C367" s="6"/>
      <c r="D367" s="3"/>
      <c r="E367" s="3"/>
      <c r="F367" s="3"/>
      <c r="G367" s="3"/>
      <c r="H367" s="3"/>
      <c r="I367" s="3"/>
      <c r="J367" s="3"/>
      <c r="K367" s="3"/>
      <c r="L367" s="3"/>
      <c r="M367" s="3"/>
      <c r="N367" s="3"/>
      <c r="O367" s="3"/>
      <c r="P367" s="3"/>
      <c r="Q367" s="3"/>
      <c r="R367" s="3"/>
      <c r="S367" s="3"/>
      <c r="T367" s="3"/>
      <c r="U367" s="3"/>
      <c r="V367" s="3"/>
      <c r="W367" s="3"/>
      <c r="X367" s="3"/>
      <c r="Y367" s="3"/>
    </row>
    <row r="368">
      <c r="A368" s="7"/>
      <c r="B368" s="6"/>
      <c r="C368" s="6"/>
      <c r="D368" s="3"/>
      <c r="E368" s="3"/>
      <c r="F368" s="3"/>
      <c r="G368" s="3"/>
      <c r="H368" s="3"/>
      <c r="I368" s="3"/>
      <c r="J368" s="3"/>
      <c r="K368" s="3"/>
      <c r="L368" s="3"/>
      <c r="M368" s="3"/>
      <c r="N368" s="3"/>
      <c r="O368" s="3"/>
      <c r="P368" s="3"/>
      <c r="Q368" s="3"/>
      <c r="R368" s="3"/>
      <c r="S368" s="3"/>
      <c r="T368" s="3"/>
      <c r="U368" s="3"/>
      <c r="V368" s="3"/>
      <c r="W368" s="3"/>
      <c r="X368" s="3"/>
      <c r="Y368" s="3"/>
    </row>
    <row r="369">
      <c r="A369" s="7"/>
      <c r="B369" s="6"/>
      <c r="C369" s="6"/>
      <c r="D369" s="3"/>
      <c r="E369" s="3"/>
      <c r="F369" s="3"/>
      <c r="G369" s="3"/>
      <c r="H369" s="3"/>
      <c r="I369" s="3"/>
      <c r="J369" s="3"/>
      <c r="K369" s="3"/>
      <c r="L369" s="3"/>
      <c r="M369" s="3"/>
      <c r="N369" s="3"/>
      <c r="O369" s="3"/>
      <c r="P369" s="3"/>
      <c r="Q369" s="3"/>
      <c r="R369" s="3"/>
      <c r="S369" s="3"/>
      <c r="T369" s="3"/>
      <c r="U369" s="3"/>
      <c r="V369" s="3"/>
      <c r="W369" s="3"/>
      <c r="X369" s="3"/>
      <c r="Y369" s="3"/>
    </row>
    <row r="370">
      <c r="A370" s="7"/>
      <c r="B370" s="6"/>
      <c r="C370" s="6"/>
      <c r="D370" s="3"/>
      <c r="E370" s="3"/>
      <c r="F370" s="3"/>
      <c r="G370" s="3"/>
      <c r="H370" s="3"/>
      <c r="I370" s="3"/>
      <c r="J370" s="3"/>
      <c r="K370" s="3"/>
      <c r="L370" s="3"/>
      <c r="M370" s="3"/>
      <c r="N370" s="3"/>
      <c r="O370" s="3"/>
      <c r="P370" s="3"/>
      <c r="Q370" s="3"/>
      <c r="R370" s="3"/>
      <c r="S370" s="3"/>
      <c r="T370" s="3"/>
      <c r="U370" s="3"/>
      <c r="V370" s="3"/>
      <c r="W370" s="3"/>
      <c r="X370" s="3"/>
      <c r="Y370" s="3"/>
    </row>
    <row r="371">
      <c r="A371" s="7"/>
      <c r="B371" s="6"/>
      <c r="C371" s="6"/>
      <c r="D371" s="3"/>
      <c r="E371" s="3"/>
      <c r="F371" s="3"/>
      <c r="G371" s="3"/>
      <c r="H371" s="3"/>
      <c r="I371" s="3"/>
      <c r="J371" s="3"/>
      <c r="K371" s="3"/>
      <c r="L371" s="3"/>
      <c r="M371" s="3"/>
      <c r="N371" s="3"/>
      <c r="O371" s="3"/>
      <c r="P371" s="3"/>
      <c r="Q371" s="3"/>
      <c r="R371" s="3"/>
      <c r="S371" s="3"/>
      <c r="T371" s="3"/>
      <c r="U371" s="3"/>
      <c r="V371" s="3"/>
      <c r="W371" s="3"/>
      <c r="X371" s="3"/>
      <c r="Y371" s="3"/>
    </row>
    <row r="372">
      <c r="A372" s="7"/>
      <c r="B372" s="6"/>
      <c r="C372" s="6"/>
      <c r="D372" s="3"/>
      <c r="E372" s="3"/>
      <c r="F372" s="3"/>
      <c r="G372" s="3"/>
      <c r="H372" s="3"/>
      <c r="I372" s="3"/>
      <c r="J372" s="3"/>
      <c r="K372" s="3"/>
      <c r="L372" s="3"/>
      <c r="M372" s="3"/>
      <c r="N372" s="3"/>
      <c r="O372" s="3"/>
      <c r="P372" s="3"/>
      <c r="Q372" s="3"/>
      <c r="R372" s="3"/>
      <c r="S372" s="3"/>
      <c r="T372" s="3"/>
      <c r="U372" s="3"/>
      <c r="V372" s="3"/>
      <c r="W372" s="3"/>
      <c r="X372" s="3"/>
      <c r="Y372" s="3"/>
    </row>
    <row r="373">
      <c r="A373" s="7"/>
      <c r="B373" s="6"/>
      <c r="C373" s="6"/>
      <c r="D373" s="3"/>
      <c r="E373" s="3"/>
      <c r="F373" s="3"/>
      <c r="G373" s="3"/>
      <c r="H373" s="3"/>
      <c r="I373" s="3"/>
      <c r="J373" s="3"/>
      <c r="K373" s="3"/>
      <c r="L373" s="3"/>
      <c r="M373" s="3"/>
      <c r="N373" s="3"/>
      <c r="O373" s="3"/>
      <c r="P373" s="3"/>
      <c r="Q373" s="3"/>
      <c r="R373" s="3"/>
      <c r="S373" s="3"/>
      <c r="T373" s="3"/>
      <c r="U373" s="3"/>
      <c r="V373" s="3"/>
      <c r="W373" s="3"/>
      <c r="X373" s="3"/>
      <c r="Y373" s="3"/>
    </row>
    <row r="374">
      <c r="A374" s="7"/>
      <c r="B374" s="6"/>
      <c r="C374" s="6"/>
      <c r="D374" s="3"/>
      <c r="E374" s="3"/>
      <c r="F374" s="3"/>
      <c r="G374" s="3"/>
      <c r="H374" s="3"/>
      <c r="I374" s="3"/>
      <c r="J374" s="3"/>
      <c r="K374" s="3"/>
      <c r="L374" s="3"/>
      <c r="M374" s="3"/>
      <c r="N374" s="3"/>
      <c r="O374" s="3"/>
      <c r="P374" s="3"/>
      <c r="Q374" s="3"/>
      <c r="R374" s="3"/>
      <c r="S374" s="3"/>
      <c r="T374" s="3"/>
      <c r="U374" s="3"/>
      <c r="V374" s="3"/>
      <c r="W374" s="3"/>
      <c r="X374" s="3"/>
      <c r="Y374" s="3"/>
    </row>
    <row r="375">
      <c r="A375" s="7"/>
      <c r="B375" s="6"/>
      <c r="C375" s="6"/>
      <c r="D375" s="3"/>
      <c r="E375" s="3"/>
      <c r="F375" s="3"/>
      <c r="G375" s="3"/>
      <c r="H375" s="3"/>
      <c r="I375" s="3"/>
      <c r="J375" s="3"/>
      <c r="K375" s="3"/>
      <c r="L375" s="3"/>
      <c r="M375" s="3"/>
      <c r="N375" s="3"/>
      <c r="O375" s="3"/>
      <c r="P375" s="3"/>
      <c r="Q375" s="3"/>
      <c r="R375" s="3"/>
      <c r="S375" s="3"/>
      <c r="T375" s="3"/>
      <c r="U375" s="3"/>
      <c r="V375" s="3"/>
      <c r="W375" s="3"/>
      <c r="X375" s="3"/>
      <c r="Y375" s="3"/>
    </row>
    <row r="376">
      <c r="A376" s="7"/>
      <c r="B376" s="6"/>
      <c r="C376" s="6"/>
      <c r="D376" s="3"/>
      <c r="E376" s="3"/>
      <c r="F376" s="3"/>
      <c r="G376" s="3"/>
      <c r="H376" s="3"/>
      <c r="I376" s="3"/>
      <c r="J376" s="3"/>
      <c r="K376" s="3"/>
      <c r="L376" s="3"/>
      <c r="M376" s="3"/>
      <c r="N376" s="3"/>
      <c r="O376" s="3"/>
      <c r="P376" s="3"/>
      <c r="Q376" s="3"/>
      <c r="R376" s="3"/>
      <c r="S376" s="3"/>
      <c r="T376" s="3"/>
      <c r="U376" s="3"/>
      <c r="V376" s="3"/>
      <c r="W376" s="3"/>
      <c r="X376" s="3"/>
      <c r="Y376" s="3"/>
    </row>
    <row r="377">
      <c r="A377" s="7"/>
      <c r="B377" s="6"/>
      <c r="C377" s="6"/>
      <c r="D377" s="3"/>
      <c r="E377" s="3"/>
      <c r="F377" s="3"/>
      <c r="G377" s="3"/>
      <c r="H377" s="3"/>
      <c r="I377" s="3"/>
      <c r="J377" s="3"/>
      <c r="K377" s="3"/>
      <c r="L377" s="3"/>
      <c r="M377" s="3"/>
      <c r="N377" s="3"/>
      <c r="O377" s="3"/>
      <c r="P377" s="3"/>
      <c r="Q377" s="3"/>
      <c r="R377" s="3"/>
      <c r="S377" s="3"/>
      <c r="T377" s="3"/>
      <c r="U377" s="3"/>
      <c r="V377" s="3"/>
      <c r="W377" s="3"/>
      <c r="X377" s="3"/>
      <c r="Y377" s="3"/>
    </row>
    <row r="378">
      <c r="A378" s="7"/>
      <c r="B378" s="6"/>
      <c r="C378" s="6"/>
      <c r="D378" s="3"/>
      <c r="E378" s="3"/>
      <c r="F378" s="3"/>
      <c r="G378" s="3"/>
      <c r="H378" s="3"/>
      <c r="I378" s="3"/>
      <c r="J378" s="3"/>
      <c r="K378" s="3"/>
      <c r="L378" s="3"/>
      <c r="M378" s="3"/>
      <c r="N378" s="3"/>
      <c r="O378" s="3"/>
      <c r="P378" s="3"/>
      <c r="Q378" s="3"/>
      <c r="R378" s="3"/>
      <c r="S378" s="3"/>
      <c r="T378" s="3"/>
      <c r="U378" s="3"/>
      <c r="V378" s="3"/>
      <c r="W378" s="3"/>
      <c r="X378" s="3"/>
      <c r="Y378" s="3"/>
    </row>
    <row r="379">
      <c r="A379" s="7"/>
      <c r="B379" s="6"/>
      <c r="C379" s="6"/>
      <c r="D379" s="3"/>
      <c r="E379" s="3"/>
      <c r="F379" s="3"/>
      <c r="G379" s="3"/>
      <c r="H379" s="3"/>
      <c r="I379" s="3"/>
      <c r="J379" s="3"/>
      <c r="K379" s="3"/>
      <c r="L379" s="3"/>
      <c r="M379" s="3"/>
      <c r="N379" s="3"/>
      <c r="O379" s="3"/>
      <c r="P379" s="3"/>
      <c r="Q379" s="3"/>
      <c r="R379" s="3"/>
      <c r="S379" s="3"/>
      <c r="T379" s="3"/>
      <c r="U379" s="3"/>
      <c r="V379" s="3"/>
      <c r="W379" s="3"/>
      <c r="X379" s="3"/>
      <c r="Y379" s="3"/>
    </row>
    <row r="380">
      <c r="A380" s="7"/>
      <c r="B380" s="6"/>
      <c r="C380" s="6"/>
      <c r="D380" s="3"/>
      <c r="E380" s="3"/>
      <c r="F380" s="3"/>
      <c r="G380" s="3"/>
      <c r="H380" s="3"/>
      <c r="I380" s="3"/>
      <c r="J380" s="3"/>
      <c r="K380" s="3"/>
      <c r="L380" s="3"/>
      <c r="M380" s="3"/>
      <c r="N380" s="3"/>
      <c r="O380" s="3"/>
      <c r="P380" s="3"/>
      <c r="Q380" s="3"/>
      <c r="R380" s="3"/>
      <c r="S380" s="3"/>
      <c r="T380" s="3"/>
      <c r="U380" s="3"/>
      <c r="V380" s="3"/>
      <c r="W380" s="3"/>
      <c r="X380" s="3"/>
      <c r="Y380" s="3"/>
    </row>
    <row r="381">
      <c r="A381" s="7"/>
      <c r="B381" s="6"/>
      <c r="C381" s="6"/>
      <c r="D381" s="3"/>
      <c r="E381" s="3"/>
      <c r="F381" s="3"/>
      <c r="G381" s="3"/>
      <c r="H381" s="3"/>
      <c r="I381" s="3"/>
      <c r="J381" s="3"/>
      <c r="K381" s="3"/>
      <c r="L381" s="3"/>
      <c r="M381" s="3"/>
      <c r="N381" s="3"/>
      <c r="O381" s="3"/>
      <c r="P381" s="3"/>
      <c r="Q381" s="3"/>
      <c r="R381" s="3"/>
      <c r="S381" s="3"/>
      <c r="T381" s="3"/>
      <c r="U381" s="3"/>
      <c r="V381" s="3"/>
      <c r="W381" s="3"/>
      <c r="X381" s="3"/>
      <c r="Y381" s="3"/>
    </row>
    <row r="382">
      <c r="A382" s="7"/>
      <c r="B382" s="6"/>
      <c r="C382" s="6"/>
      <c r="D382" s="3"/>
      <c r="E382" s="3"/>
      <c r="F382" s="3"/>
      <c r="G382" s="3"/>
      <c r="H382" s="3"/>
      <c r="I382" s="3"/>
      <c r="J382" s="3"/>
      <c r="K382" s="3"/>
      <c r="L382" s="3"/>
      <c r="M382" s="3"/>
      <c r="N382" s="3"/>
      <c r="O382" s="3"/>
      <c r="P382" s="3"/>
      <c r="Q382" s="3"/>
      <c r="R382" s="3"/>
      <c r="S382" s="3"/>
      <c r="T382" s="3"/>
      <c r="U382" s="3"/>
      <c r="V382" s="3"/>
      <c r="W382" s="3"/>
      <c r="X382" s="3"/>
      <c r="Y382" s="3"/>
    </row>
    <row r="383">
      <c r="A383" s="7"/>
      <c r="B383" s="6"/>
      <c r="C383" s="6"/>
      <c r="D383" s="3"/>
      <c r="E383" s="3"/>
      <c r="F383" s="3"/>
      <c r="G383" s="3"/>
      <c r="H383" s="3"/>
      <c r="I383" s="3"/>
      <c r="J383" s="3"/>
      <c r="K383" s="3"/>
      <c r="L383" s="3"/>
      <c r="M383" s="3"/>
      <c r="N383" s="3"/>
      <c r="O383" s="3"/>
      <c r="P383" s="3"/>
      <c r="Q383" s="3"/>
      <c r="R383" s="3"/>
      <c r="S383" s="3"/>
      <c r="T383" s="3"/>
      <c r="U383" s="3"/>
      <c r="V383" s="3"/>
      <c r="W383" s="3"/>
      <c r="X383" s="3"/>
      <c r="Y383" s="3"/>
    </row>
    <row r="384">
      <c r="A384" s="7"/>
      <c r="B384" s="6"/>
      <c r="C384" s="6"/>
      <c r="D384" s="3"/>
      <c r="E384" s="3"/>
      <c r="F384" s="3"/>
      <c r="G384" s="3"/>
      <c r="H384" s="3"/>
      <c r="I384" s="3"/>
      <c r="J384" s="3"/>
      <c r="K384" s="3"/>
      <c r="L384" s="3"/>
      <c r="M384" s="3"/>
      <c r="N384" s="3"/>
      <c r="O384" s="3"/>
      <c r="P384" s="3"/>
      <c r="Q384" s="3"/>
      <c r="R384" s="3"/>
      <c r="S384" s="3"/>
      <c r="T384" s="3"/>
      <c r="U384" s="3"/>
      <c r="V384" s="3"/>
      <c r="W384" s="3"/>
      <c r="X384" s="3"/>
      <c r="Y384" s="3"/>
    </row>
    <row r="385">
      <c r="A385" s="7"/>
      <c r="B385" s="6"/>
      <c r="C385" s="6"/>
      <c r="D385" s="3"/>
      <c r="E385" s="3"/>
      <c r="F385" s="3"/>
      <c r="G385" s="3"/>
      <c r="H385" s="3"/>
      <c r="I385" s="3"/>
      <c r="J385" s="3"/>
      <c r="K385" s="3"/>
      <c r="L385" s="3"/>
      <c r="M385" s="3"/>
      <c r="N385" s="3"/>
      <c r="O385" s="3"/>
      <c r="P385" s="3"/>
      <c r="Q385" s="3"/>
      <c r="R385" s="3"/>
      <c r="S385" s="3"/>
      <c r="T385" s="3"/>
      <c r="U385" s="3"/>
      <c r="V385" s="3"/>
      <c r="W385" s="3"/>
      <c r="X385" s="3"/>
      <c r="Y385" s="3"/>
    </row>
    <row r="386">
      <c r="A386" s="7"/>
      <c r="B386" s="6"/>
      <c r="C386" s="6"/>
      <c r="D386" s="3"/>
      <c r="E386" s="3"/>
      <c r="F386" s="3"/>
      <c r="G386" s="3"/>
      <c r="H386" s="3"/>
      <c r="I386" s="3"/>
      <c r="J386" s="3"/>
      <c r="K386" s="3"/>
      <c r="L386" s="3"/>
      <c r="M386" s="3"/>
      <c r="N386" s="3"/>
      <c r="O386" s="3"/>
      <c r="P386" s="3"/>
      <c r="Q386" s="3"/>
      <c r="R386" s="3"/>
      <c r="S386" s="3"/>
      <c r="T386" s="3"/>
      <c r="U386" s="3"/>
      <c r="V386" s="3"/>
      <c r="W386" s="3"/>
      <c r="X386" s="3"/>
      <c r="Y386" s="3"/>
    </row>
    <row r="387">
      <c r="A387" s="7"/>
      <c r="B387" s="6"/>
      <c r="C387" s="6"/>
      <c r="D387" s="3"/>
      <c r="E387" s="3"/>
      <c r="F387" s="3"/>
      <c r="G387" s="3"/>
      <c r="H387" s="3"/>
      <c r="I387" s="3"/>
      <c r="J387" s="3"/>
      <c r="K387" s="3"/>
      <c r="L387" s="3"/>
      <c r="M387" s="3"/>
      <c r="N387" s="3"/>
      <c r="O387" s="3"/>
      <c r="P387" s="3"/>
      <c r="Q387" s="3"/>
      <c r="R387" s="3"/>
      <c r="S387" s="3"/>
      <c r="T387" s="3"/>
      <c r="U387" s="3"/>
      <c r="V387" s="3"/>
      <c r="W387" s="3"/>
      <c r="X387" s="3"/>
      <c r="Y387" s="3"/>
    </row>
    <row r="388">
      <c r="A388" s="7"/>
      <c r="B388" s="6"/>
      <c r="C388" s="6"/>
      <c r="D388" s="3"/>
      <c r="E388" s="3"/>
      <c r="F388" s="3"/>
      <c r="G388" s="3"/>
      <c r="H388" s="3"/>
      <c r="I388" s="3"/>
      <c r="J388" s="3"/>
      <c r="K388" s="3"/>
      <c r="L388" s="3"/>
      <c r="M388" s="3"/>
      <c r="N388" s="3"/>
      <c r="O388" s="3"/>
      <c r="P388" s="3"/>
      <c r="Q388" s="3"/>
      <c r="R388" s="3"/>
      <c r="S388" s="3"/>
      <c r="T388" s="3"/>
      <c r="U388" s="3"/>
      <c r="V388" s="3"/>
      <c r="W388" s="3"/>
      <c r="X388" s="3"/>
      <c r="Y388" s="3"/>
    </row>
    <row r="389">
      <c r="A389" s="7"/>
      <c r="B389" s="6"/>
      <c r="C389" s="6"/>
      <c r="D389" s="3"/>
      <c r="E389" s="3"/>
      <c r="F389" s="3"/>
      <c r="G389" s="3"/>
      <c r="H389" s="3"/>
      <c r="I389" s="3"/>
      <c r="J389" s="3"/>
      <c r="K389" s="3"/>
      <c r="L389" s="3"/>
      <c r="M389" s="3"/>
      <c r="N389" s="3"/>
      <c r="O389" s="3"/>
      <c r="P389" s="3"/>
      <c r="Q389" s="3"/>
      <c r="R389" s="3"/>
      <c r="S389" s="3"/>
      <c r="T389" s="3"/>
      <c r="U389" s="3"/>
      <c r="V389" s="3"/>
      <c r="W389" s="3"/>
      <c r="X389" s="3"/>
      <c r="Y389" s="3"/>
    </row>
    <row r="390">
      <c r="A390" s="7"/>
      <c r="B390" s="6"/>
      <c r="C390" s="6"/>
      <c r="D390" s="3"/>
      <c r="E390" s="3"/>
      <c r="F390" s="3"/>
      <c r="G390" s="3"/>
      <c r="H390" s="3"/>
      <c r="I390" s="3"/>
      <c r="J390" s="3"/>
      <c r="K390" s="3"/>
      <c r="L390" s="3"/>
      <c r="M390" s="3"/>
      <c r="N390" s="3"/>
      <c r="O390" s="3"/>
      <c r="P390" s="3"/>
      <c r="Q390" s="3"/>
      <c r="R390" s="3"/>
      <c r="S390" s="3"/>
      <c r="T390" s="3"/>
      <c r="U390" s="3"/>
      <c r="V390" s="3"/>
      <c r="W390" s="3"/>
      <c r="X390" s="3"/>
      <c r="Y390" s="3"/>
    </row>
    <row r="391">
      <c r="A391" s="7"/>
      <c r="B391" s="6"/>
      <c r="C391" s="6"/>
      <c r="D391" s="3"/>
      <c r="E391" s="3"/>
      <c r="F391" s="3"/>
      <c r="G391" s="3"/>
      <c r="H391" s="3"/>
      <c r="I391" s="3"/>
      <c r="J391" s="3"/>
      <c r="K391" s="3"/>
      <c r="L391" s="3"/>
      <c r="M391" s="3"/>
      <c r="N391" s="3"/>
      <c r="O391" s="3"/>
      <c r="P391" s="3"/>
      <c r="Q391" s="3"/>
      <c r="R391" s="3"/>
      <c r="S391" s="3"/>
      <c r="T391" s="3"/>
      <c r="U391" s="3"/>
      <c r="V391" s="3"/>
      <c r="W391" s="3"/>
      <c r="X391" s="3"/>
      <c r="Y391" s="3"/>
    </row>
    <row r="392">
      <c r="A392" s="7"/>
      <c r="B392" s="6"/>
      <c r="C392" s="6"/>
      <c r="D392" s="3"/>
      <c r="E392" s="3"/>
      <c r="F392" s="3"/>
      <c r="G392" s="3"/>
      <c r="H392" s="3"/>
      <c r="I392" s="3"/>
      <c r="J392" s="3"/>
      <c r="K392" s="3"/>
      <c r="L392" s="3"/>
      <c r="M392" s="3"/>
      <c r="N392" s="3"/>
      <c r="O392" s="3"/>
      <c r="P392" s="3"/>
      <c r="Q392" s="3"/>
      <c r="R392" s="3"/>
      <c r="S392" s="3"/>
      <c r="T392" s="3"/>
      <c r="U392" s="3"/>
      <c r="V392" s="3"/>
      <c r="W392" s="3"/>
      <c r="X392" s="3"/>
      <c r="Y392" s="3"/>
    </row>
    <row r="393">
      <c r="A393" s="7"/>
      <c r="B393" s="6"/>
      <c r="C393" s="6"/>
      <c r="D393" s="3"/>
      <c r="E393" s="3"/>
      <c r="F393" s="3"/>
      <c r="G393" s="3"/>
      <c r="H393" s="3"/>
      <c r="I393" s="3"/>
      <c r="J393" s="3"/>
      <c r="K393" s="3"/>
      <c r="L393" s="3"/>
      <c r="M393" s="3"/>
      <c r="N393" s="3"/>
      <c r="O393" s="3"/>
      <c r="P393" s="3"/>
      <c r="Q393" s="3"/>
      <c r="R393" s="3"/>
      <c r="S393" s="3"/>
      <c r="T393" s="3"/>
      <c r="U393" s="3"/>
      <c r="V393" s="3"/>
      <c r="W393" s="3"/>
      <c r="X393" s="3"/>
      <c r="Y393" s="3"/>
    </row>
    <row r="394">
      <c r="A394" s="7"/>
      <c r="B394" s="6"/>
      <c r="C394" s="6"/>
      <c r="D394" s="3"/>
      <c r="E394" s="3"/>
      <c r="F394" s="3"/>
      <c r="G394" s="3"/>
      <c r="H394" s="3"/>
      <c r="I394" s="3"/>
      <c r="J394" s="3"/>
      <c r="K394" s="3"/>
      <c r="L394" s="3"/>
      <c r="M394" s="3"/>
      <c r="N394" s="3"/>
      <c r="O394" s="3"/>
      <c r="P394" s="3"/>
      <c r="Q394" s="3"/>
      <c r="R394" s="3"/>
      <c r="S394" s="3"/>
      <c r="T394" s="3"/>
      <c r="U394" s="3"/>
      <c r="V394" s="3"/>
      <c r="W394" s="3"/>
      <c r="X394" s="3"/>
      <c r="Y394" s="3"/>
    </row>
    <row r="395">
      <c r="A395" s="7"/>
      <c r="B395" s="6"/>
      <c r="C395" s="6"/>
      <c r="D395" s="3"/>
      <c r="E395" s="3"/>
      <c r="F395" s="3"/>
      <c r="G395" s="3"/>
      <c r="H395" s="3"/>
      <c r="I395" s="3"/>
      <c r="J395" s="3"/>
      <c r="K395" s="3"/>
      <c r="L395" s="3"/>
      <c r="M395" s="3"/>
      <c r="N395" s="3"/>
      <c r="O395" s="3"/>
      <c r="P395" s="3"/>
      <c r="Q395" s="3"/>
      <c r="R395" s="3"/>
      <c r="S395" s="3"/>
      <c r="T395" s="3"/>
      <c r="U395" s="3"/>
      <c r="V395" s="3"/>
      <c r="W395" s="3"/>
      <c r="X395" s="3"/>
      <c r="Y395" s="3"/>
    </row>
    <row r="396">
      <c r="A396" s="7"/>
      <c r="B396" s="6"/>
      <c r="C396" s="6"/>
      <c r="D396" s="3"/>
      <c r="E396" s="3"/>
      <c r="F396" s="3"/>
      <c r="G396" s="3"/>
      <c r="H396" s="3"/>
      <c r="I396" s="3"/>
      <c r="J396" s="3"/>
      <c r="K396" s="3"/>
      <c r="L396" s="3"/>
      <c r="M396" s="3"/>
      <c r="N396" s="3"/>
      <c r="O396" s="3"/>
      <c r="P396" s="3"/>
      <c r="Q396" s="3"/>
      <c r="R396" s="3"/>
      <c r="S396" s="3"/>
      <c r="T396" s="3"/>
      <c r="U396" s="3"/>
      <c r="V396" s="3"/>
      <c r="W396" s="3"/>
      <c r="X396" s="3"/>
      <c r="Y396" s="3"/>
    </row>
    <row r="397">
      <c r="A397" s="7"/>
      <c r="B397" s="6"/>
      <c r="C397" s="6"/>
      <c r="D397" s="3"/>
      <c r="E397" s="3"/>
      <c r="F397" s="3"/>
      <c r="G397" s="3"/>
      <c r="H397" s="3"/>
      <c r="I397" s="3"/>
      <c r="J397" s="3"/>
      <c r="K397" s="3"/>
      <c r="L397" s="3"/>
      <c r="M397" s="3"/>
      <c r="N397" s="3"/>
      <c r="O397" s="3"/>
      <c r="P397" s="3"/>
      <c r="Q397" s="3"/>
      <c r="R397" s="3"/>
      <c r="S397" s="3"/>
      <c r="T397" s="3"/>
      <c r="U397" s="3"/>
      <c r="V397" s="3"/>
      <c r="W397" s="3"/>
      <c r="X397" s="3"/>
      <c r="Y397" s="3"/>
    </row>
    <row r="398">
      <c r="A398" s="7"/>
      <c r="B398" s="6"/>
      <c r="C398" s="6"/>
      <c r="D398" s="3"/>
      <c r="E398" s="3"/>
      <c r="F398" s="3"/>
      <c r="G398" s="3"/>
      <c r="H398" s="3"/>
      <c r="I398" s="3"/>
      <c r="J398" s="3"/>
      <c r="K398" s="3"/>
      <c r="L398" s="3"/>
      <c r="M398" s="3"/>
      <c r="N398" s="3"/>
      <c r="O398" s="3"/>
      <c r="P398" s="3"/>
      <c r="Q398" s="3"/>
      <c r="R398" s="3"/>
      <c r="S398" s="3"/>
      <c r="T398" s="3"/>
      <c r="U398" s="3"/>
      <c r="V398" s="3"/>
      <c r="W398" s="3"/>
      <c r="X398" s="3"/>
      <c r="Y398" s="3"/>
    </row>
    <row r="399">
      <c r="A399" s="7"/>
      <c r="B399" s="6"/>
      <c r="C399" s="6"/>
      <c r="D399" s="3"/>
      <c r="E399" s="3"/>
      <c r="F399" s="3"/>
      <c r="G399" s="3"/>
      <c r="H399" s="3"/>
      <c r="I399" s="3"/>
      <c r="J399" s="3"/>
      <c r="K399" s="3"/>
      <c r="L399" s="3"/>
      <c r="M399" s="3"/>
      <c r="N399" s="3"/>
      <c r="O399" s="3"/>
      <c r="P399" s="3"/>
      <c r="Q399" s="3"/>
      <c r="R399" s="3"/>
      <c r="S399" s="3"/>
      <c r="T399" s="3"/>
      <c r="U399" s="3"/>
      <c r="V399" s="3"/>
      <c r="W399" s="3"/>
      <c r="X399" s="3"/>
      <c r="Y399" s="3"/>
    </row>
    <row r="400">
      <c r="A400" s="7"/>
      <c r="B400" s="6"/>
      <c r="C400" s="6"/>
      <c r="D400" s="3"/>
      <c r="E400" s="3"/>
      <c r="F400" s="3"/>
      <c r="G400" s="3"/>
      <c r="H400" s="3"/>
      <c r="I400" s="3"/>
      <c r="J400" s="3"/>
      <c r="K400" s="3"/>
      <c r="L400" s="3"/>
      <c r="M400" s="3"/>
      <c r="N400" s="3"/>
      <c r="O400" s="3"/>
      <c r="P400" s="3"/>
      <c r="Q400" s="3"/>
      <c r="R400" s="3"/>
      <c r="S400" s="3"/>
      <c r="T400" s="3"/>
      <c r="U400" s="3"/>
      <c r="V400" s="3"/>
      <c r="W400" s="3"/>
      <c r="X400" s="3"/>
      <c r="Y400" s="3"/>
    </row>
    <row r="401">
      <c r="A401" s="7"/>
      <c r="B401" s="6"/>
      <c r="C401" s="6"/>
      <c r="D401" s="3"/>
      <c r="E401" s="3"/>
      <c r="F401" s="3"/>
      <c r="G401" s="3"/>
      <c r="H401" s="3"/>
      <c r="I401" s="3"/>
      <c r="J401" s="3"/>
      <c r="K401" s="3"/>
      <c r="L401" s="3"/>
      <c r="M401" s="3"/>
      <c r="N401" s="3"/>
      <c r="O401" s="3"/>
      <c r="P401" s="3"/>
      <c r="Q401" s="3"/>
      <c r="R401" s="3"/>
      <c r="S401" s="3"/>
      <c r="T401" s="3"/>
      <c r="U401" s="3"/>
      <c r="V401" s="3"/>
      <c r="W401" s="3"/>
      <c r="X401" s="3"/>
      <c r="Y401" s="3"/>
    </row>
    <row r="402">
      <c r="A402" s="7"/>
      <c r="B402" s="6"/>
      <c r="C402" s="6"/>
      <c r="D402" s="3"/>
      <c r="E402" s="3"/>
      <c r="F402" s="3"/>
      <c r="G402" s="3"/>
      <c r="H402" s="3"/>
      <c r="I402" s="3"/>
      <c r="J402" s="3"/>
      <c r="K402" s="3"/>
      <c r="L402" s="3"/>
      <c r="M402" s="3"/>
      <c r="N402" s="3"/>
      <c r="O402" s="3"/>
      <c r="P402" s="3"/>
      <c r="Q402" s="3"/>
      <c r="R402" s="3"/>
      <c r="S402" s="3"/>
      <c r="T402" s="3"/>
      <c r="U402" s="3"/>
      <c r="V402" s="3"/>
      <c r="W402" s="3"/>
      <c r="X402" s="3"/>
      <c r="Y402" s="3"/>
    </row>
    <row r="403">
      <c r="A403" s="7"/>
      <c r="B403" s="6"/>
      <c r="C403" s="6"/>
      <c r="D403" s="3"/>
      <c r="E403" s="3"/>
      <c r="F403" s="3"/>
      <c r="G403" s="3"/>
      <c r="H403" s="3"/>
      <c r="I403" s="3"/>
      <c r="J403" s="3"/>
      <c r="K403" s="3"/>
      <c r="L403" s="3"/>
      <c r="M403" s="3"/>
      <c r="N403" s="3"/>
      <c r="O403" s="3"/>
      <c r="P403" s="3"/>
      <c r="Q403" s="3"/>
      <c r="R403" s="3"/>
      <c r="S403" s="3"/>
      <c r="T403" s="3"/>
      <c r="U403" s="3"/>
      <c r="V403" s="3"/>
      <c r="W403" s="3"/>
      <c r="X403" s="3"/>
      <c r="Y403" s="3"/>
    </row>
    <row r="404">
      <c r="A404" s="7"/>
      <c r="B404" s="6"/>
      <c r="C404" s="6"/>
      <c r="D404" s="3"/>
      <c r="E404" s="3"/>
      <c r="F404" s="3"/>
      <c r="G404" s="3"/>
      <c r="H404" s="3"/>
      <c r="I404" s="3"/>
      <c r="J404" s="3"/>
      <c r="K404" s="3"/>
      <c r="L404" s="3"/>
      <c r="M404" s="3"/>
      <c r="N404" s="3"/>
      <c r="O404" s="3"/>
      <c r="P404" s="3"/>
      <c r="Q404" s="3"/>
      <c r="R404" s="3"/>
      <c r="S404" s="3"/>
      <c r="T404" s="3"/>
      <c r="U404" s="3"/>
      <c r="V404" s="3"/>
      <c r="W404" s="3"/>
      <c r="X404" s="3"/>
      <c r="Y404" s="3"/>
    </row>
    <row r="405">
      <c r="A405" s="7"/>
      <c r="B405" s="6"/>
      <c r="C405" s="6"/>
      <c r="D405" s="3"/>
      <c r="E405" s="3"/>
      <c r="F405" s="3"/>
      <c r="G405" s="3"/>
      <c r="H405" s="3"/>
      <c r="I405" s="3"/>
      <c r="J405" s="3"/>
      <c r="K405" s="3"/>
      <c r="L405" s="3"/>
      <c r="M405" s="3"/>
      <c r="N405" s="3"/>
      <c r="O405" s="3"/>
      <c r="P405" s="3"/>
      <c r="Q405" s="3"/>
      <c r="R405" s="3"/>
      <c r="S405" s="3"/>
      <c r="T405" s="3"/>
      <c r="U405" s="3"/>
      <c r="V405" s="3"/>
      <c r="W405" s="3"/>
      <c r="X405" s="3"/>
      <c r="Y405" s="3"/>
    </row>
    <row r="406">
      <c r="A406" s="7"/>
      <c r="B406" s="6"/>
      <c r="C406" s="6"/>
      <c r="D406" s="3"/>
      <c r="E406" s="3"/>
      <c r="F406" s="3"/>
      <c r="G406" s="3"/>
      <c r="H406" s="3"/>
      <c r="I406" s="3"/>
      <c r="J406" s="3"/>
      <c r="K406" s="3"/>
      <c r="L406" s="3"/>
      <c r="M406" s="3"/>
      <c r="N406" s="3"/>
      <c r="O406" s="3"/>
      <c r="P406" s="3"/>
      <c r="Q406" s="3"/>
      <c r="R406" s="3"/>
      <c r="S406" s="3"/>
      <c r="T406" s="3"/>
      <c r="U406" s="3"/>
      <c r="V406" s="3"/>
      <c r="W406" s="3"/>
      <c r="X406" s="3"/>
      <c r="Y406" s="3"/>
    </row>
    <row r="407">
      <c r="A407" s="7"/>
      <c r="B407" s="6"/>
      <c r="C407" s="6"/>
      <c r="D407" s="3"/>
      <c r="E407" s="3"/>
      <c r="F407" s="3"/>
      <c r="G407" s="3"/>
      <c r="H407" s="3"/>
      <c r="I407" s="3"/>
      <c r="J407" s="3"/>
      <c r="K407" s="3"/>
      <c r="L407" s="3"/>
      <c r="M407" s="3"/>
      <c r="N407" s="3"/>
      <c r="O407" s="3"/>
      <c r="P407" s="3"/>
      <c r="Q407" s="3"/>
      <c r="R407" s="3"/>
      <c r="S407" s="3"/>
      <c r="T407" s="3"/>
      <c r="U407" s="3"/>
      <c r="V407" s="3"/>
      <c r="W407" s="3"/>
      <c r="X407" s="3"/>
      <c r="Y407" s="3"/>
    </row>
    <row r="408">
      <c r="A408" s="7"/>
      <c r="B408" s="6"/>
      <c r="C408" s="6"/>
      <c r="D408" s="3"/>
      <c r="E408" s="3"/>
      <c r="F408" s="3"/>
      <c r="G408" s="3"/>
      <c r="H408" s="3"/>
      <c r="I408" s="3"/>
      <c r="J408" s="3"/>
      <c r="K408" s="3"/>
      <c r="L408" s="3"/>
      <c r="M408" s="3"/>
      <c r="N408" s="3"/>
      <c r="O408" s="3"/>
      <c r="P408" s="3"/>
      <c r="Q408" s="3"/>
      <c r="R408" s="3"/>
      <c r="S408" s="3"/>
      <c r="T408" s="3"/>
      <c r="U408" s="3"/>
      <c r="V408" s="3"/>
      <c r="W408" s="3"/>
      <c r="X408" s="3"/>
      <c r="Y408" s="3"/>
    </row>
    <row r="409">
      <c r="A409" s="7"/>
      <c r="B409" s="6"/>
      <c r="C409" s="6"/>
      <c r="D409" s="3"/>
      <c r="E409" s="3"/>
      <c r="F409" s="3"/>
      <c r="G409" s="3"/>
      <c r="H409" s="3"/>
      <c r="I409" s="3"/>
      <c r="J409" s="3"/>
      <c r="K409" s="3"/>
      <c r="L409" s="3"/>
      <c r="M409" s="3"/>
      <c r="N409" s="3"/>
      <c r="O409" s="3"/>
      <c r="P409" s="3"/>
      <c r="Q409" s="3"/>
      <c r="R409" s="3"/>
      <c r="S409" s="3"/>
      <c r="T409" s="3"/>
      <c r="U409" s="3"/>
      <c r="V409" s="3"/>
      <c r="W409" s="3"/>
      <c r="X409" s="3"/>
      <c r="Y409" s="3"/>
    </row>
    <row r="410">
      <c r="A410" s="7"/>
      <c r="B410" s="6"/>
      <c r="C410" s="6"/>
      <c r="D410" s="3"/>
      <c r="E410" s="3"/>
      <c r="F410" s="3"/>
      <c r="G410" s="3"/>
      <c r="H410" s="3"/>
      <c r="I410" s="3"/>
      <c r="J410" s="3"/>
      <c r="K410" s="3"/>
      <c r="L410" s="3"/>
      <c r="M410" s="3"/>
      <c r="N410" s="3"/>
      <c r="O410" s="3"/>
      <c r="P410" s="3"/>
      <c r="Q410" s="3"/>
      <c r="R410" s="3"/>
      <c r="S410" s="3"/>
      <c r="T410" s="3"/>
      <c r="U410" s="3"/>
      <c r="V410" s="3"/>
      <c r="W410" s="3"/>
      <c r="X410" s="3"/>
      <c r="Y410" s="3"/>
    </row>
    <row r="411">
      <c r="A411" s="7"/>
      <c r="B411" s="6"/>
      <c r="C411" s="6"/>
      <c r="D411" s="3"/>
      <c r="E411" s="3"/>
      <c r="F411" s="3"/>
      <c r="G411" s="3"/>
      <c r="H411" s="3"/>
      <c r="I411" s="3"/>
      <c r="J411" s="3"/>
      <c r="K411" s="3"/>
      <c r="L411" s="3"/>
      <c r="M411" s="3"/>
      <c r="N411" s="3"/>
      <c r="O411" s="3"/>
      <c r="P411" s="3"/>
      <c r="Q411" s="3"/>
      <c r="R411" s="3"/>
      <c r="S411" s="3"/>
      <c r="T411" s="3"/>
      <c r="U411" s="3"/>
      <c r="V411" s="3"/>
      <c r="W411" s="3"/>
      <c r="X411" s="3"/>
      <c r="Y411" s="3"/>
    </row>
    <row r="412">
      <c r="A412" s="7"/>
      <c r="B412" s="6"/>
      <c r="C412" s="6"/>
      <c r="D412" s="3"/>
      <c r="E412" s="3"/>
      <c r="F412" s="3"/>
      <c r="G412" s="3"/>
      <c r="H412" s="3"/>
      <c r="I412" s="3"/>
      <c r="J412" s="3"/>
      <c r="K412" s="3"/>
      <c r="L412" s="3"/>
      <c r="M412" s="3"/>
      <c r="N412" s="3"/>
      <c r="O412" s="3"/>
      <c r="P412" s="3"/>
      <c r="Q412" s="3"/>
      <c r="R412" s="3"/>
      <c r="S412" s="3"/>
      <c r="T412" s="3"/>
      <c r="U412" s="3"/>
      <c r="V412" s="3"/>
      <c r="W412" s="3"/>
      <c r="X412" s="3"/>
      <c r="Y412" s="3"/>
    </row>
    <row r="413">
      <c r="A413" s="7"/>
      <c r="B413" s="6"/>
      <c r="C413" s="6"/>
      <c r="D413" s="3"/>
      <c r="E413" s="3"/>
      <c r="F413" s="3"/>
      <c r="G413" s="3"/>
      <c r="H413" s="3"/>
      <c r="I413" s="3"/>
      <c r="J413" s="3"/>
      <c r="K413" s="3"/>
      <c r="L413" s="3"/>
      <c r="M413" s="3"/>
      <c r="N413" s="3"/>
      <c r="O413" s="3"/>
      <c r="P413" s="3"/>
      <c r="Q413" s="3"/>
      <c r="R413" s="3"/>
      <c r="S413" s="3"/>
      <c r="T413" s="3"/>
      <c r="U413" s="3"/>
      <c r="V413" s="3"/>
      <c r="W413" s="3"/>
      <c r="X413" s="3"/>
      <c r="Y413" s="3"/>
    </row>
    <row r="414">
      <c r="A414" s="7"/>
      <c r="B414" s="6"/>
      <c r="C414" s="6"/>
      <c r="D414" s="3"/>
      <c r="E414" s="3"/>
      <c r="F414" s="3"/>
      <c r="G414" s="3"/>
      <c r="H414" s="3"/>
      <c r="I414" s="3"/>
      <c r="J414" s="3"/>
      <c r="K414" s="3"/>
      <c r="L414" s="3"/>
      <c r="M414" s="3"/>
      <c r="N414" s="3"/>
      <c r="O414" s="3"/>
      <c r="P414" s="3"/>
      <c r="Q414" s="3"/>
      <c r="R414" s="3"/>
      <c r="S414" s="3"/>
      <c r="T414" s="3"/>
      <c r="U414" s="3"/>
      <c r="V414" s="3"/>
      <c r="W414" s="3"/>
      <c r="X414" s="3"/>
      <c r="Y414" s="3"/>
    </row>
    <row r="415">
      <c r="A415" s="7"/>
      <c r="B415" s="6"/>
      <c r="C415" s="6"/>
      <c r="D415" s="3"/>
      <c r="E415" s="3"/>
      <c r="F415" s="3"/>
      <c r="G415" s="3"/>
      <c r="H415" s="3"/>
      <c r="I415" s="3"/>
      <c r="J415" s="3"/>
      <c r="K415" s="3"/>
      <c r="L415" s="3"/>
      <c r="M415" s="3"/>
      <c r="N415" s="3"/>
      <c r="O415" s="3"/>
      <c r="P415" s="3"/>
      <c r="Q415" s="3"/>
      <c r="R415" s="3"/>
      <c r="S415" s="3"/>
      <c r="T415" s="3"/>
      <c r="U415" s="3"/>
      <c r="V415" s="3"/>
      <c r="W415" s="3"/>
      <c r="X415" s="3"/>
      <c r="Y415" s="3"/>
    </row>
    <row r="416">
      <c r="A416" s="7"/>
      <c r="B416" s="6"/>
      <c r="C416" s="6"/>
      <c r="D416" s="3"/>
      <c r="E416" s="3"/>
      <c r="F416" s="3"/>
      <c r="G416" s="3"/>
      <c r="H416" s="3"/>
      <c r="I416" s="3"/>
      <c r="J416" s="3"/>
      <c r="K416" s="3"/>
      <c r="L416" s="3"/>
      <c r="M416" s="3"/>
      <c r="N416" s="3"/>
      <c r="O416" s="3"/>
      <c r="P416" s="3"/>
      <c r="Q416" s="3"/>
      <c r="R416" s="3"/>
      <c r="S416" s="3"/>
      <c r="T416" s="3"/>
      <c r="U416" s="3"/>
      <c r="V416" s="3"/>
      <c r="W416" s="3"/>
      <c r="X416" s="3"/>
      <c r="Y416" s="3"/>
    </row>
    <row r="417">
      <c r="A417" s="7"/>
      <c r="B417" s="6"/>
      <c r="C417" s="6"/>
      <c r="D417" s="3"/>
      <c r="E417" s="3"/>
      <c r="F417" s="3"/>
      <c r="G417" s="3"/>
      <c r="H417" s="3"/>
      <c r="I417" s="3"/>
      <c r="J417" s="3"/>
      <c r="K417" s="3"/>
      <c r="L417" s="3"/>
      <c r="M417" s="3"/>
      <c r="N417" s="3"/>
      <c r="O417" s="3"/>
      <c r="P417" s="3"/>
      <c r="Q417" s="3"/>
      <c r="R417" s="3"/>
      <c r="S417" s="3"/>
      <c r="T417" s="3"/>
      <c r="U417" s="3"/>
      <c r="V417" s="3"/>
      <c r="W417" s="3"/>
      <c r="X417" s="3"/>
      <c r="Y417" s="3"/>
    </row>
    <row r="418">
      <c r="A418" s="7"/>
      <c r="B418" s="6"/>
      <c r="C418" s="6"/>
      <c r="D418" s="3"/>
      <c r="E418" s="3"/>
      <c r="F418" s="3"/>
      <c r="G418" s="3"/>
      <c r="H418" s="3"/>
      <c r="I418" s="3"/>
      <c r="J418" s="3"/>
      <c r="K418" s="3"/>
      <c r="L418" s="3"/>
      <c r="M418" s="3"/>
      <c r="N418" s="3"/>
      <c r="O418" s="3"/>
      <c r="P418" s="3"/>
      <c r="Q418" s="3"/>
      <c r="R418" s="3"/>
      <c r="S418" s="3"/>
      <c r="T418" s="3"/>
      <c r="U418" s="3"/>
      <c r="V418" s="3"/>
      <c r="W418" s="3"/>
      <c r="X418" s="3"/>
      <c r="Y418" s="3"/>
    </row>
    <row r="419">
      <c r="A419" s="7"/>
      <c r="B419" s="6"/>
      <c r="C419" s="6"/>
      <c r="D419" s="3"/>
      <c r="E419" s="3"/>
      <c r="F419" s="3"/>
      <c r="G419" s="3"/>
      <c r="H419" s="3"/>
      <c r="I419" s="3"/>
      <c r="J419" s="3"/>
      <c r="K419" s="3"/>
      <c r="L419" s="3"/>
      <c r="M419" s="3"/>
      <c r="N419" s="3"/>
      <c r="O419" s="3"/>
      <c r="P419" s="3"/>
      <c r="Q419" s="3"/>
      <c r="R419" s="3"/>
      <c r="S419" s="3"/>
      <c r="T419" s="3"/>
      <c r="U419" s="3"/>
      <c r="V419" s="3"/>
      <c r="W419" s="3"/>
      <c r="X419" s="3"/>
      <c r="Y419" s="3"/>
    </row>
    <row r="420">
      <c r="A420" s="7"/>
      <c r="B420" s="6"/>
      <c r="C420" s="6"/>
      <c r="D420" s="3"/>
      <c r="E420" s="3"/>
      <c r="F420" s="3"/>
      <c r="G420" s="3"/>
      <c r="H420" s="3"/>
      <c r="I420" s="3"/>
      <c r="J420" s="3"/>
      <c r="K420" s="3"/>
      <c r="L420" s="3"/>
      <c r="M420" s="3"/>
      <c r="N420" s="3"/>
      <c r="O420" s="3"/>
      <c r="P420" s="3"/>
      <c r="Q420" s="3"/>
      <c r="R420" s="3"/>
      <c r="S420" s="3"/>
      <c r="T420" s="3"/>
      <c r="U420" s="3"/>
      <c r="V420" s="3"/>
      <c r="W420" s="3"/>
      <c r="X420" s="3"/>
      <c r="Y420" s="3"/>
    </row>
    <row r="421">
      <c r="A421" s="7"/>
      <c r="B421" s="6"/>
      <c r="C421" s="6"/>
      <c r="D421" s="3"/>
      <c r="E421" s="3"/>
      <c r="F421" s="3"/>
      <c r="G421" s="3"/>
      <c r="H421" s="3"/>
      <c r="I421" s="3"/>
      <c r="J421" s="3"/>
      <c r="K421" s="3"/>
      <c r="L421" s="3"/>
      <c r="M421" s="3"/>
      <c r="N421" s="3"/>
      <c r="O421" s="3"/>
      <c r="P421" s="3"/>
      <c r="Q421" s="3"/>
      <c r="R421" s="3"/>
      <c r="S421" s="3"/>
      <c r="T421" s="3"/>
      <c r="U421" s="3"/>
      <c r="V421" s="3"/>
      <c r="W421" s="3"/>
      <c r="X421" s="3"/>
      <c r="Y421" s="3"/>
    </row>
    <row r="422">
      <c r="A422" s="7"/>
      <c r="B422" s="6"/>
      <c r="C422" s="6"/>
      <c r="D422" s="3"/>
      <c r="E422" s="3"/>
      <c r="F422" s="3"/>
      <c r="G422" s="3"/>
      <c r="H422" s="3"/>
      <c r="I422" s="3"/>
      <c r="J422" s="3"/>
      <c r="K422" s="3"/>
      <c r="L422" s="3"/>
      <c r="M422" s="3"/>
      <c r="N422" s="3"/>
      <c r="O422" s="3"/>
      <c r="P422" s="3"/>
      <c r="Q422" s="3"/>
      <c r="R422" s="3"/>
      <c r="S422" s="3"/>
      <c r="T422" s="3"/>
      <c r="U422" s="3"/>
      <c r="V422" s="3"/>
      <c r="W422" s="3"/>
      <c r="X422" s="3"/>
      <c r="Y422" s="3"/>
    </row>
    <row r="423">
      <c r="A423" s="7"/>
      <c r="B423" s="6"/>
      <c r="C423" s="6"/>
      <c r="D423" s="3"/>
      <c r="E423" s="3"/>
      <c r="F423" s="3"/>
      <c r="G423" s="3"/>
      <c r="H423" s="3"/>
      <c r="I423" s="3"/>
      <c r="J423" s="3"/>
      <c r="K423" s="3"/>
      <c r="L423" s="3"/>
      <c r="M423" s="3"/>
      <c r="N423" s="3"/>
      <c r="O423" s="3"/>
      <c r="P423" s="3"/>
      <c r="Q423" s="3"/>
      <c r="R423" s="3"/>
      <c r="S423" s="3"/>
      <c r="T423" s="3"/>
      <c r="U423" s="3"/>
      <c r="V423" s="3"/>
      <c r="W423" s="3"/>
      <c r="X423" s="3"/>
      <c r="Y423" s="3"/>
    </row>
    <row r="424">
      <c r="A424" s="7"/>
      <c r="B424" s="6"/>
      <c r="C424" s="6"/>
      <c r="D424" s="3"/>
      <c r="E424" s="3"/>
      <c r="F424" s="3"/>
      <c r="G424" s="3"/>
      <c r="H424" s="3"/>
      <c r="I424" s="3"/>
      <c r="J424" s="3"/>
      <c r="K424" s="3"/>
      <c r="L424" s="3"/>
      <c r="M424" s="3"/>
      <c r="N424" s="3"/>
      <c r="O424" s="3"/>
      <c r="P424" s="3"/>
      <c r="Q424" s="3"/>
      <c r="R424" s="3"/>
      <c r="S424" s="3"/>
      <c r="T424" s="3"/>
      <c r="U424" s="3"/>
      <c r="V424" s="3"/>
      <c r="W424" s="3"/>
      <c r="X424" s="3"/>
      <c r="Y424" s="3"/>
    </row>
    <row r="425">
      <c r="A425" s="7"/>
      <c r="B425" s="6"/>
      <c r="C425" s="6"/>
      <c r="D425" s="3"/>
      <c r="E425" s="3"/>
      <c r="F425" s="3"/>
      <c r="G425" s="3"/>
      <c r="H425" s="3"/>
      <c r="I425" s="3"/>
      <c r="J425" s="3"/>
      <c r="K425" s="3"/>
      <c r="L425" s="3"/>
      <c r="M425" s="3"/>
      <c r="N425" s="3"/>
      <c r="O425" s="3"/>
      <c r="P425" s="3"/>
      <c r="Q425" s="3"/>
      <c r="R425" s="3"/>
      <c r="S425" s="3"/>
      <c r="T425" s="3"/>
      <c r="U425" s="3"/>
      <c r="V425" s="3"/>
      <c r="W425" s="3"/>
      <c r="X425" s="3"/>
      <c r="Y425" s="3"/>
    </row>
    <row r="426">
      <c r="A426" s="7"/>
      <c r="B426" s="6"/>
      <c r="C426" s="6"/>
      <c r="D426" s="3"/>
      <c r="E426" s="3"/>
      <c r="F426" s="3"/>
      <c r="G426" s="3"/>
      <c r="H426" s="3"/>
      <c r="I426" s="3"/>
      <c r="J426" s="3"/>
      <c r="K426" s="3"/>
      <c r="L426" s="3"/>
      <c r="M426" s="3"/>
      <c r="N426" s="3"/>
      <c r="O426" s="3"/>
      <c r="P426" s="3"/>
      <c r="Q426" s="3"/>
      <c r="R426" s="3"/>
      <c r="S426" s="3"/>
      <c r="T426" s="3"/>
      <c r="U426" s="3"/>
      <c r="V426" s="3"/>
      <c r="W426" s="3"/>
      <c r="X426" s="3"/>
      <c r="Y426" s="3"/>
    </row>
    <row r="427">
      <c r="A427" s="7"/>
      <c r="B427" s="6"/>
      <c r="C427" s="6"/>
      <c r="D427" s="3"/>
      <c r="E427" s="3"/>
      <c r="F427" s="3"/>
      <c r="G427" s="3"/>
      <c r="H427" s="3"/>
      <c r="I427" s="3"/>
      <c r="J427" s="3"/>
      <c r="K427" s="3"/>
      <c r="L427" s="3"/>
      <c r="M427" s="3"/>
      <c r="N427" s="3"/>
      <c r="O427" s="3"/>
      <c r="P427" s="3"/>
      <c r="Q427" s="3"/>
      <c r="R427" s="3"/>
      <c r="S427" s="3"/>
      <c r="T427" s="3"/>
      <c r="U427" s="3"/>
      <c r="V427" s="3"/>
      <c r="W427" s="3"/>
      <c r="X427" s="3"/>
      <c r="Y427" s="3"/>
    </row>
    <row r="428">
      <c r="A428" s="7"/>
      <c r="B428" s="6"/>
      <c r="C428" s="6"/>
      <c r="D428" s="3"/>
      <c r="E428" s="3"/>
      <c r="F428" s="3"/>
      <c r="G428" s="3"/>
      <c r="H428" s="3"/>
      <c r="I428" s="3"/>
      <c r="J428" s="3"/>
      <c r="K428" s="3"/>
      <c r="L428" s="3"/>
      <c r="M428" s="3"/>
      <c r="N428" s="3"/>
      <c r="O428" s="3"/>
      <c r="P428" s="3"/>
      <c r="Q428" s="3"/>
      <c r="R428" s="3"/>
      <c r="S428" s="3"/>
      <c r="T428" s="3"/>
      <c r="U428" s="3"/>
      <c r="V428" s="3"/>
      <c r="W428" s="3"/>
      <c r="X428" s="3"/>
      <c r="Y428" s="3"/>
    </row>
    <row r="429">
      <c r="A429" s="7"/>
      <c r="B429" s="6"/>
      <c r="C429" s="6"/>
      <c r="D429" s="3"/>
      <c r="E429" s="3"/>
      <c r="F429" s="3"/>
      <c r="G429" s="3"/>
      <c r="H429" s="3"/>
      <c r="I429" s="3"/>
      <c r="J429" s="3"/>
      <c r="K429" s="3"/>
      <c r="L429" s="3"/>
      <c r="M429" s="3"/>
      <c r="N429" s="3"/>
      <c r="O429" s="3"/>
      <c r="P429" s="3"/>
      <c r="Q429" s="3"/>
      <c r="R429" s="3"/>
      <c r="S429" s="3"/>
      <c r="T429" s="3"/>
      <c r="U429" s="3"/>
      <c r="V429" s="3"/>
      <c r="W429" s="3"/>
      <c r="X429" s="3"/>
      <c r="Y429" s="3"/>
    </row>
    <row r="430">
      <c r="A430" s="7"/>
      <c r="B430" s="6"/>
      <c r="C430" s="6"/>
      <c r="D430" s="3"/>
      <c r="E430" s="3"/>
      <c r="F430" s="3"/>
      <c r="G430" s="3"/>
      <c r="H430" s="3"/>
      <c r="I430" s="3"/>
      <c r="J430" s="3"/>
      <c r="K430" s="3"/>
      <c r="L430" s="3"/>
      <c r="M430" s="3"/>
      <c r="N430" s="3"/>
      <c r="O430" s="3"/>
      <c r="P430" s="3"/>
      <c r="Q430" s="3"/>
      <c r="R430" s="3"/>
      <c r="S430" s="3"/>
      <c r="T430" s="3"/>
      <c r="U430" s="3"/>
      <c r="V430" s="3"/>
      <c r="W430" s="3"/>
      <c r="X430" s="3"/>
      <c r="Y430" s="3"/>
    </row>
    <row r="431">
      <c r="A431" s="7"/>
      <c r="B431" s="6"/>
      <c r="C431" s="6"/>
      <c r="D431" s="3"/>
      <c r="E431" s="3"/>
      <c r="F431" s="3"/>
      <c r="G431" s="3"/>
      <c r="H431" s="3"/>
      <c r="I431" s="3"/>
      <c r="J431" s="3"/>
      <c r="K431" s="3"/>
      <c r="L431" s="3"/>
      <c r="M431" s="3"/>
      <c r="N431" s="3"/>
      <c r="O431" s="3"/>
      <c r="P431" s="3"/>
      <c r="Q431" s="3"/>
      <c r="R431" s="3"/>
      <c r="S431" s="3"/>
      <c r="T431" s="3"/>
      <c r="U431" s="3"/>
      <c r="V431" s="3"/>
      <c r="W431" s="3"/>
      <c r="X431" s="3"/>
      <c r="Y431" s="3"/>
    </row>
    <row r="432">
      <c r="A432" s="7"/>
      <c r="B432" s="6"/>
      <c r="C432" s="6"/>
      <c r="D432" s="3"/>
      <c r="E432" s="3"/>
      <c r="F432" s="3"/>
      <c r="G432" s="3"/>
      <c r="H432" s="3"/>
      <c r="I432" s="3"/>
      <c r="J432" s="3"/>
      <c r="K432" s="3"/>
      <c r="L432" s="3"/>
      <c r="M432" s="3"/>
      <c r="N432" s="3"/>
      <c r="O432" s="3"/>
      <c r="P432" s="3"/>
      <c r="Q432" s="3"/>
      <c r="R432" s="3"/>
      <c r="S432" s="3"/>
      <c r="T432" s="3"/>
      <c r="U432" s="3"/>
      <c r="V432" s="3"/>
      <c r="W432" s="3"/>
      <c r="X432" s="3"/>
      <c r="Y432" s="3"/>
    </row>
    <row r="433">
      <c r="A433" s="7"/>
      <c r="B433" s="6"/>
      <c r="C433" s="6"/>
      <c r="D433" s="3"/>
      <c r="E433" s="3"/>
      <c r="F433" s="3"/>
      <c r="G433" s="3"/>
      <c r="H433" s="3"/>
      <c r="I433" s="3"/>
      <c r="J433" s="3"/>
      <c r="K433" s="3"/>
      <c r="L433" s="3"/>
      <c r="M433" s="3"/>
      <c r="N433" s="3"/>
      <c r="O433" s="3"/>
      <c r="P433" s="3"/>
      <c r="Q433" s="3"/>
      <c r="R433" s="3"/>
      <c r="S433" s="3"/>
      <c r="T433" s="3"/>
      <c r="U433" s="3"/>
      <c r="V433" s="3"/>
      <c r="W433" s="3"/>
      <c r="X433" s="3"/>
      <c r="Y433" s="3"/>
    </row>
    <row r="434">
      <c r="A434" s="7"/>
      <c r="B434" s="6"/>
      <c r="C434" s="6"/>
      <c r="D434" s="3"/>
      <c r="E434" s="3"/>
      <c r="F434" s="3"/>
      <c r="G434" s="3"/>
      <c r="H434" s="3"/>
      <c r="I434" s="3"/>
      <c r="J434" s="3"/>
      <c r="K434" s="3"/>
      <c r="L434" s="3"/>
      <c r="M434" s="3"/>
      <c r="N434" s="3"/>
      <c r="O434" s="3"/>
      <c r="P434" s="3"/>
      <c r="Q434" s="3"/>
      <c r="R434" s="3"/>
      <c r="S434" s="3"/>
      <c r="T434" s="3"/>
      <c r="U434" s="3"/>
      <c r="V434" s="3"/>
      <c r="W434" s="3"/>
      <c r="X434" s="3"/>
      <c r="Y434" s="3"/>
    </row>
    <row r="435">
      <c r="A435" s="7"/>
      <c r="B435" s="6"/>
      <c r="C435" s="6"/>
      <c r="D435" s="3"/>
      <c r="E435" s="3"/>
      <c r="F435" s="3"/>
      <c r="G435" s="3"/>
      <c r="H435" s="3"/>
      <c r="I435" s="3"/>
      <c r="J435" s="3"/>
      <c r="K435" s="3"/>
      <c r="L435" s="3"/>
      <c r="M435" s="3"/>
      <c r="N435" s="3"/>
      <c r="O435" s="3"/>
      <c r="P435" s="3"/>
      <c r="Q435" s="3"/>
      <c r="R435" s="3"/>
      <c r="S435" s="3"/>
      <c r="T435" s="3"/>
      <c r="U435" s="3"/>
      <c r="V435" s="3"/>
      <c r="W435" s="3"/>
      <c r="X435" s="3"/>
      <c r="Y435" s="3"/>
    </row>
    <row r="436">
      <c r="A436" s="7"/>
      <c r="B436" s="6"/>
      <c r="C436" s="6"/>
      <c r="D436" s="3"/>
      <c r="E436" s="3"/>
      <c r="F436" s="3"/>
      <c r="G436" s="3"/>
      <c r="H436" s="3"/>
      <c r="I436" s="3"/>
      <c r="J436" s="3"/>
      <c r="K436" s="3"/>
      <c r="L436" s="3"/>
      <c r="M436" s="3"/>
      <c r="N436" s="3"/>
      <c r="O436" s="3"/>
      <c r="P436" s="3"/>
      <c r="Q436" s="3"/>
      <c r="R436" s="3"/>
      <c r="S436" s="3"/>
      <c r="T436" s="3"/>
      <c r="U436" s="3"/>
      <c r="V436" s="3"/>
      <c r="W436" s="3"/>
      <c r="X436" s="3"/>
      <c r="Y436" s="3"/>
    </row>
    <row r="437">
      <c r="A437" s="7"/>
      <c r="B437" s="6"/>
      <c r="C437" s="6"/>
      <c r="D437" s="3"/>
      <c r="E437" s="3"/>
      <c r="F437" s="3"/>
      <c r="G437" s="3"/>
      <c r="H437" s="3"/>
      <c r="I437" s="3"/>
      <c r="J437" s="3"/>
      <c r="K437" s="3"/>
      <c r="L437" s="3"/>
      <c r="M437" s="3"/>
      <c r="N437" s="3"/>
      <c r="O437" s="3"/>
      <c r="P437" s="3"/>
      <c r="Q437" s="3"/>
      <c r="R437" s="3"/>
      <c r="S437" s="3"/>
      <c r="T437" s="3"/>
      <c r="U437" s="3"/>
      <c r="V437" s="3"/>
      <c r="W437" s="3"/>
      <c r="X437" s="3"/>
      <c r="Y437" s="3"/>
    </row>
    <row r="438">
      <c r="A438" s="7"/>
      <c r="B438" s="6"/>
      <c r="C438" s="6"/>
      <c r="D438" s="3"/>
      <c r="E438" s="3"/>
      <c r="F438" s="3"/>
      <c r="G438" s="3"/>
      <c r="H438" s="3"/>
      <c r="I438" s="3"/>
      <c r="J438" s="3"/>
      <c r="K438" s="3"/>
      <c r="L438" s="3"/>
      <c r="M438" s="3"/>
      <c r="N438" s="3"/>
      <c r="O438" s="3"/>
      <c r="P438" s="3"/>
      <c r="Q438" s="3"/>
      <c r="R438" s="3"/>
      <c r="S438" s="3"/>
      <c r="T438" s="3"/>
      <c r="U438" s="3"/>
      <c r="V438" s="3"/>
      <c r="W438" s="3"/>
      <c r="X438" s="3"/>
      <c r="Y438" s="3"/>
    </row>
    <row r="439">
      <c r="A439" s="7"/>
      <c r="B439" s="6"/>
      <c r="C439" s="6"/>
      <c r="D439" s="3"/>
      <c r="E439" s="3"/>
      <c r="F439" s="3"/>
      <c r="G439" s="3"/>
      <c r="H439" s="3"/>
      <c r="I439" s="3"/>
      <c r="J439" s="3"/>
      <c r="K439" s="3"/>
      <c r="L439" s="3"/>
      <c r="M439" s="3"/>
      <c r="N439" s="3"/>
      <c r="O439" s="3"/>
      <c r="P439" s="3"/>
      <c r="Q439" s="3"/>
      <c r="R439" s="3"/>
      <c r="S439" s="3"/>
      <c r="T439" s="3"/>
      <c r="U439" s="3"/>
      <c r="V439" s="3"/>
      <c r="W439" s="3"/>
      <c r="X439" s="3"/>
      <c r="Y439" s="3"/>
    </row>
    <row r="440">
      <c r="A440" s="7"/>
      <c r="B440" s="6"/>
      <c r="C440" s="6"/>
      <c r="D440" s="3"/>
      <c r="E440" s="3"/>
      <c r="F440" s="3"/>
      <c r="G440" s="3"/>
      <c r="H440" s="3"/>
      <c r="I440" s="3"/>
      <c r="J440" s="3"/>
      <c r="K440" s="3"/>
      <c r="L440" s="3"/>
      <c r="M440" s="3"/>
      <c r="N440" s="3"/>
      <c r="O440" s="3"/>
      <c r="P440" s="3"/>
      <c r="Q440" s="3"/>
      <c r="R440" s="3"/>
      <c r="S440" s="3"/>
      <c r="T440" s="3"/>
      <c r="U440" s="3"/>
      <c r="V440" s="3"/>
      <c r="W440" s="3"/>
      <c r="X440" s="3"/>
      <c r="Y440" s="3"/>
    </row>
    <row r="441">
      <c r="A441" s="7"/>
      <c r="B441" s="6"/>
      <c r="C441" s="6"/>
      <c r="D441" s="3"/>
      <c r="E441" s="3"/>
      <c r="F441" s="3"/>
      <c r="G441" s="3"/>
      <c r="H441" s="3"/>
      <c r="I441" s="3"/>
      <c r="J441" s="3"/>
      <c r="K441" s="3"/>
      <c r="L441" s="3"/>
      <c r="M441" s="3"/>
      <c r="N441" s="3"/>
      <c r="O441" s="3"/>
      <c r="P441" s="3"/>
      <c r="Q441" s="3"/>
      <c r="R441" s="3"/>
      <c r="S441" s="3"/>
      <c r="T441" s="3"/>
      <c r="U441" s="3"/>
      <c r="V441" s="3"/>
      <c r="W441" s="3"/>
      <c r="X441" s="3"/>
      <c r="Y441" s="3"/>
    </row>
    <row r="442">
      <c r="A442" s="7"/>
      <c r="B442" s="6"/>
      <c r="C442" s="6"/>
      <c r="D442" s="3"/>
      <c r="E442" s="3"/>
      <c r="F442" s="3"/>
      <c r="G442" s="3"/>
      <c r="H442" s="3"/>
      <c r="I442" s="3"/>
      <c r="J442" s="3"/>
      <c r="K442" s="3"/>
      <c r="L442" s="3"/>
      <c r="M442" s="3"/>
      <c r="N442" s="3"/>
      <c r="O442" s="3"/>
      <c r="P442" s="3"/>
      <c r="Q442" s="3"/>
      <c r="R442" s="3"/>
      <c r="S442" s="3"/>
      <c r="T442" s="3"/>
      <c r="U442" s="3"/>
      <c r="V442" s="3"/>
      <c r="W442" s="3"/>
      <c r="X442" s="3"/>
      <c r="Y442" s="3"/>
    </row>
    <row r="443">
      <c r="A443" s="7"/>
      <c r="B443" s="6"/>
      <c r="C443" s="6"/>
      <c r="D443" s="3"/>
      <c r="E443" s="3"/>
      <c r="F443" s="3"/>
      <c r="G443" s="3"/>
      <c r="H443" s="3"/>
      <c r="I443" s="3"/>
      <c r="J443" s="3"/>
      <c r="K443" s="3"/>
      <c r="L443" s="3"/>
      <c r="M443" s="3"/>
      <c r="N443" s="3"/>
      <c r="O443" s="3"/>
      <c r="P443" s="3"/>
      <c r="Q443" s="3"/>
      <c r="R443" s="3"/>
      <c r="S443" s="3"/>
      <c r="T443" s="3"/>
      <c r="U443" s="3"/>
      <c r="V443" s="3"/>
      <c r="W443" s="3"/>
      <c r="X443" s="3"/>
      <c r="Y443" s="3"/>
    </row>
    <row r="444">
      <c r="A444" s="7"/>
      <c r="B444" s="6"/>
      <c r="C444" s="6"/>
      <c r="D444" s="3"/>
      <c r="E444" s="3"/>
      <c r="F444" s="3"/>
      <c r="G444" s="3"/>
      <c r="H444" s="3"/>
      <c r="I444" s="3"/>
      <c r="J444" s="3"/>
      <c r="K444" s="3"/>
      <c r="L444" s="3"/>
      <c r="M444" s="3"/>
      <c r="N444" s="3"/>
      <c r="O444" s="3"/>
      <c r="P444" s="3"/>
      <c r="Q444" s="3"/>
      <c r="R444" s="3"/>
      <c r="S444" s="3"/>
      <c r="T444" s="3"/>
      <c r="U444" s="3"/>
      <c r="V444" s="3"/>
      <c r="W444" s="3"/>
      <c r="X444" s="3"/>
      <c r="Y444" s="3"/>
    </row>
    <row r="445">
      <c r="A445" s="7"/>
      <c r="B445" s="6"/>
      <c r="C445" s="6"/>
      <c r="D445" s="3"/>
      <c r="E445" s="3"/>
      <c r="F445" s="3"/>
      <c r="G445" s="3"/>
      <c r="H445" s="3"/>
      <c r="I445" s="3"/>
      <c r="J445" s="3"/>
      <c r="K445" s="3"/>
      <c r="L445" s="3"/>
      <c r="M445" s="3"/>
      <c r="N445" s="3"/>
      <c r="O445" s="3"/>
      <c r="P445" s="3"/>
      <c r="Q445" s="3"/>
      <c r="R445" s="3"/>
      <c r="S445" s="3"/>
      <c r="T445" s="3"/>
      <c r="U445" s="3"/>
      <c r="V445" s="3"/>
      <c r="W445" s="3"/>
      <c r="X445" s="3"/>
      <c r="Y445" s="3"/>
    </row>
    <row r="446">
      <c r="A446" s="7"/>
      <c r="B446" s="6"/>
      <c r="C446" s="6"/>
      <c r="D446" s="3"/>
      <c r="E446" s="3"/>
      <c r="F446" s="3"/>
      <c r="G446" s="3"/>
      <c r="H446" s="3"/>
      <c r="I446" s="3"/>
      <c r="J446" s="3"/>
      <c r="K446" s="3"/>
      <c r="L446" s="3"/>
      <c r="M446" s="3"/>
      <c r="N446" s="3"/>
      <c r="O446" s="3"/>
      <c r="P446" s="3"/>
      <c r="Q446" s="3"/>
      <c r="R446" s="3"/>
      <c r="S446" s="3"/>
      <c r="T446" s="3"/>
      <c r="U446" s="3"/>
      <c r="V446" s="3"/>
      <c r="W446" s="3"/>
      <c r="X446" s="3"/>
      <c r="Y446" s="3"/>
    </row>
    <row r="447">
      <c r="A447" s="7"/>
      <c r="B447" s="6"/>
      <c r="C447" s="6"/>
      <c r="D447" s="3"/>
      <c r="E447" s="3"/>
      <c r="F447" s="3"/>
      <c r="G447" s="3"/>
      <c r="H447" s="3"/>
      <c r="I447" s="3"/>
      <c r="J447" s="3"/>
      <c r="K447" s="3"/>
      <c r="L447" s="3"/>
      <c r="M447" s="3"/>
      <c r="N447" s="3"/>
      <c r="O447" s="3"/>
      <c r="P447" s="3"/>
      <c r="Q447" s="3"/>
      <c r="R447" s="3"/>
      <c r="S447" s="3"/>
      <c r="T447" s="3"/>
      <c r="U447" s="3"/>
      <c r="V447" s="3"/>
      <c r="W447" s="3"/>
      <c r="X447" s="3"/>
      <c r="Y447" s="3"/>
    </row>
    <row r="448">
      <c r="A448" s="7"/>
      <c r="B448" s="6"/>
      <c r="C448" s="6"/>
      <c r="D448" s="3"/>
      <c r="E448" s="3"/>
      <c r="F448" s="3"/>
      <c r="G448" s="3"/>
      <c r="H448" s="3"/>
      <c r="I448" s="3"/>
      <c r="J448" s="3"/>
      <c r="K448" s="3"/>
      <c r="L448" s="3"/>
      <c r="M448" s="3"/>
      <c r="N448" s="3"/>
      <c r="O448" s="3"/>
      <c r="P448" s="3"/>
      <c r="Q448" s="3"/>
      <c r="R448" s="3"/>
      <c r="S448" s="3"/>
      <c r="T448" s="3"/>
      <c r="U448" s="3"/>
      <c r="V448" s="3"/>
      <c r="W448" s="3"/>
      <c r="X448" s="3"/>
      <c r="Y448" s="3"/>
    </row>
    <row r="449">
      <c r="A449" s="7"/>
      <c r="B449" s="6"/>
      <c r="C449" s="6"/>
      <c r="D449" s="3"/>
      <c r="E449" s="3"/>
      <c r="F449" s="3"/>
      <c r="G449" s="3"/>
      <c r="H449" s="3"/>
      <c r="I449" s="3"/>
      <c r="J449" s="3"/>
      <c r="K449" s="3"/>
      <c r="L449" s="3"/>
      <c r="M449" s="3"/>
      <c r="N449" s="3"/>
      <c r="O449" s="3"/>
      <c r="P449" s="3"/>
      <c r="Q449" s="3"/>
      <c r="R449" s="3"/>
      <c r="S449" s="3"/>
      <c r="T449" s="3"/>
      <c r="U449" s="3"/>
      <c r="V449" s="3"/>
      <c r="W449" s="3"/>
      <c r="X449" s="3"/>
      <c r="Y449" s="3"/>
    </row>
    <row r="450">
      <c r="A450" s="7"/>
      <c r="B450" s="6"/>
      <c r="C450" s="6"/>
      <c r="D450" s="3"/>
      <c r="E450" s="3"/>
      <c r="F450" s="3"/>
      <c r="G450" s="3"/>
      <c r="H450" s="3"/>
      <c r="I450" s="3"/>
      <c r="J450" s="3"/>
      <c r="K450" s="3"/>
      <c r="L450" s="3"/>
      <c r="M450" s="3"/>
      <c r="N450" s="3"/>
      <c r="O450" s="3"/>
      <c r="P450" s="3"/>
      <c r="Q450" s="3"/>
      <c r="R450" s="3"/>
      <c r="S450" s="3"/>
      <c r="T450" s="3"/>
      <c r="U450" s="3"/>
      <c r="V450" s="3"/>
      <c r="W450" s="3"/>
      <c r="X450" s="3"/>
      <c r="Y450" s="3"/>
    </row>
    <row r="451">
      <c r="A451" s="7"/>
      <c r="B451" s="6"/>
      <c r="C451" s="6"/>
      <c r="D451" s="3"/>
      <c r="E451" s="3"/>
      <c r="F451" s="3"/>
      <c r="G451" s="3"/>
      <c r="H451" s="3"/>
      <c r="I451" s="3"/>
      <c r="J451" s="3"/>
      <c r="K451" s="3"/>
      <c r="L451" s="3"/>
      <c r="M451" s="3"/>
      <c r="N451" s="3"/>
      <c r="O451" s="3"/>
      <c r="P451" s="3"/>
      <c r="Q451" s="3"/>
      <c r="R451" s="3"/>
      <c r="S451" s="3"/>
      <c r="T451" s="3"/>
      <c r="U451" s="3"/>
      <c r="V451" s="3"/>
      <c r="W451" s="3"/>
      <c r="X451" s="3"/>
      <c r="Y451" s="3"/>
    </row>
    <row r="452">
      <c r="A452" s="7"/>
      <c r="B452" s="6"/>
      <c r="C452" s="6"/>
      <c r="D452" s="3"/>
      <c r="E452" s="3"/>
      <c r="F452" s="3"/>
      <c r="G452" s="3"/>
      <c r="H452" s="3"/>
      <c r="I452" s="3"/>
      <c r="J452" s="3"/>
      <c r="K452" s="3"/>
      <c r="L452" s="3"/>
      <c r="M452" s="3"/>
      <c r="N452" s="3"/>
      <c r="O452" s="3"/>
      <c r="P452" s="3"/>
      <c r="Q452" s="3"/>
      <c r="R452" s="3"/>
      <c r="S452" s="3"/>
      <c r="T452" s="3"/>
      <c r="U452" s="3"/>
      <c r="V452" s="3"/>
      <c r="W452" s="3"/>
      <c r="X452" s="3"/>
      <c r="Y452" s="3"/>
    </row>
    <row r="453">
      <c r="A453" s="7"/>
      <c r="B453" s="6"/>
      <c r="C453" s="6"/>
      <c r="D453" s="3"/>
      <c r="E453" s="3"/>
      <c r="F453" s="3"/>
      <c r="G453" s="3"/>
      <c r="H453" s="3"/>
      <c r="I453" s="3"/>
      <c r="J453" s="3"/>
      <c r="K453" s="3"/>
      <c r="L453" s="3"/>
      <c r="M453" s="3"/>
      <c r="N453" s="3"/>
      <c r="O453" s="3"/>
      <c r="P453" s="3"/>
      <c r="Q453" s="3"/>
      <c r="R453" s="3"/>
      <c r="S453" s="3"/>
      <c r="T453" s="3"/>
      <c r="U453" s="3"/>
      <c r="V453" s="3"/>
      <c r="W453" s="3"/>
      <c r="X453" s="3"/>
      <c r="Y453" s="3"/>
    </row>
    <row r="454">
      <c r="A454" s="7"/>
      <c r="B454" s="6"/>
      <c r="C454" s="6"/>
      <c r="D454" s="3"/>
      <c r="E454" s="3"/>
      <c r="F454" s="3"/>
      <c r="G454" s="3"/>
      <c r="H454" s="3"/>
      <c r="I454" s="3"/>
      <c r="J454" s="3"/>
      <c r="K454" s="3"/>
      <c r="L454" s="3"/>
      <c r="M454" s="3"/>
      <c r="N454" s="3"/>
      <c r="O454" s="3"/>
      <c r="P454" s="3"/>
      <c r="Q454" s="3"/>
      <c r="R454" s="3"/>
      <c r="S454" s="3"/>
      <c r="T454" s="3"/>
      <c r="U454" s="3"/>
      <c r="V454" s="3"/>
      <c r="W454" s="3"/>
      <c r="X454" s="3"/>
      <c r="Y454" s="3"/>
    </row>
    <row r="455">
      <c r="A455" s="7"/>
      <c r="B455" s="6"/>
      <c r="C455" s="6"/>
      <c r="D455" s="3"/>
      <c r="E455" s="3"/>
      <c r="F455" s="3"/>
      <c r="G455" s="3"/>
      <c r="H455" s="3"/>
      <c r="I455" s="3"/>
      <c r="J455" s="3"/>
      <c r="K455" s="3"/>
      <c r="L455" s="3"/>
      <c r="M455" s="3"/>
      <c r="N455" s="3"/>
      <c r="O455" s="3"/>
      <c r="P455" s="3"/>
      <c r="Q455" s="3"/>
      <c r="R455" s="3"/>
      <c r="S455" s="3"/>
      <c r="T455" s="3"/>
      <c r="U455" s="3"/>
      <c r="V455" s="3"/>
      <c r="W455" s="3"/>
      <c r="X455" s="3"/>
      <c r="Y455" s="3"/>
    </row>
    <row r="456">
      <c r="A456" s="7"/>
      <c r="B456" s="6"/>
      <c r="C456" s="6"/>
      <c r="D456" s="3"/>
      <c r="E456" s="3"/>
      <c r="F456" s="3"/>
      <c r="G456" s="3"/>
      <c r="H456" s="3"/>
      <c r="I456" s="3"/>
      <c r="J456" s="3"/>
      <c r="K456" s="3"/>
      <c r="L456" s="3"/>
      <c r="M456" s="3"/>
      <c r="N456" s="3"/>
      <c r="O456" s="3"/>
      <c r="P456" s="3"/>
      <c r="Q456" s="3"/>
      <c r="R456" s="3"/>
      <c r="S456" s="3"/>
      <c r="T456" s="3"/>
      <c r="U456" s="3"/>
      <c r="V456" s="3"/>
      <c r="W456" s="3"/>
      <c r="X456" s="3"/>
      <c r="Y456" s="3"/>
    </row>
    <row r="457">
      <c r="A457" s="7"/>
      <c r="B457" s="6"/>
      <c r="C457" s="6"/>
      <c r="D457" s="3"/>
      <c r="E457" s="3"/>
      <c r="F457" s="3"/>
      <c r="G457" s="3"/>
      <c r="H457" s="3"/>
      <c r="I457" s="3"/>
      <c r="J457" s="3"/>
      <c r="K457" s="3"/>
      <c r="L457" s="3"/>
      <c r="M457" s="3"/>
      <c r="N457" s="3"/>
      <c r="O457" s="3"/>
      <c r="P457" s="3"/>
      <c r="Q457" s="3"/>
      <c r="R457" s="3"/>
      <c r="S457" s="3"/>
      <c r="T457" s="3"/>
      <c r="U457" s="3"/>
      <c r="V457" s="3"/>
      <c r="W457" s="3"/>
      <c r="X457" s="3"/>
      <c r="Y457" s="3"/>
    </row>
    <row r="458">
      <c r="A458" s="7"/>
      <c r="B458" s="6"/>
      <c r="C458" s="6"/>
      <c r="D458" s="3"/>
      <c r="E458" s="3"/>
      <c r="F458" s="3"/>
      <c r="G458" s="3"/>
      <c r="H458" s="3"/>
      <c r="I458" s="3"/>
      <c r="J458" s="3"/>
      <c r="K458" s="3"/>
      <c r="L458" s="3"/>
      <c r="M458" s="3"/>
      <c r="N458" s="3"/>
      <c r="O458" s="3"/>
      <c r="P458" s="3"/>
      <c r="Q458" s="3"/>
      <c r="R458" s="3"/>
      <c r="S458" s="3"/>
      <c r="T458" s="3"/>
      <c r="U458" s="3"/>
      <c r="V458" s="3"/>
      <c r="W458" s="3"/>
      <c r="X458" s="3"/>
      <c r="Y458" s="3"/>
    </row>
    <row r="459">
      <c r="A459" s="7"/>
      <c r="B459" s="6"/>
      <c r="C459" s="6"/>
      <c r="D459" s="3"/>
      <c r="E459" s="3"/>
      <c r="F459" s="3"/>
      <c r="G459" s="3"/>
      <c r="H459" s="3"/>
      <c r="I459" s="3"/>
      <c r="J459" s="3"/>
      <c r="K459" s="3"/>
      <c r="L459" s="3"/>
      <c r="M459" s="3"/>
      <c r="N459" s="3"/>
      <c r="O459" s="3"/>
      <c r="P459" s="3"/>
      <c r="Q459" s="3"/>
      <c r="R459" s="3"/>
      <c r="S459" s="3"/>
      <c r="T459" s="3"/>
      <c r="U459" s="3"/>
      <c r="V459" s="3"/>
      <c r="W459" s="3"/>
      <c r="X459" s="3"/>
      <c r="Y459" s="3"/>
    </row>
    <row r="460">
      <c r="A460" s="7"/>
      <c r="B460" s="6"/>
      <c r="C460" s="6"/>
      <c r="D460" s="3"/>
      <c r="E460" s="3"/>
      <c r="F460" s="3"/>
      <c r="G460" s="3"/>
      <c r="H460" s="3"/>
      <c r="I460" s="3"/>
      <c r="J460" s="3"/>
      <c r="K460" s="3"/>
      <c r="L460" s="3"/>
      <c r="M460" s="3"/>
      <c r="N460" s="3"/>
      <c r="O460" s="3"/>
      <c r="P460" s="3"/>
      <c r="Q460" s="3"/>
      <c r="R460" s="3"/>
      <c r="S460" s="3"/>
      <c r="T460" s="3"/>
      <c r="U460" s="3"/>
      <c r="V460" s="3"/>
      <c r="W460" s="3"/>
      <c r="X460" s="3"/>
      <c r="Y460" s="3"/>
    </row>
    <row r="461">
      <c r="A461" s="7"/>
      <c r="B461" s="6"/>
      <c r="C461" s="6"/>
      <c r="D461" s="3"/>
      <c r="E461" s="3"/>
      <c r="F461" s="3"/>
      <c r="G461" s="3"/>
      <c r="H461" s="3"/>
      <c r="I461" s="3"/>
      <c r="J461" s="3"/>
      <c r="K461" s="3"/>
      <c r="L461" s="3"/>
      <c r="M461" s="3"/>
      <c r="N461" s="3"/>
      <c r="O461" s="3"/>
      <c r="P461" s="3"/>
      <c r="Q461" s="3"/>
      <c r="R461" s="3"/>
      <c r="S461" s="3"/>
      <c r="T461" s="3"/>
      <c r="U461" s="3"/>
      <c r="V461" s="3"/>
      <c r="W461" s="3"/>
      <c r="X461" s="3"/>
      <c r="Y461" s="3"/>
    </row>
    <row r="462">
      <c r="A462" s="7"/>
      <c r="B462" s="6"/>
      <c r="C462" s="6"/>
      <c r="D462" s="3"/>
      <c r="E462" s="3"/>
      <c r="F462" s="3"/>
      <c r="G462" s="3"/>
      <c r="H462" s="3"/>
      <c r="I462" s="3"/>
      <c r="J462" s="3"/>
      <c r="K462" s="3"/>
      <c r="L462" s="3"/>
      <c r="M462" s="3"/>
      <c r="N462" s="3"/>
      <c r="O462" s="3"/>
      <c r="P462" s="3"/>
      <c r="Q462" s="3"/>
      <c r="R462" s="3"/>
      <c r="S462" s="3"/>
      <c r="T462" s="3"/>
      <c r="U462" s="3"/>
      <c r="V462" s="3"/>
      <c r="W462" s="3"/>
      <c r="X462" s="3"/>
      <c r="Y462" s="3"/>
    </row>
    <row r="463">
      <c r="A463" s="7"/>
      <c r="B463" s="6"/>
      <c r="C463" s="6"/>
      <c r="D463" s="3"/>
      <c r="E463" s="3"/>
      <c r="F463" s="3"/>
      <c r="G463" s="3"/>
      <c r="H463" s="3"/>
      <c r="I463" s="3"/>
      <c r="J463" s="3"/>
      <c r="K463" s="3"/>
      <c r="L463" s="3"/>
      <c r="M463" s="3"/>
      <c r="N463" s="3"/>
      <c r="O463" s="3"/>
      <c r="P463" s="3"/>
      <c r="Q463" s="3"/>
      <c r="R463" s="3"/>
      <c r="S463" s="3"/>
      <c r="T463" s="3"/>
      <c r="U463" s="3"/>
      <c r="V463" s="3"/>
      <c r="W463" s="3"/>
      <c r="X463" s="3"/>
      <c r="Y463" s="3"/>
    </row>
    <row r="464">
      <c r="A464" s="7"/>
      <c r="B464" s="6"/>
      <c r="C464" s="6"/>
      <c r="D464" s="3"/>
      <c r="E464" s="3"/>
      <c r="F464" s="3"/>
      <c r="G464" s="3"/>
      <c r="H464" s="3"/>
      <c r="I464" s="3"/>
      <c r="J464" s="3"/>
      <c r="K464" s="3"/>
      <c r="L464" s="3"/>
      <c r="M464" s="3"/>
      <c r="N464" s="3"/>
      <c r="O464" s="3"/>
      <c r="P464" s="3"/>
      <c r="Q464" s="3"/>
      <c r="R464" s="3"/>
      <c r="S464" s="3"/>
      <c r="T464" s="3"/>
      <c r="U464" s="3"/>
      <c r="V464" s="3"/>
      <c r="W464" s="3"/>
      <c r="X464" s="3"/>
      <c r="Y464" s="3"/>
    </row>
    <row r="465">
      <c r="A465" s="7"/>
      <c r="B465" s="6"/>
      <c r="C465" s="6"/>
      <c r="D465" s="3"/>
      <c r="E465" s="3"/>
      <c r="F465" s="3"/>
      <c r="G465" s="3"/>
      <c r="H465" s="3"/>
      <c r="I465" s="3"/>
      <c r="J465" s="3"/>
      <c r="K465" s="3"/>
      <c r="L465" s="3"/>
      <c r="M465" s="3"/>
      <c r="N465" s="3"/>
      <c r="O465" s="3"/>
      <c r="P465" s="3"/>
      <c r="Q465" s="3"/>
      <c r="R465" s="3"/>
      <c r="S465" s="3"/>
      <c r="T465" s="3"/>
      <c r="U465" s="3"/>
      <c r="V465" s="3"/>
      <c r="W465" s="3"/>
      <c r="X465" s="3"/>
      <c r="Y465" s="3"/>
    </row>
    <row r="466">
      <c r="A466" s="7"/>
      <c r="B466" s="6"/>
      <c r="C466" s="6"/>
      <c r="D466" s="3"/>
      <c r="E466" s="3"/>
      <c r="F466" s="3"/>
      <c r="G466" s="3"/>
      <c r="H466" s="3"/>
      <c r="I466" s="3"/>
      <c r="J466" s="3"/>
      <c r="K466" s="3"/>
      <c r="L466" s="3"/>
      <c r="M466" s="3"/>
      <c r="N466" s="3"/>
      <c r="O466" s="3"/>
      <c r="P466" s="3"/>
      <c r="Q466" s="3"/>
      <c r="R466" s="3"/>
      <c r="S466" s="3"/>
      <c r="T466" s="3"/>
      <c r="U466" s="3"/>
      <c r="V466" s="3"/>
      <c r="W466" s="3"/>
      <c r="X466" s="3"/>
      <c r="Y466" s="3"/>
    </row>
    <row r="467">
      <c r="A467" s="7"/>
      <c r="B467" s="6"/>
      <c r="C467" s="6"/>
      <c r="D467" s="3"/>
      <c r="E467" s="3"/>
      <c r="F467" s="3"/>
      <c r="G467" s="3"/>
      <c r="H467" s="3"/>
      <c r="I467" s="3"/>
      <c r="J467" s="3"/>
      <c r="K467" s="3"/>
      <c r="L467" s="3"/>
      <c r="M467" s="3"/>
      <c r="N467" s="3"/>
      <c r="O467" s="3"/>
      <c r="P467" s="3"/>
      <c r="Q467" s="3"/>
      <c r="R467" s="3"/>
      <c r="S467" s="3"/>
      <c r="T467" s="3"/>
      <c r="U467" s="3"/>
      <c r="V467" s="3"/>
      <c r="W467" s="3"/>
      <c r="X467" s="3"/>
      <c r="Y467" s="3"/>
    </row>
    <row r="468">
      <c r="A468" s="7"/>
      <c r="B468" s="6"/>
      <c r="C468" s="6"/>
      <c r="D468" s="3"/>
      <c r="E468" s="3"/>
      <c r="F468" s="3"/>
      <c r="G468" s="3"/>
      <c r="H468" s="3"/>
      <c r="I468" s="3"/>
      <c r="J468" s="3"/>
      <c r="K468" s="3"/>
      <c r="L468" s="3"/>
      <c r="M468" s="3"/>
      <c r="N468" s="3"/>
      <c r="O468" s="3"/>
      <c r="P468" s="3"/>
      <c r="Q468" s="3"/>
      <c r="R468" s="3"/>
      <c r="S468" s="3"/>
      <c r="T468" s="3"/>
      <c r="U468" s="3"/>
      <c r="V468" s="3"/>
      <c r="W468" s="3"/>
      <c r="X468" s="3"/>
      <c r="Y468" s="3"/>
    </row>
    <row r="469">
      <c r="A469" s="7"/>
      <c r="B469" s="6"/>
      <c r="C469" s="6"/>
      <c r="D469" s="3"/>
      <c r="E469" s="3"/>
      <c r="F469" s="3"/>
      <c r="G469" s="3"/>
      <c r="H469" s="3"/>
      <c r="I469" s="3"/>
      <c r="J469" s="3"/>
      <c r="K469" s="3"/>
      <c r="L469" s="3"/>
      <c r="M469" s="3"/>
      <c r="N469" s="3"/>
      <c r="O469" s="3"/>
      <c r="P469" s="3"/>
      <c r="Q469" s="3"/>
      <c r="R469" s="3"/>
      <c r="S469" s="3"/>
      <c r="T469" s="3"/>
      <c r="U469" s="3"/>
      <c r="V469" s="3"/>
      <c r="W469" s="3"/>
      <c r="X469" s="3"/>
      <c r="Y469" s="3"/>
    </row>
    <row r="470">
      <c r="A470" s="7"/>
      <c r="B470" s="6"/>
      <c r="C470" s="6"/>
      <c r="D470" s="3"/>
      <c r="E470" s="3"/>
      <c r="F470" s="3"/>
      <c r="G470" s="3"/>
      <c r="H470" s="3"/>
      <c r="I470" s="3"/>
      <c r="J470" s="3"/>
      <c r="K470" s="3"/>
      <c r="L470" s="3"/>
      <c r="M470" s="3"/>
      <c r="N470" s="3"/>
      <c r="O470" s="3"/>
      <c r="P470" s="3"/>
      <c r="Q470" s="3"/>
      <c r="R470" s="3"/>
      <c r="S470" s="3"/>
      <c r="T470" s="3"/>
      <c r="U470" s="3"/>
      <c r="V470" s="3"/>
      <c r="W470" s="3"/>
      <c r="X470" s="3"/>
      <c r="Y470" s="3"/>
    </row>
    <row r="471">
      <c r="A471" s="7"/>
      <c r="B471" s="6"/>
      <c r="C471" s="6"/>
      <c r="D471" s="3"/>
      <c r="E471" s="3"/>
      <c r="F471" s="3"/>
      <c r="G471" s="3"/>
      <c r="H471" s="3"/>
      <c r="I471" s="3"/>
      <c r="J471" s="3"/>
      <c r="K471" s="3"/>
      <c r="L471" s="3"/>
      <c r="M471" s="3"/>
      <c r="N471" s="3"/>
      <c r="O471" s="3"/>
      <c r="P471" s="3"/>
      <c r="Q471" s="3"/>
      <c r="R471" s="3"/>
      <c r="S471" s="3"/>
      <c r="T471" s="3"/>
      <c r="U471" s="3"/>
      <c r="V471" s="3"/>
      <c r="W471" s="3"/>
      <c r="X471" s="3"/>
      <c r="Y471" s="3"/>
    </row>
    <row r="472">
      <c r="A472" s="7"/>
      <c r="B472" s="6"/>
      <c r="C472" s="6"/>
      <c r="D472" s="3"/>
      <c r="E472" s="3"/>
      <c r="F472" s="3"/>
      <c r="G472" s="3"/>
      <c r="H472" s="3"/>
      <c r="I472" s="3"/>
      <c r="J472" s="3"/>
      <c r="K472" s="3"/>
      <c r="L472" s="3"/>
      <c r="M472" s="3"/>
      <c r="N472" s="3"/>
      <c r="O472" s="3"/>
      <c r="P472" s="3"/>
      <c r="Q472" s="3"/>
      <c r="R472" s="3"/>
      <c r="S472" s="3"/>
      <c r="T472" s="3"/>
      <c r="U472" s="3"/>
      <c r="V472" s="3"/>
      <c r="W472" s="3"/>
      <c r="X472" s="3"/>
      <c r="Y472" s="3"/>
    </row>
    <row r="473">
      <c r="A473" s="7"/>
      <c r="B473" s="6"/>
      <c r="C473" s="6"/>
      <c r="D473" s="3"/>
      <c r="E473" s="3"/>
      <c r="F473" s="3"/>
      <c r="G473" s="3"/>
      <c r="H473" s="3"/>
      <c r="I473" s="3"/>
      <c r="J473" s="3"/>
      <c r="K473" s="3"/>
      <c r="L473" s="3"/>
      <c r="M473" s="3"/>
      <c r="N473" s="3"/>
      <c r="O473" s="3"/>
      <c r="P473" s="3"/>
      <c r="Q473" s="3"/>
      <c r="R473" s="3"/>
      <c r="S473" s="3"/>
      <c r="T473" s="3"/>
      <c r="U473" s="3"/>
      <c r="V473" s="3"/>
      <c r="W473" s="3"/>
      <c r="X473" s="3"/>
      <c r="Y473" s="3"/>
    </row>
    <row r="474">
      <c r="A474" s="7"/>
      <c r="B474" s="6"/>
      <c r="C474" s="6"/>
      <c r="D474" s="3"/>
      <c r="E474" s="3"/>
      <c r="F474" s="3"/>
      <c r="G474" s="3"/>
      <c r="H474" s="3"/>
      <c r="I474" s="3"/>
      <c r="J474" s="3"/>
      <c r="K474" s="3"/>
      <c r="L474" s="3"/>
      <c r="M474" s="3"/>
      <c r="N474" s="3"/>
      <c r="O474" s="3"/>
      <c r="P474" s="3"/>
      <c r="Q474" s="3"/>
      <c r="R474" s="3"/>
      <c r="S474" s="3"/>
      <c r="T474" s="3"/>
      <c r="U474" s="3"/>
      <c r="V474" s="3"/>
      <c r="W474" s="3"/>
      <c r="X474" s="3"/>
      <c r="Y474" s="3"/>
    </row>
    <row r="475">
      <c r="A475" s="7"/>
      <c r="B475" s="6"/>
      <c r="C475" s="6"/>
      <c r="D475" s="3"/>
      <c r="E475" s="3"/>
      <c r="F475" s="3"/>
      <c r="G475" s="3"/>
      <c r="H475" s="3"/>
      <c r="I475" s="3"/>
      <c r="J475" s="3"/>
      <c r="K475" s="3"/>
      <c r="L475" s="3"/>
      <c r="M475" s="3"/>
      <c r="N475" s="3"/>
      <c r="O475" s="3"/>
      <c r="P475" s="3"/>
      <c r="Q475" s="3"/>
      <c r="R475" s="3"/>
      <c r="S475" s="3"/>
      <c r="T475" s="3"/>
      <c r="U475" s="3"/>
      <c r="V475" s="3"/>
      <c r="W475" s="3"/>
      <c r="X475" s="3"/>
      <c r="Y475" s="3"/>
    </row>
    <row r="476">
      <c r="A476" s="7"/>
      <c r="B476" s="6"/>
      <c r="C476" s="6"/>
      <c r="D476" s="3"/>
      <c r="E476" s="3"/>
      <c r="F476" s="3"/>
      <c r="G476" s="3"/>
      <c r="H476" s="3"/>
      <c r="I476" s="3"/>
      <c r="J476" s="3"/>
      <c r="K476" s="3"/>
      <c r="L476" s="3"/>
      <c r="M476" s="3"/>
      <c r="N476" s="3"/>
      <c r="O476" s="3"/>
      <c r="P476" s="3"/>
      <c r="Q476" s="3"/>
      <c r="R476" s="3"/>
      <c r="S476" s="3"/>
      <c r="T476" s="3"/>
      <c r="U476" s="3"/>
      <c r="V476" s="3"/>
      <c r="W476" s="3"/>
      <c r="X476" s="3"/>
      <c r="Y476" s="3"/>
    </row>
    <row r="477">
      <c r="A477" s="7"/>
      <c r="B477" s="6"/>
      <c r="C477" s="6"/>
      <c r="D477" s="3"/>
      <c r="E477" s="3"/>
      <c r="F477" s="3"/>
      <c r="G477" s="3"/>
      <c r="H477" s="3"/>
      <c r="I477" s="3"/>
      <c r="J477" s="3"/>
      <c r="K477" s="3"/>
      <c r="L477" s="3"/>
      <c r="M477" s="3"/>
      <c r="N477" s="3"/>
      <c r="O477" s="3"/>
      <c r="P477" s="3"/>
      <c r="Q477" s="3"/>
      <c r="R477" s="3"/>
      <c r="S477" s="3"/>
      <c r="T477" s="3"/>
      <c r="U477" s="3"/>
      <c r="V477" s="3"/>
      <c r="W477" s="3"/>
      <c r="X477" s="3"/>
      <c r="Y477" s="3"/>
    </row>
    <row r="478">
      <c r="A478" s="7"/>
      <c r="B478" s="6"/>
      <c r="C478" s="6"/>
      <c r="D478" s="3"/>
      <c r="E478" s="3"/>
      <c r="F478" s="3"/>
      <c r="G478" s="3"/>
      <c r="H478" s="3"/>
      <c r="I478" s="3"/>
      <c r="J478" s="3"/>
      <c r="K478" s="3"/>
      <c r="L478" s="3"/>
      <c r="M478" s="3"/>
      <c r="N478" s="3"/>
      <c r="O478" s="3"/>
      <c r="P478" s="3"/>
      <c r="Q478" s="3"/>
      <c r="R478" s="3"/>
      <c r="S478" s="3"/>
      <c r="T478" s="3"/>
      <c r="U478" s="3"/>
      <c r="V478" s="3"/>
      <c r="W478" s="3"/>
      <c r="X478" s="3"/>
      <c r="Y478" s="3"/>
    </row>
    <row r="479">
      <c r="A479" s="7"/>
      <c r="B479" s="6"/>
      <c r="C479" s="6"/>
      <c r="D479" s="3"/>
      <c r="E479" s="3"/>
      <c r="F479" s="3"/>
      <c r="G479" s="3"/>
      <c r="H479" s="3"/>
      <c r="I479" s="3"/>
      <c r="J479" s="3"/>
      <c r="K479" s="3"/>
      <c r="L479" s="3"/>
      <c r="M479" s="3"/>
      <c r="N479" s="3"/>
      <c r="O479" s="3"/>
      <c r="P479" s="3"/>
      <c r="Q479" s="3"/>
      <c r="R479" s="3"/>
      <c r="S479" s="3"/>
      <c r="T479" s="3"/>
      <c r="U479" s="3"/>
      <c r="V479" s="3"/>
      <c r="W479" s="3"/>
      <c r="X479" s="3"/>
      <c r="Y479" s="3"/>
    </row>
    <row r="480">
      <c r="A480" s="7"/>
      <c r="B480" s="6"/>
      <c r="C480" s="6"/>
      <c r="D480" s="3"/>
      <c r="E480" s="3"/>
      <c r="F480" s="3"/>
      <c r="G480" s="3"/>
      <c r="H480" s="3"/>
      <c r="I480" s="3"/>
      <c r="J480" s="3"/>
      <c r="K480" s="3"/>
      <c r="L480" s="3"/>
      <c r="M480" s="3"/>
      <c r="N480" s="3"/>
      <c r="O480" s="3"/>
      <c r="P480" s="3"/>
      <c r="Q480" s="3"/>
      <c r="R480" s="3"/>
      <c r="S480" s="3"/>
      <c r="T480" s="3"/>
      <c r="U480" s="3"/>
      <c r="V480" s="3"/>
      <c r="W480" s="3"/>
      <c r="X480" s="3"/>
      <c r="Y480" s="3"/>
    </row>
    <row r="481">
      <c r="A481" s="7"/>
      <c r="B481" s="6"/>
      <c r="C481" s="6"/>
      <c r="D481" s="3"/>
      <c r="E481" s="3"/>
      <c r="F481" s="3"/>
      <c r="G481" s="3"/>
      <c r="H481" s="3"/>
      <c r="I481" s="3"/>
      <c r="J481" s="3"/>
      <c r="K481" s="3"/>
      <c r="L481" s="3"/>
      <c r="M481" s="3"/>
      <c r="N481" s="3"/>
      <c r="O481" s="3"/>
      <c r="P481" s="3"/>
      <c r="Q481" s="3"/>
      <c r="R481" s="3"/>
      <c r="S481" s="3"/>
      <c r="T481" s="3"/>
      <c r="U481" s="3"/>
      <c r="V481" s="3"/>
      <c r="W481" s="3"/>
      <c r="X481" s="3"/>
      <c r="Y481" s="3"/>
    </row>
    <row r="482">
      <c r="A482" s="7"/>
      <c r="B482" s="6"/>
      <c r="C482" s="6"/>
      <c r="D482" s="3"/>
      <c r="E482" s="3"/>
      <c r="F482" s="3"/>
      <c r="G482" s="3"/>
      <c r="H482" s="3"/>
      <c r="I482" s="3"/>
      <c r="J482" s="3"/>
      <c r="K482" s="3"/>
      <c r="L482" s="3"/>
      <c r="M482" s="3"/>
      <c r="N482" s="3"/>
      <c r="O482" s="3"/>
      <c r="P482" s="3"/>
      <c r="Q482" s="3"/>
      <c r="R482" s="3"/>
      <c r="S482" s="3"/>
      <c r="T482" s="3"/>
      <c r="U482" s="3"/>
      <c r="V482" s="3"/>
      <c r="W482" s="3"/>
      <c r="X482" s="3"/>
      <c r="Y482" s="3"/>
    </row>
    <row r="483">
      <c r="A483" s="7"/>
      <c r="B483" s="6"/>
      <c r="C483" s="6"/>
      <c r="D483" s="3"/>
      <c r="E483" s="3"/>
      <c r="F483" s="3"/>
      <c r="G483" s="3"/>
      <c r="H483" s="3"/>
      <c r="I483" s="3"/>
      <c r="J483" s="3"/>
      <c r="K483" s="3"/>
      <c r="L483" s="3"/>
      <c r="M483" s="3"/>
      <c r="N483" s="3"/>
      <c r="O483" s="3"/>
      <c r="P483" s="3"/>
      <c r="Q483" s="3"/>
      <c r="R483" s="3"/>
      <c r="S483" s="3"/>
      <c r="T483" s="3"/>
      <c r="U483" s="3"/>
      <c r="V483" s="3"/>
      <c r="W483" s="3"/>
      <c r="X483" s="3"/>
      <c r="Y483" s="3"/>
    </row>
    <row r="484">
      <c r="A484" s="7"/>
      <c r="B484" s="6"/>
      <c r="C484" s="6"/>
      <c r="D484" s="3"/>
      <c r="E484" s="3"/>
      <c r="F484" s="3"/>
      <c r="G484" s="3"/>
      <c r="H484" s="3"/>
      <c r="I484" s="3"/>
      <c r="J484" s="3"/>
      <c r="K484" s="3"/>
      <c r="L484" s="3"/>
      <c r="M484" s="3"/>
      <c r="N484" s="3"/>
      <c r="O484" s="3"/>
      <c r="P484" s="3"/>
      <c r="Q484" s="3"/>
      <c r="R484" s="3"/>
      <c r="S484" s="3"/>
      <c r="T484" s="3"/>
      <c r="U484" s="3"/>
      <c r="V484" s="3"/>
      <c r="W484" s="3"/>
      <c r="X484" s="3"/>
      <c r="Y484" s="3"/>
    </row>
    <row r="485">
      <c r="A485" s="7"/>
      <c r="B485" s="6"/>
      <c r="C485" s="6"/>
      <c r="D485" s="3"/>
      <c r="E485" s="3"/>
      <c r="F485" s="3"/>
      <c r="G485" s="3"/>
      <c r="H485" s="3"/>
      <c r="I485" s="3"/>
      <c r="J485" s="3"/>
      <c r="K485" s="3"/>
      <c r="L485" s="3"/>
      <c r="M485" s="3"/>
      <c r="N485" s="3"/>
      <c r="O485" s="3"/>
      <c r="P485" s="3"/>
      <c r="Q485" s="3"/>
      <c r="R485" s="3"/>
      <c r="S485" s="3"/>
      <c r="T485" s="3"/>
      <c r="U485" s="3"/>
      <c r="V485" s="3"/>
      <c r="W485" s="3"/>
      <c r="X485" s="3"/>
      <c r="Y485" s="3"/>
    </row>
    <row r="486">
      <c r="A486" s="7"/>
      <c r="B486" s="6"/>
      <c r="C486" s="6"/>
      <c r="D486" s="3"/>
      <c r="E486" s="3"/>
      <c r="F486" s="3"/>
      <c r="G486" s="3"/>
      <c r="H486" s="3"/>
      <c r="I486" s="3"/>
      <c r="J486" s="3"/>
      <c r="K486" s="3"/>
      <c r="L486" s="3"/>
      <c r="M486" s="3"/>
      <c r="N486" s="3"/>
      <c r="O486" s="3"/>
      <c r="P486" s="3"/>
      <c r="Q486" s="3"/>
      <c r="R486" s="3"/>
      <c r="S486" s="3"/>
      <c r="T486" s="3"/>
      <c r="U486" s="3"/>
      <c r="V486" s="3"/>
      <c r="W486" s="3"/>
      <c r="X486" s="3"/>
      <c r="Y486" s="3"/>
    </row>
    <row r="487">
      <c r="A487" s="7"/>
      <c r="B487" s="6"/>
      <c r="C487" s="6"/>
      <c r="D487" s="3"/>
      <c r="E487" s="3"/>
      <c r="F487" s="3"/>
      <c r="G487" s="3"/>
      <c r="H487" s="3"/>
      <c r="I487" s="3"/>
      <c r="J487" s="3"/>
      <c r="K487" s="3"/>
      <c r="L487" s="3"/>
      <c r="M487" s="3"/>
      <c r="N487" s="3"/>
      <c r="O487" s="3"/>
      <c r="P487" s="3"/>
      <c r="Q487" s="3"/>
      <c r="R487" s="3"/>
      <c r="S487" s="3"/>
      <c r="T487" s="3"/>
      <c r="U487" s="3"/>
      <c r="V487" s="3"/>
      <c r="W487" s="3"/>
      <c r="X487" s="3"/>
      <c r="Y487" s="3"/>
    </row>
    <row r="488">
      <c r="A488" s="7"/>
      <c r="B488" s="6"/>
      <c r="C488" s="6"/>
      <c r="D488" s="3"/>
      <c r="E488" s="3"/>
      <c r="F488" s="3"/>
      <c r="G488" s="3"/>
      <c r="H488" s="3"/>
      <c r="I488" s="3"/>
      <c r="J488" s="3"/>
      <c r="K488" s="3"/>
      <c r="L488" s="3"/>
      <c r="M488" s="3"/>
      <c r="N488" s="3"/>
      <c r="O488" s="3"/>
      <c r="P488" s="3"/>
      <c r="Q488" s="3"/>
      <c r="R488" s="3"/>
      <c r="S488" s="3"/>
      <c r="T488" s="3"/>
      <c r="U488" s="3"/>
      <c r="V488" s="3"/>
      <c r="W488" s="3"/>
      <c r="X488" s="3"/>
      <c r="Y488" s="3"/>
    </row>
    <row r="489">
      <c r="A489" s="7"/>
      <c r="B489" s="6"/>
      <c r="C489" s="6"/>
      <c r="D489" s="3"/>
      <c r="E489" s="3"/>
      <c r="F489" s="3"/>
      <c r="G489" s="3"/>
      <c r="H489" s="3"/>
      <c r="I489" s="3"/>
      <c r="J489" s="3"/>
      <c r="K489" s="3"/>
      <c r="L489" s="3"/>
      <c r="M489" s="3"/>
      <c r="N489" s="3"/>
      <c r="O489" s="3"/>
      <c r="P489" s="3"/>
      <c r="Q489" s="3"/>
      <c r="R489" s="3"/>
      <c r="S489" s="3"/>
      <c r="T489" s="3"/>
      <c r="U489" s="3"/>
      <c r="V489" s="3"/>
      <c r="W489" s="3"/>
      <c r="X489" s="3"/>
      <c r="Y489" s="3"/>
    </row>
    <row r="490">
      <c r="A490" s="7"/>
      <c r="B490" s="6"/>
      <c r="C490" s="6"/>
      <c r="D490" s="3"/>
      <c r="E490" s="3"/>
      <c r="F490" s="3"/>
      <c r="G490" s="3"/>
      <c r="H490" s="3"/>
      <c r="I490" s="3"/>
      <c r="J490" s="3"/>
      <c r="K490" s="3"/>
      <c r="L490" s="3"/>
      <c r="M490" s="3"/>
      <c r="N490" s="3"/>
      <c r="O490" s="3"/>
      <c r="P490" s="3"/>
      <c r="Q490" s="3"/>
      <c r="R490" s="3"/>
      <c r="S490" s="3"/>
      <c r="T490" s="3"/>
      <c r="U490" s="3"/>
      <c r="V490" s="3"/>
      <c r="W490" s="3"/>
      <c r="X490" s="3"/>
      <c r="Y490" s="3"/>
    </row>
    <row r="491">
      <c r="A491" s="7"/>
      <c r="B491" s="6"/>
      <c r="C491" s="6"/>
      <c r="D491" s="3"/>
      <c r="E491" s="3"/>
      <c r="F491" s="3"/>
      <c r="G491" s="3"/>
      <c r="H491" s="3"/>
      <c r="I491" s="3"/>
      <c r="J491" s="3"/>
      <c r="K491" s="3"/>
      <c r="L491" s="3"/>
      <c r="M491" s="3"/>
      <c r="N491" s="3"/>
      <c r="O491" s="3"/>
      <c r="P491" s="3"/>
      <c r="Q491" s="3"/>
      <c r="R491" s="3"/>
      <c r="S491" s="3"/>
      <c r="T491" s="3"/>
      <c r="U491" s="3"/>
      <c r="V491" s="3"/>
      <c r="W491" s="3"/>
      <c r="X491" s="3"/>
      <c r="Y491" s="3"/>
    </row>
    <row r="492">
      <c r="A492" s="7"/>
      <c r="B492" s="6"/>
      <c r="C492" s="6"/>
      <c r="D492" s="3"/>
      <c r="E492" s="3"/>
      <c r="F492" s="3"/>
      <c r="G492" s="3"/>
      <c r="H492" s="3"/>
      <c r="I492" s="3"/>
      <c r="J492" s="3"/>
      <c r="K492" s="3"/>
      <c r="L492" s="3"/>
      <c r="M492" s="3"/>
      <c r="N492" s="3"/>
      <c r="O492" s="3"/>
      <c r="P492" s="3"/>
      <c r="Q492" s="3"/>
      <c r="R492" s="3"/>
      <c r="S492" s="3"/>
      <c r="T492" s="3"/>
      <c r="U492" s="3"/>
      <c r="V492" s="3"/>
      <c r="W492" s="3"/>
      <c r="X492" s="3"/>
      <c r="Y492" s="3"/>
    </row>
    <row r="493">
      <c r="A493" s="7"/>
      <c r="B493" s="6"/>
      <c r="C493" s="6"/>
      <c r="D493" s="3"/>
      <c r="E493" s="3"/>
      <c r="F493" s="3"/>
      <c r="G493" s="3"/>
      <c r="H493" s="3"/>
      <c r="I493" s="3"/>
      <c r="J493" s="3"/>
      <c r="K493" s="3"/>
      <c r="L493" s="3"/>
      <c r="M493" s="3"/>
      <c r="N493" s="3"/>
      <c r="O493" s="3"/>
      <c r="P493" s="3"/>
      <c r="Q493" s="3"/>
      <c r="R493" s="3"/>
      <c r="S493" s="3"/>
      <c r="T493" s="3"/>
      <c r="U493" s="3"/>
      <c r="V493" s="3"/>
      <c r="W493" s="3"/>
      <c r="X493" s="3"/>
      <c r="Y493" s="3"/>
    </row>
    <row r="494">
      <c r="A494" s="7"/>
      <c r="B494" s="6"/>
      <c r="C494" s="6"/>
      <c r="D494" s="3"/>
      <c r="E494" s="3"/>
      <c r="F494" s="3"/>
      <c r="G494" s="3"/>
      <c r="H494" s="3"/>
      <c r="I494" s="3"/>
      <c r="J494" s="3"/>
      <c r="K494" s="3"/>
      <c r="L494" s="3"/>
      <c r="M494" s="3"/>
      <c r="N494" s="3"/>
      <c r="O494" s="3"/>
      <c r="P494" s="3"/>
      <c r="Q494" s="3"/>
      <c r="R494" s="3"/>
      <c r="S494" s="3"/>
      <c r="T494" s="3"/>
      <c r="U494" s="3"/>
      <c r="V494" s="3"/>
      <c r="W494" s="3"/>
      <c r="X494" s="3"/>
      <c r="Y494" s="3"/>
    </row>
    <row r="495">
      <c r="A495" s="7"/>
      <c r="B495" s="6"/>
      <c r="C495" s="6"/>
      <c r="D495" s="3"/>
      <c r="E495" s="3"/>
      <c r="F495" s="3"/>
      <c r="G495" s="3"/>
      <c r="H495" s="3"/>
      <c r="I495" s="3"/>
      <c r="J495" s="3"/>
      <c r="K495" s="3"/>
      <c r="L495" s="3"/>
      <c r="M495" s="3"/>
      <c r="N495" s="3"/>
      <c r="O495" s="3"/>
      <c r="P495" s="3"/>
      <c r="Q495" s="3"/>
      <c r="R495" s="3"/>
      <c r="S495" s="3"/>
      <c r="T495" s="3"/>
      <c r="U495" s="3"/>
      <c r="V495" s="3"/>
      <c r="W495" s="3"/>
      <c r="X495" s="3"/>
      <c r="Y495" s="3"/>
    </row>
    <row r="496">
      <c r="A496" s="7"/>
      <c r="B496" s="6"/>
      <c r="C496" s="6"/>
      <c r="D496" s="3"/>
      <c r="E496" s="3"/>
      <c r="F496" s="3"/>
      <c r="G496" s="3"/>
      <c r="H496" s="3"/>
      <c r="I496" s="3"/>
      <c r="J496" s="3"/>
      <c r="K496" s="3"/>
      <c r="L496" s="3"/>
      <c r="M496" s="3"/>
      <c r="N496" s="3"/>
      <c r="O496" s="3"/>
      <c r="P496" s="3"/>
      <c r="Q496" s="3"/>
      <c r="R496" s="3"/>
      <c r="S496" s="3"/>
      <c r="T496" s="3"/>
      <c r="U496" s="3"/>
      <c r="V496" s="3"/>
      <c r="W496" s="3"/>
      <c r="X496" s="3"/>
      <c r="Y496" s="3"/>
    </row>
    <row r="497">
      <c r="A497" s="7"/>
      <c r="B497" s="6"/>
      <c r="C497" s="6"/>
      <c r="D497" s="3"/>
      <c r="E497" s="3"/>
      <c r="F497" s="3"/>
      <c r="G497" s="3"/>
      <c r="H497" s="3"/>
      <c r="I497" s="3"/>
      <c r="J497" s="3"/>
      <c r="K497" s="3"/>
      <c r="L497" s="3"/>
      <c r="M497" s="3"/>
      <c r="N497" s="3"/>
      <c r="O497" s="3"/>
      <c r="P497" s="3"/>
      <c r="Q497" s="3"/>
      <c r="R497" s="3"/>
      <c r="S497" s="3"/>
      <c r="T497" s="3"/>
      <c r="U497" s="3"/>
      <c r="V497" s="3"/>
      <c r="W497" s="3"/>
      <c r="X497" s="3"/>
      <c r="Y497" s="3"/>
    </row>
    <row r="498">
      <c r="A498" s="7"/>
      <c r="B498" s="6"/>
      <c r="C498" s="6"/>
      <c r="D498" s="3"/>
      <c r="E498" s="3"/>
      <c r="F498" s="3"/>
      <c r="G498" s="3"/>
      <c r="H498" s="3"/>
      <c r="I498" s="3"/>
      <c r="J498" s="3"/>
      <c r="K498" s="3"/>
      <c r="L498" s="3"/>
      <c r="M498" s="3"/>
      <c r="N498" s="3"/>
      <c r="O498" s="3"/>
      <c r="P498" s="3"/>
      <c r="Q498" s="3"/>
      <c r="R498" s="3"/>
      <c r="S498" s="3"/>
      <c r="T498" s="3"/>
      <c r="U498" s="3"/>
      <c r="V498" s="3"/>
      <c r="W498" s="3"/>
      <c r="X498" s="3"/>
      <c r="Y498" s="3"/>
    </row>
    <row r="499">
      <c r="A499" s="7"/>
      <c r="B499" s="6"/>
      <c r="C499" s="6"/>
      <c r="D499" s="3"/>
      <c r="E499" s="3"/>
      <c r="F499" s="3"/>
      <c r="G499" s="3"/>
      <c r="H499" s="3"/>
      <c r="I499" s="3"/>
      <c r="J499" s="3"/>
      <c r="K499" s="3"/>
      <c r="L499" s="3"/>
      <c r="M499" s="3"/>
      <c r="N499" s="3"/>
      <c r="O499" s="3"/>
      <c r="P499" s="3"/>
      <c r="Q499" s="3"/>
      <c r="R499" s="3"/>
      <c r="S499" s="3"/>
      <c r="T499" s="3"/>
      <c r="U499" s="3"/>
      <c r="V499" s="3"/>
      <c r="W499" s="3"/>
      <c r="X499" s="3"/>
      <c r="Y499" s="3"/>
    </row>
    <row r="500">
      <c r="A500" s="7"/>
      <c r="B500" s="6"/>
      <c r="C500" s="6"/>
      <c r="D500" s="3"/>
      <c r="E500" s="3"/>
      <c r="F500" s="3"/>
      <c r="G500" s="3"/>
      <c r="H500" s="3"/>
      <c r="I500" s="3"/>
      <c r="J500" s="3"/>
      <c r="K500" s="3"/>
      <c r="L500" s="3"/>
      <c r="M500" s="3"/>
      <c r="N500" s="3"/>
      <c r="O500" s="3"/>
      <c r="P500" s="3"/>
      <c r="Q500" s="3"/>
      <c r="R500" s="3"/>
      <c r="S500" s="3"/>
      <c r="T500" s="3"/>
      <c r="U500" s="3"/>
      <c r="V500" s="3"/>
      <c r="W500" s="3"/>
      <c r="X500" s="3"/>
      <c r="Y500" s="3"/>
    </row>
    <row r="501">
      <c r="A501" s="7"/>
      <c r="B501" s="6"/>
      <c r="C501" s="6"/>
      <c r="D501" s="3"/>
      <c r="E501" s="3"/>
      <c r="F501" s="3"/>
      <c r="G501" s="3"/>
      <c r="H501" s="3"/>
      <c r="I501" s="3"/>
      <c r="J501" s="3"/>
      <c r="K501" s="3"/>
      <c r="L501" s="3"/>
      <c r="M501" s="3"/>
      <c r="N501" s="3"/>
      <c r="O501" s="3"/>
      <c r="P501" s="3"/>
      <c r="Q501" s="3"/>
      <c r="R501" s="3"/>
      <c r="S501" s="3"/>
      <c r="T501" s="3"/>
      <c r="U501" s="3"/>
      <c r="V501" s="3"/>
      <c r="W501" s="3"/>
      <c r="X501" s="3"/>
      <c r="Y501" s="3"/>
    </row>
    <row r="502">
      <c r="A502" s="7"/>
      <c r="B502" s="6"/>
      <c r="C502" s="6"/>
      <c r="D502" s="3"/>
      <c r="E502" s="3"/>
      <c r="F502" s="3"/>
      <c r="G502" s="3"/>
      <c r="H502" s="3"/>
      <c r="I502" s="3"/>
      <c r="J502" s="3"/>
      <c r="K502" s="3"/>
      <c r="L502" s="3"/>
      <c r="M502" s="3"/>
      <c r="N502" s="3"/>
      <c r="O502" s="3"/>
      <c r="P502" s="3"/>
      <c r="Q502" s="3"/>
      <c r="R502" s="3"/>
      <c r="S502" s="3"/>
      <c r="T502" s="3"/>
      <c r="U502" s="3"/>
      <c r="V502" s="3"/>
      <c r="W502" s="3"/>
      <c r="X502" s="3"/>
      <c r="Y502" s="3"/>
    </row>
    <row r="503">
      <c r="A503" s="7"/>
      <c r="B503" s="6"/>
      <c r="C503" s="6"/>
      <c r="D503" s="3"/>
      <c r="E503" s="3"/>
      <c r="F503" s="3"/>
      <c r="G503" s="3"/>
      <c r="H503" s="3"/>
      <c r="I503" s="3"/>
      <c r="J503" s="3"/>
      <c r="K503" s="3"/>
      <c r="L503" s="3"/>
      <c r="M503" s="3"/>
      <c r="N503" s="3"/>
      <c r="O503" s="3"/>
      <c r="P503" s="3"/>
      <c r="Q503" s="3"/>
      <c r="R503" s="3"/>
      <c r="S503" s="3"/>
      <c r="T503" s="3"/>
      <c r="U503" s="3"/>
      <c r="V503" s="3"/>
      <c r="W503" s="3"/>
      <c r="X503" s="3"/>
      <c r="Y503" s="3"/>
    </row>
    <row r="504">
      <c r="A504" s="7"/>
      <c r="B504" s="6"/>
      <c r="C504" s="6"/>
      <c r="D504" s="3"/>
      <c r="E504" s="3"/>
      <c r="F504" s="3"/>
      <c r="G504" s="3"/>
      <c r="H504" s="3"/>
      <c r="I504" s="3"/>
      <c r="J504" s="3"/>
      <c r="K504" s="3"/>
      <c r="L504" s="3"/>
      <c r="M504" s="3"/>
      <c r="N504" s="3"/>
      <c r="O504" s="3"/>
      <c r="P504" s="3"/>
      <c r="Q504" s="3"/>
      <c r="R504" s="3"/>
      <c r="S504" s="3"/>
      <c r="T504" s="3"/>
      <c r="U504" s="3"/>
      <c r="V504" s="3"/>
      <c r="W504" s="3"/>
      <c r="X504" s="3"/>
      <c r="Y504" s="3"/>
    </row>
    <row r="505">
      <c r="A505" s="7"/>
      <c r="B505" s="6"/>
      <c r="C505" s="6"/>
      <c r="D505" s="3"/>
      <c r="E505" s="3"/>
      <c r="F505" s="3"/>
      <c r="G505" s="3"/>
      <c r="H505" s="3"/>
      <c r="I505" s="3"/>
      <c r="J505" s="3"/>
      <c r="K505" s="3"/>
      <c r="L505" s="3"/>
      <c r="M505" s="3"/>
      <c r="N505" s="3"/>
      <c r="O505" s="3"/>
      <c r="P505" s="3"/>
      <c r="Q505" s="3"/>
      <c r="R505" s="3"/>
      <c r="S505" s="3"/>
      <c r="T505" s="3"/>
      <c r="U505" s="3"/>
      <c r="V505" s="3"/>
      <c r="W505" s="3"/>
      <c r="X505" s="3"/>
      <c r="Y505" s="3"/>
    </row>
    <row r="506">
      <c r="A506" s="7"/>
      <c r="B506" s="6"/>
      <c r="C506" s="6"/>
      <c r="D506" s="3"/>
      <c r="E506" s="3"/>
      <c r="F506" s="3"/>
      <c r="G506" s="3"/>
      <c r="H506" s="3"/>
      <c r="I506" s="3"/>
      <c r="J506" s="3"/>
      <c r="K506" s="3"/>
      <c r="L506" s="3"/>
      <c r="M506" s="3"/>
      <c r="N506" s="3"/>
      <c r="O506" s="3"/>
      <c r="P506" s="3"/>
      <c r="Q506" s="3"/>
      <c r="R506" s="3"/>
      <c r="S506" s="3"/>
      <c r="T506" s="3"/>
      <c r="U506" s="3"/>
      <c r="V506" s="3"/>
      <c r="W506" s="3"/>
      <c r="X506" s="3"/>
      <c r="Y506" s="3"/>
    </row>
    <row r="507">
      <c r="A507" s="7"/>
      <c r="B507" s="6"/>
      <c r="C507" s="6"/>
      <c r="D507" s="3"/>
      <c r="E507" s="3"/>
      <c r="F507" s="3"/>
      <c r="G507" s="3"/>
      <c r="H507" s="3"/>
      <c r="I507" s="3"/>
      <c r="J507" s="3"/>
      <c r="K507" s="3"/>
      <c r="L507" s="3"/>
      <c r="M507" s="3"/>
      <c r="N507" s="3"/>
      <c r="O507" s="3"/>
      <c r="P507" s="3"/>
      <c r="Q507" s="3"/>
      <c r="R507" s="3"/>
      <c r="S507" s="3"/>
      <c r="T507" s="3"/>
      <c r="U507" s="3"/>
      <c r="V507" s="3"/>
      <c r="W507" s="3"/>
      <c r="X507" s="3"/>
      <c r="Y507" s="3"/>
    </row>
    <row r="508">
      <c r="A508" s="7"/>
      <c r="B508" s="6"/>
      <c r="C508" s="6"/>
      <c r="D508" s="3"/>
      <c r="E508" s="3"/>
      <c r="F508" s="3"/>
      <c r="G508" s="3"/>
      <c r="H508" s="3"/>
      <c r="I508" s="3"/>
      <c r="J508" s="3"/>
      <c r="K508" s="3"/>
      <c r="L508" s="3"/>
      <c r="M508" s="3"/>
      <c r="N508" s="3"/>
      <c r="O508" s="3"/>
      <c r="P508" s="3"/>
      <c r="Q508" s="3"/>
      <c r="R508" s="3"/>
      <c r="S508" s="3"/>
      <c r="T508" s="3"/>
      <c r="U508" s="3"/>
      <c r="V508" s="3"/>
      <c r="W508" s="3"/>
      <c r="X508" s="3"/>
      <c r="Y508" s="3"/>
    </row>
    <row r="509">
      <c r="A509" s="7"/>
      <c r="B509" s="6"/>
      <c r="C509" s="6"/>
      <c r="D509" s="3"/>
      <c r="E509" s="3"/>
      <c r="F509" s="3"/>
      <c r="G509" s="3"/>
      <c r="H509" s="3"/>
      <c r="I509" s="3"/>
      <c r="J509" s="3"/>
      <c r="K509" s="3"/>
      <c r="L509" s="3"/>
      <c r="M509" s="3"/>
      <c r="N509" s="3"/>
      <c r="O509" s="3"/>
      <c r="P509" s="3"/>
      <c r="Q509" s="3"/>
      <c r="R509" s="3"/>
      <c r="S509" s="3"/>
      <c r="T509" s="3"/>
      <c r="U509" s="3"/>
      <c r="V509" s="3"/>
      <c r="W509" s="3"/>
      <c r="X509" s="3"/>
      <c r="Y509" s="3"/>
    </row>
    <row r="510">
      <c r="A510" s="7"/>
      <c r="B510" s="6"/>
      <c r="C510" s="6"/>
      <c r="D510" s="3"/>
      <c r="E510" s="3"/>
      <c r="F510" s="3"/>
      <c r="G510" s="3"/>
      <c r="H510" s="3"/>
      <c r="I510" s="3"/>
      <c r="J510" s="3"/>
      <c r="K510" s="3"/>
      <c r="L510" s="3"/>
      <c r="M510" s="3"/>
      <c r="N510" s="3"/>
      <c r="O510" s="3"/>
      <c r="P510" s="3"/>
      <c r="Q510" s="3"/>
      <c r="R510" s="3"/>
      <c r="S510" s="3"/>
      <c r="T510" s="3"/>
      <c r="U510" s="3"/>
      <c r="V510" s="3"/>
      <c r="W510" s="3"/>
      <c r="X510" s="3"/>
      <c r="Y510" s="3"/>
    </row>
    <row r="511">
      <c r="A511" s="7"/>
      <c r="B511" s="6"/>
      <c r="C511" s="6"/>
      <c r="D511" s="3"/>
      <c r="E511" s="3"/>
      <c r="F511" s="3"/>
      <c r="G511" s="3"/>
      <c r="H511" s="3"/>
      <c r="I511" s="3"/>
      <c r="J511" s="3"/>
      <c r="K511" s="3"/>
      <c r="L511" s="3"/>
      <c r="M511" s="3"/>
      <c r="N511" s="3"/>
      <c r="O511" s="3"/>
      <c r="P511" s="3"/>
      <c r="Q511" s="3"/>
      <c r="R511" s="3"/>
      <c r="S511" s="3"/>
      <c r="T511" s="3"/>
      <c r="U511" s="3"/>
      <c r="V511" s="3"/>
      <c r="W511" s="3"/>
      <c r="X511" s="3"/>
      <c r="Y511" s="3"/>
    </row>
    <row r="512">
      <c r="A512" s="7"/>
      <c r="B512" s="6"/>
      <c r="C512" s="6"/>
      <c r="D512" s="3"/>
      <c r="E512" s="3"/>
      <c r="F512" s="3"/>
      <c r="G512" s="3"/>
      <c r="H512" s="3"/>
      <c r="I512" s="3"/>
      <c r="J512" s="3"/>
      <c r="K512" s="3"/>
      <c r="L512" s="3"/>
      <c r="M512" s="3"/>
      <c r="N512" s="3"/>
      <c r="O512" s="3"/>
      <c r="P512" s="3"/>
      <c r="Q512" s="3"/>
      <c r="R512" s="3"/>
      <c r="S512" s="3"/>
      <c r="T512" s="3"/>
      <c r="U512" s="3"/>
      <c r="V512" s="3"/>
      <c r="W512" s="3"/>
      <c r="X512" s="3"/>
      <c r="Y512" s="3"/>
    </row>
    <row r="513">
      <c r="A513" s="7"/>
      <c r="B513" s="6"/>
      <c r="C513" s="6"/>
      <c r="D513" s="3"/>
      <c r="E513" s="3"/>
      <c r="F513" s="3"/>
      <c r="G513" s="3"/>
      <c r="H513" s="3"/>
      <c r="I513" s="3"/>
      <c r="J513" s="3"/>
      <c r="K513" s="3"/>
      <c r="L513" s="3"/>
      <c r="M513" s="3"/>
      <c r="N513" s="3"/>
      <c r="O513" s="3"/>
      <c r="P513" s="3"/>
      <c r="Q513" s="3"/>
      <c r="R513" s="3"/>
      <c r="S513" s="3"/>
      <c r="T513" s="3"/>
      <c r="U513" s="3"/>
      <c r="V513" s="3"/>
      <c r="W513" s="3"/>
      <c r="X513" s="3"/>
      <c r="Y513" s="3"/>
    </row>
    <row r="514">
      <c r="A514" s="7"/>
      <c r="B514" s="6"/>
      <c r="C514" s="6"/>
      <c r="D514" s="3"/>
      <c r="E514" s="3"/>
      <c r="F514" s="3"/>
      <c r="G514" s="3"/>
      <c r="H514" s="3"/>
      <c r="I514" s="3"/>
      <c r="J514" s="3"/>
      <c r="K514" s="3"/>
      <c r="L514" s="3"/>
      <c r="M514" s="3"/>
      <c r="N514" s="3"/>
      <c r="O514" s="3"/>
      <c r="P514" s="3"/>
      <c r="Q514" s="3"/>
      <c r="R514" s="3"/>
      <c r="S514" s="3"/>
      <c r="T514" s="3"/>
      <c r="U514" s="3"/>
      <c r="V514" s="3"/>
      <c r="W514" s="3"/>
      <c r="X514" s="3"/>
      <c r="Y514" s="3"/>
    </row>
    <row r="515">
      <c r="A515" s="7"/>
      <c r="B515" s="6"/>
      <c r="C515" s="6"/>
      <c r="D515" s="3"/>
      <c r="E515" s="3"/>
      <c r="F515" s="3"/>
      <c r="G515" s="3"/>
      <c r="H515" s="3"/>
      <c r="I515" s="3"/>
      <c r="J515" s="3"/>
      <c r="K515" s="3"/>
      <c r="L515" s="3"/>
      <c r="M515" s="3"/>
      <c r="N515" s="3"/>
      <c r="O515" s="3"/>
      <c r="P515" s="3"/>
      <c r="Q515" s="3"/>
      <c r="R515" s="3"/>
      <c r="S515" s="3"/>
      <c r="T515" s="3"/>
      <c r="U515" s="3"/>
      <c r="V515" s="3"/>
      <c r="W515" s="3"/>
      <c r="X515" s="3"/>
      <c r="Y515" s="3"/>
    </row>
    <row r="516">
      <c r="A516" s="7"/>
      <c r="B516" s="6"/>
      <c r="C516" s="6"/>
      <c r="D516" s="3"/>
      <c r="E516" s="3"/>
      <c r="F516" s="3"/>
      <c r="G516" s="3"/>
      <c r="H516" s="3"/>
      <c r="I516" s="3"/>
      <c r="J516" s="3"/>
      <c r="K516" s="3"/>
      <c r="L516" s="3"/>
      <c r="M516" s="3"/>
      <c r="N516" s="3"/>
      <c r="O516" s="3"/>
      <c r="P516" s="3"/>
      <c r="Q516" s="3"/>
      <c r="R516" s="3"/>
      <c r="S516" s="3"/>
      <c r="T516" s="3"/>
      <c r="U516" s="3"/>
      <c r="V516" s="3"/>
      <c r="W516" s="3"/>
      <c r="X516" s="3"/>
      <c r="Y516" s="3"/>
    </row>
    <row r="517">
      <c r="A517" s="7"/>
      <c r="B517" s="6"/>
      <c r="C517" s="6"/>
      <c r="D517" s="3"/>
      <c r="E517" s="3"/>
      <c r="F517" s="3"/>
      <c r="G517" s="3"/>
      <c r="H517" s="3"/>
      <c r="I517" s="3"/>
      <c r="J517" s="3"/>
      <c r="K517" s="3"/>
      <c r="L517" s="3"/>
      <c r="M517" s="3"/>
      <c r="N517" s="3"/>
      <c r="O517" s="3"/>
      <c r="P517" s="3"/>
      <c r="Q517" s="3"/>
      <c r="R517" s="3"/>
      <c r="S517" s="3"/>
      <c r="T517" s="3"/>
      <c r="U517" s="3"/>
      <c r="V517" s="3"/>
      <c r="W517" s="3"/>
      <c r="X517" s="3"/>
      <c r="Y517" s="3"/>
    </row>
    <row r="518">
      <c r="A518" s="7"/>
      <c r="B518" s="6"/>
      <c r="C518" s="6"/>
      <c r="D518" s="3"/>
      <c r="E518" s="3"/>
      <c r="F518" s="3"/>
      <c r="G518" s="3"/>
      <c r="H518" s="3"/>
      <c r="I518" s="3"/>
      <c r="J518" s="3"/>
      <c r="K518" s="3"/>
      <c r="L518" s="3"/>
      <c r="M518" s="3"/>
      <c r="N518" s="3"/>
      <c r="O518" s="3"/>
      <c r="P518" s="3"/>
      <c r="Q518" s="3"/>
      <c r="R518" s="3"/>
      <c r="S518" s="3"/>
      <c r="T518" s="3"/>
      <c r="U518" s="3"/>
      <c r="V518" s="3"/>
      <c r="W518" s="3"/>
      <c r="X518" s="3"/>
      <c r="Y518" s="3"/>
    </row>
    <row r="519">
      <c r="A519" s="7"/>
      <c r="B519" s="6"/>
      <c r="C519" s="6"/>
      <c r="D519" s="3"/>
      <c r="E519" s="3"/>
      <c r="F519" s="3"/>
      <c r="G519" s="3"/>
      <c r="H519" s="3"/>
      <c r="I519" s="3"/>
      <c r="J519" s="3"/>
      <c r="K519" s="3"/>
      <c r="L519" s="3"/>
      <c r="M519" s="3"/>
      <c r="N519" s="3"/>
      <c r="O519" s="3"/>
      <c r="P519" s="3"/>
      <c r="Q519" s="3"/>
      <c r="R519" s="3"/>
      <c r="S519" s="3"/>
      <c r="T519" s="3"/>
      <c r="U519" s="3"/>
      <c r="V519" s="3"/>
      <c r="W519" s="3"/>
      <c r="X519" s="3"/>
      <c r="Y519" s="3"/>
    </row>
    <row r="520">
      <c r="A520" s="7"/>
      <c r="B520" s="6"/>
      <c r="C520" s="6"/>
      <c r="D520" s="3"/>
      <c r="E520" s="3"/>
      <c r="F520" s="3"/>
      <c r="G520" s="3"/>
      <c r="H520" s="3"/>
      <c r="I520" s="3"/>
      <c r="J520" s="3"/>
      <c r="K520" s="3"/>
      <c r="L520" s="3"/>
      <c r="M520" s="3"/>
      <c r="N520" s="3"/>
      <c r="O520" s="3"/>
      <c r="P520" s="3"/>
      <c r="Q520" s="3"/>
      <c r="R520" s="3"/>
      <c r="S520" s="3"/>
      <c r="T520" s="3"/>
      <c r="U520" s="3"/>
      <c r="V520" s="3"/>
      <c r="W520" s="3"/>
      <c r="X520" s="3"/>
      <c r="Y520" s="3"/>
    </row>
    <row r="521">
      <c r="A521" s="7"/>
      <c r="B521" s="6"/>
      <c r="C521" s="6"/>
      <c r="D521" s="3"/>
      <c r="E521" s="3"/>
      <c r="F521" s="3"/>
      <c r="G521" s="3"/>
      <c r="H521" s="3"/>
      <c r="I521" s="3"/>
      <c r="J521" s="3"/>
      <c r="K521" s="3"/>
      <c r="L521" s="3"/>
      <c r="M521" s="3"/>
      <c r="N521" s="3"/>
      <c r="O521" s="3"/>
      <c r="P521" s="3"/>
      <c r="Q521" s="3"/>
      <c r="R521" s="3"/>
      <c r="S521" s="3"/>
      <c r="T521" s="3"/>
      <c r="U521" s="3"/>
      <c r="V521" s="3"/>
      <c r="W521" s="3"/>
      <c r="X521" s="3"/>
      <c r="Y521" s="3"/>
    </row>
    <row r="522">
      <c r="A522" s="7"/>
      <c r="B522" s="6"/>
      <c r="C522" s="6"/>
      <c r="D522" s="3"/>
      <c r="E522" s="3"/>
      <c r="F522" s="3"/>
      <c r="G522" s="3"/>
      <c r="H522" s="3"/>
      <c r="I522" s="3"/>
      <c r="J522" s="3"/>
      <c r="K522" s="3"/>
      <c r="L522" s="3"/>
      <c r="M522" s="3"/>
      <c r="N522" s="3"/>
      <c r="O522" s="3"/>
      <c r="P522" s="3"/>
      <c r="Q522" s="3"/>
      <c r="R522" s="3"/>
      <c r="S522" s="3"/>
      <c r="T522" s="3"/>
      <c r="U522" s="3"/>
      <c r="V522" s="3"/>
      <c r="W522" s="3"/>
      <c r="X522" s="3"/>
      <c r="Y522" s="3"/>
    </row>
    <row r="523">
      <c r="A523" s="7"/>
      <c r="B523" s="6"/>
      <c r="C523" s="6"/>
      <c r="D523" s="3"/>
      <c r="E523" s="3"/>
      <c r="F523" s="3"/>
      <c r="G523" s="3"/>
      <c r="H523" s="3"/>
      <c r="I523" s="3"/>
      <c r="J523" s="3"/>
      <c r="K523" s="3"/>
      <c r="L523" s="3"/>
      <c r="M523" s="3"/>
      <c r="N523" s="3"/>
      <c r="O523" s="3"/>
      <c r="P523" s="3"/>
      <c r="Q523" s="3"/>
      <c r="R523" s="3"/>
      <c r="S523" s="3"/>
      <c r="T523" s="3"/>
      <c r="U523" s="3"/>
      <c r="V523" s="3"/>
      <c r="W523" s="3"/>
      <c r="X523" s="3"/>
      <c r="Y523" s="3"/>
    </row>
    <row r="524">
      <c r="A524" s="7"/>
      <c r="B524" s="6"/>
      <c r="C524" s="6"/>
      <c r="D524" s="3"/>
      <c r="E524" s="3"/>
      <c r="F524" s="3"/>
      <c r="G524" s="3"/>
      <c r="H524" s="3"/>
      <c r="I524" s="3"/>
      <c r="J524" s="3"/>
      <c r="K524" s="3"/>
      <c r="L524" s="3"/>
      <c r="M524" s="3"/>
      <c r="N524" s="3"/>
      <c r="O524" s="3"/>
      <c r="P524" s="3"/>
      <c r="Q524" s="3"/>
      <c r="R524" s="3"/>
      <c r="S524" s="3"/>
      <c r="T524" s="3"/>
      <c r="U524" s="3"/>
      <c r="V524" s="3"/>
      <c r="W524" s="3"/>
      <c r="X524" s="3"/>
      <c r="Y524" s="3"/>
    </row>
    <row r="525">
      <c r="A525" s="7"/>
      <c r="B525" s="6"/>
      <c r="C525" s="6"/>
      <c r="D525" s="3"/>
      <c r="E525" s="3"/>
      <c r="F525" s="3"/>
      <c r="G525" s="3"/>
      <c r="H525" s="3"/>
      <c r="I525" s="3"/>
      <c r="J525" s="3"/>
      <c r="K525" s="3"/>
      <c r="L525" s="3"/>
      <c r="M525" s="3"/>
      <c r="N525" s="3"/>
      <c r="O525" s="3"/>
      <c r="P525" s="3"/>
      <c r="Q525" s="3"/>
      <c r="R525" s="3"/>
      <c r="S525" s="3"/>
      <c r="T525" s="3"/>
      <c r="U525" s="3"/>
      <c r="V525" s="3"/>
      <c r="W525" s="3"/>
      <c r="X525" s="3"/>
      <c r="Y525" s="3"/>
    </row>
    <row r="526">
      <c r="A526" s="7"/>
      <c r="B526" s="6"/>
      <c r="C526" s="6"/>
      <c r="D526" s="3"/>
      <c r="E526" s="3"/>
      <c r="F526" s="3"/>
      <c r="G526" s="3"/>
      <c r="H526" s="3"/>
      <c r="I526" s="3"/>
      <c r="J526" s="3"/>
      <c r="K526" s="3"/>
      <c r="L526" s="3"/>
      <c r="M526" s="3"/>
      <c r="N526" s="3"/>
      <c r="O526" s="3"/>
      <c r="P526" s="3"/>
      <c r="Q526" s="3"/>
      <c r="R526" s="3"/>
      <c r="S526" s="3"/>
      <c r="T526" s="3"/>
      <c r="U526" s="3"/>
      <c r="V526" s="3"/>
      <c r="W526" s="3"/>
      <c r="X526" s="3"/>
      <c r="Y526" s="3"/>
    </row>
    <row r="527">
      <c r="A527" s="7"/>
      <c r="B527" s="6"/>
      <c r="C527" s="6"/>
      <c r="D527" s="3"/>
      <c r="E527" s="3"/>
      <c r="F527" s="3"/>
      <c r="G527" s="3"/>
      <c r="H527" s="3"/>
      <c r="I527" s="3"/>
      <c r="J527" s="3"/>
      <c r="K527" s="3"/>
      <c r="L527" s="3"/>
      <c r="M527" s="3"/>
      <c r="N527" s="3"/>
      <c r="O527" s="3"/>
      <c r="P527" s="3"/>
      <c r="Q527" s="3"/>
      <c r="R527" s="3"/>
      <c r="S527" s="3"/>
      <c r="T527" s="3"/>
      <c r="U527" s="3"/>
      <c r="V527" s="3"/>
      <c r="W527" s="3"/>
      <c r="X527" s="3"/>
      <c r="Y527" s="3"/>
    </row>
    <row r="528">
      <c r="A528" s="7"/>
      <c r="B528" s="6"/>
      <c r="C528" s="6"/>
      <c r="D528" s="3"/>
      <c r="E528" s="3"/>
      <c r="F528" s="3"/>
      <c r="G528" s="3"/>
      <c r="H528" s="3"/>
      <c r="I528" s="3"/>
      <c r="J528" s="3"/>
      <c r="K528" s="3"/>
      <c r="L528" s="3"/>
      <c r="M528" s="3"/>
      <c r="N528" s="3"/>
      <c r="O528" s="3"/>
      <c r="P528" s="3"/>
      <c r="Q528" s="3"/>
      <c r="R528" s="3"/>
      <c r="S528" s="3"/>
      <c r="T528" s="3"/>
      <c r="U528" s="3"/>
      <c r="V528" s="3"/>
      <c r="W528" s="3"/>
      <c r="X528" s="3"/>
      <c r="Y528" s="3"/>
    </row>
    <row r="529">
      <c r="A529" s="7"/>
      <c r="B529" s="6"/>
      <c r="C529" s="6"/>
      <c r="D529" s="3"/>
      <c r="E529" s="3"/>
      <c r="F529" s="3"/>
      <c r="G529" s="3"/>
      <c r="H529" s="3"/>
      <c r="I529" s="3"/>
      <c r="J529" s="3"/>
      <c r="K529" s="3"/>
      <c r="L529" s="3"/>
      <c r="M529" s="3"/>
      <c r="N529" s="3"/>
      <c r="O529" s="3"/>
      <c r="P529" s="3"/>
      <c r="Q529" s="3"/>
      <c r="R529" s="3"/>
      <c r="S529" s="3"/>
      <c r="T529" s="3"/>
      <c r="U529" s="3"/>
      <c r="V529" s="3"/>
      <c r="W529" s="3"/>
      <c r="X529" s="3"/>
      <c r="Y529" s="3"/>
    </row>
    <row r="530">
      <c r="A530" s="7"/>
      <c r="B530" s="6"/>
      <c r="C530" s="6"/>
      <c r="D530" s="3"/>
      <c r="E530" s="3"/>
      <c r="F530" s="3"/>
      <c r="G530" s="3"/>
      <c r="H530" s="3"/>
      <c r="I530" s="3"/>
      <c r="J530" s="3"/>
      <c r="K530" s="3"/>
      <c r="L530" s="3"/>
      <c r="M530" s="3"/>
      <c r="N530" s="3"/>
      <c r="O530" s="3"/>
      <c r="P530" s="3"/>
      <c r="Q530" s="3"/>
      <c r="R530" s="3"/>
      <c r="S530" s="3"/>
      <c r="T530" s="3"/>
      <c r="U530" s="3"/>
      <c r="V530" s="3"/>
      <c r="W530" s="3"/>
      <c r="X530" s="3"/>
      <c r="Y530" s="3"/>
    </row>
    <row r="531">
      <c r="A531" s="7"/>
      <c r="B531" s="6"/>
      <c r="C531" s="6"/>
      <c r="D531" s="3"/>
      <c r="E531" s="3"/>
      <c r="F531" s="3"/>
      <c r="G531" s="3"/>
      <c r="H531" s="3"/>
      <c r="I531" s="3"/>
      <c r="J531" s="3"/>
      <c r="K531" s="3"/>
      <c r="L531" s="3"/>
      <c r="M531" s="3"/>
      <c r="N531" s="3"/>
      <c r="O531" s="3"/>
      <c r="P531" s="3"/>
      <c r="Q531" s="3"/>
      <c r="R531" s="3"/>
      <c r="S531" s="3"/>
      <c r="T531" s="3"/>
      <c r="U531" s="3"/>
      <c r="V531" s="3"/>
      <c r="W531" s="3"/>
      <c r="X531" s="3"/>
      <c r="Y531" s="3"/>
    </row>
    <row r="532">
      <c r="A532" s="7"/>
      <c r="B532" s="6"/>
      <c r="C532" s="6"/>
      <c r="D532" s="3"/>
      <c r="E532" s="3"/>
      <c r="F532" s="3"/>
      <c r="G532" s="3"/>
      <c r="H532" s="3"/>
      <c r="I532" s="3"/>
      <c r="J532" s="3"/>
      <c r="K532" s="3"/>
      <c r="L532" s="3"/>
      <c r="M532" s="3"/>
      <c r="N532" s="3"/>
      <c r="O532" s="3"/>
      <c r="P532" s="3"/>
      <c r="Q532" s="3"/>
      <c r="R532" s="3"/>
      <c r="S532" s="3"/>
      <c r="T532" s="3"/>
      <c r="U532" s="3"/>
      <c r="V532" s="3"/>
      <c r="W532" s="3"/>
      <c r="X532" s="3"/>
      <c r="Y532" s="3"/>
    </row>
    <row r="533">
      <c r="A533" s="7"/>
      <c r="B533" s="6"/>
      <c r="C533" s="6"/>
      <c r="D533" s="3"/>
      <c r="E533" s="3"/>
      <c r="F533" s="3"/>
      <c r="G533" s="3"/>
      <c r="H533" s="3"/>
      <c r="I533" s="3"/>
      <c r="J533" s="3"/>
      <c r="K533" s="3"/>
      <c r="L533" s="3"/>
      <c r="M533" s="3"/>
      <c r="N533" s="3"/>
      <c r="O533" s="3"/>
      <c r="P533" s="3"/>
      <c r="Q533" s="3"/>
      <c r="R533" s="3"/>
      <c r="S533" s="3"/>
      <c r="T533" s="3"/>
      <c r="U533" s="3"/>
      <c r="V533" s="3"/>
      <c r="W533" s="3"/>
      <c r="X533" s="3"/>
      <c r="Y533" s="3"/>
    </row>
    <row r="534">
      <c r="A534" s="7"/>
      <c r="B534" s="6"/>
      <c r="C534" s="6"/>
      <c r="D534" s="3"/>
      <c r="E534" s="3"/>
      <c r="F534" s="3"/>
      <c r="G534" s="3"/>
      <c r="H534" s="3"/>
      <c r="I534" s="3"/>
      <c r="J534" s="3"/>
      <c r="K534" s="3"/>
      <c r="L534" s="3"/>
      <c r="M534" s="3"/>
      <c r="N534" s="3"/>
      <c r="O534" s="3"/>
      <c r="P534" s="3"/>
      <c r="Q534" s="3"/>
      <c r="R534" s="3"/>
      <c r="S534" s="3"/>
      <c r="T534" s="3"/>
      <c r="U534" s="3"/>
      <c r="V534" s="3"/>
      <c r="W534" s="3"/>
      <c r="X534" s="3"/>
      <c r="Y534" s="3"/>
    </row>
    <row r="535">
      <c r="A535" s="7"/>
      <c r="B535" s="6"/>
      <c r="C535" s="6"/>
      <c r="D535" s="3"/>
      <c r="E535" s="3"/>
      <c r="F535" s="3"/>
      <c r="G535" s="3"/>
      <c r="H535" s="3"/>
      <c r="I535" s="3"/>
      <c r="J535" s="3"/>
      <c r="K535" s="3"/>
      <c r="L535" s="3"/>
      <c r="M535" s="3"/>
      <c r="N535" s="3"/>
      <c r="O535" s="3"/>
      <c r="P535" s="3"/>
      <c r="Q535" s="3"/>
      <c r="R535" s="3"/>
      <c r="S535" s="3"/>
      <c r="T535" s="3"/>
      <c r="U535" s="3"/>
      <c r="V535" s="3"/>
      <c r="W535" s="3"/>
      <c r="X535" s="3"/>
      <c r="Y535" s="3"/>
    </row>
    <row r="536">
      <c r="A536" s="7"/>
      <c r="B536" s="6"/>
      <c r="C536" s="6"/>
      <c r="D536" s="3"/>
      <c r="E536" s="3"/>
      <c r="F536" s="3"/>
      <c r="G536" s="3"/>
      <c r="H536" s="3"/>
      <c r="I536" s="3"/>
      <c r="J536" s="3"/>
      <c r="K536" s="3"/>
      <c r="L536" s="3"/>
      <c r="M536" s="3"/>
      <c r="N536" s="3"/>
      <c r="O536" s="3"/>
      <c r="P536" s="3"/>
      <c r="Q536" s="3"/>
      <c r="R536" s="3"/>
      <c r="S536" s="3"/>
      <c r="T536" s="3"/>
      <c r="U536" s="3"/>
      <c r="V536" s="3"/>
      <c r="W536" s="3"/>
      <c r="X536" s="3"/>
      <c r="Y536" s="3"/>
    </row>
    <row r="537">
      <c r="A537" s="7"/>
      <c r="B537" s="6"/>
      <c r="C537" s="6"/>
      <c r="D537" s="3"/>
      <c r="E537" s="3"/>
      <c r="F537" s="3"/>
      <c r="G537" s="3"/>
      <c r="H537" s="3"/>
      <c r="I537" s="3"/>
      <c r="J537" s="3"/>
      <c r="K537" s="3"/>
      <c r="L537" s="3"/>
      <c r="M537" s="3"/>
      <c r="N537" s="3"/>
      <c r="O537" s="3"/>
      <c r="P537" s="3"/>
      <c r="Q537" s="3"/>
      <c r="R537" s="3"/>
      <c r="S537" s="3"/>
      <c r="T537" s="3"/>
      <c r="U537" s="3"/>
      <c r="V537" s="3"/>
      <c r="W537" s="3"/>
      <c r="X537" s="3"/>
      <c r="Y537" s="3"/>
    </row>
    <row r="538">
      <c r="A538" s="7"/>
      <c r="B538" s="6"/>
      <c r="C538" s="6"/>
      <c r="D538" s="3"/>
      <c r="E538" s="3"/>
      <c r="F538" s="3"/>
      <c r="G538" s="3"/>
      <c r="H538" s="3"/>
      <c r="I538" s="3"/>
      <c r="J538" s="3"/>
      <c r="K538" s="3"/>
      <c r="L538" s="3"/>
      <c r="M538" s="3"/>
      <c r="N538" s="3"/>
      <c r="O538" s="3"/>
      <c r="P538" s="3"/>
      <c r="Q538" s="3"/>
      <c r="R538" s="3"/>
      <c r="S538" s="3"/>
      <c r="T538" s="3"/>
      <c r="U538" s="3"/>
      <c r="V538" s="3"/>
      <c r="W538" s="3"/>
      <c r="X538" s="3"/>
      <c r="Y538" s="3"/>
    </row>
    <row r="539">
      <c r="A539" s="7"/>
      <c r="B539" s="6"/>
      <c r="C539" s="6"/>
      <c r="D539" s="3"/>
      <c r="E539" s="3"/>
      <c r="F539" s="3"/>
      <c r="G539" s="3"/>
      <c r="H539" s="3"/>
      <c r="I539" s="3"/>
      <c r="J539" s="3"/>
      <c r="K539" s="3"/>
      <c r="L539" s="3"/>
      <c r="M539" s="3"/>
      <c r="N539" s="3"/>
      <c r="O539" s="3"/>
      <c r="P539" s="3"/>
      <c r="Q539" s="3"/>
      <c r="R539" s="3"/>
      <c r="S539" s="3"/>
      <c r="T539" s="3"/>
      <c r="U539" s="3"/>
      <c r="V539" s="3"/>
      <c r="W539" s="3"/>
      <c r="X539" s="3"/>
      <c r="Y539" s="3"/>
    </row>
    <row r="540">
      <c r="A540" s="7"/>
      <c r="B540" s="6"/>
      <c r="C540" s="6"/>
      <c r="D540" s="3"/>
      <c r="E540" s="3"/>
      <c r="F540" s="3"/>
      <c r="G540" s="3"/>
      <c r="H540" s="3"/>
      <c r="I540" s="3"/>
      <c r="J540" s="3"/>
      <c r="K540" s="3"/>
      <c r="L540" s="3"/>
      <c r="M540" s="3"/>
      <c r="N540" s="3"/>
      <c r="O540" s="3"/>
      <c r="P540" s="3"/>
      <c r="Q540" s="3"/>
      <c r="R540" s="3"/>
      <c r="S540" s="3"/>
      <c r="T540" s="3"/>
      <c r="U540" s="3"/>
      <c r="V540" s="3"/>
      <c r="W540" s="3"/>
      <c r="X540" s="3"/>
      <c r="Y540" s="3"/>
    </row>
    <row r="541">
      <c r="A541" s="7"/>
      <c r="B541" s="6"/>
      <c r="C541" s="6"/>
      <c r="D541" s="3"/>
      <c r="E541" s="3"/>
      <c r="F541" s="3"/>
      <c r="G541" s="3"/>
      <c r="H541" s="3"/>
      <c r="I541" s="3"/>
      <c r="J541" s="3"/>
      <c r="K541" s="3"/>
      <c r="L541" s="3"/>
      <c r="M541" s="3"/>
      <c r="N541" s="3"/>
      <c r="O541" s="3"/>
      <c r="P541" s="3"/>
      <c r="Q541" s="3"/>
      <c r="R541" s="3"/>
      <c r="S541" s="3"/>
      <c r="T541" s="3"/>
      <c r="U541" s="3"/>
      <c r="V541" s="3"/>
      <c r="W541" s="3"/>
      <c r="X541" s="3"/>
      <c r="Y541" s="3"/>
    </row>
    <row r="542">
      <c r="A542" s="7"/>
      <c r="B542" s="6"/>
      <c r="C542" s="6"/>
      <c r="D542" s="3"/>
      <c r="E542" s="3"/>
      <c r="F542" s="3"/>
      <c r="G542" s="3"/>
      <c r="H542" s="3"/>
      <c r="I542" s="3"/>
      <c r="J542" s="3"/>
      <c r="K542" s="3"/>
      <c r="L542" s="3"/>
      <c r="M542" s="3"/>
      <c r="N542" s="3"/>
      <c r="O542" s="3"/>
      <c r="P542" s="3"/>
      <c r="Q542" s="3"/>
      <c r="R542" s="3"/>
      <c r="S542" s="3"/>
      <c r="T542" s="3"/>
      <c r="U542" s="3"/>
      <c r="V542" s="3"/>
      <c r="W542" s="3"/>
      <c r="X542" s="3"/>
      <c r="Y542" s="3"/>
    </row>
    <row r="543">
      <c r="A543" s="7"/>
      <c r="B543" s="6"/>
      <c r="C543" s="6"/>
      <c r="D543" s="3"/>
      <c r="E543" s="3"/>
      <c r="F543" s="3"/>
      <c r="G543" s="3"/>
      <c r="H543" s="3"/>
      <c r="I543" s="3"/>
      <c r="J543" s="3"/>
      <c r="K543" s="3"/>
      <c r="L543" s="3"/>
      <c r="M543" s="3"/>
      <c r="N543" s="3"/>
      <c r="O543" s="3"/>
      <c r="P543" s="3"/>
      <c r="Q543" s="3"/>
      <c r="R543" s="3"/>
      <c r="S543" s="3"/>
      <c r="T543" s="3"/>
      <c r="U543" s="3"/>
      <c r="V543" s="3"/>
      <c r="W543" s="3"/>
      <c r="X543" s="3"/>
      <c r="Y543" s="3"/>
    </row>
    <row r="544">
      <c r="A544" s="7"/>
      <c r="B544" s="6"/>
      <c r="C544" s="6"/>
      <c r="D544" s="3"/>
      <c r="E544" s="3"/>
      <c r="F544" s="3"/>
      <c r="G544" s="3"/>
      <c r="H544" s="3"/>
      <c r="I544" s="3"/>
      <c r="J544" s="3"/>
      <c r="K544" s="3"/>
      <c r="L544" s="3"/>
      <c r="M544" s="3"/>
      <c r="N544" s="3"/>
      <c r="O544" s="3"/>
      <c r="P544" s="3"/>
      <c r="Q544" s="3"/>
      <c r="R544" s="3"/>
      <c r="S544" s="3"/>
      <c r="T544" s="3"/>
      <c r="U544" s="3"/>
      <c r="V544" s="3"/>
      <c r="W544" s="3"/>
      <c r="X544" s="3"/>
      <c r="Y544" s="3"/>
    </row>
    <row r="545">
      <c r="A545" s="7"/>
      <c r="B545" s="6"/>
      <c r="C545" s="6"/>
      <c r="D545" s="3"/>
      <c r="E545" s="3"/>
      <c r="F545" s="3"/>
      <c r="G545" s="3"/>
      <c r="H545" s="3"/>
      <c r="I545" s="3"/>
      <c r="J545" s="3"/>
      <c r="K545" s="3"/>
      <c r="L545" s="3"/>
      <c r="M545" s="3"/>
      <c r="N545" s="3"/>
      <c r="O545" s="3"/>
      <c r="P545" s="3"/>
      <c r="Q545" s="3"/>
      <c r="R545" s="3"/>
      <c r="S545" s="3"/>
      <c r="T545" s="3"/>
      <c r="U545" s="3"/>
      <c r="V545" s="3"/>
      <c r="W545" s="3"/>
      <c r="X545" s="3"/>
      <c r="Y545" s="3"/>
    </row>
    <row r="546">
      <c r="A546" s="7"/>
      <c r="B546" s="6"/>
      <c r="C546" s="6"/>
      <c r="D546" s="3"/>
      <c r="E546" s="3"/>
      <c r="F546" s="3"/>
      <c r="G546" s="3"/>
      <c r="H546" s="3"/>
      <c r="I546" s="3"/>
      <c r="J546" s="3"/>
      <c r="K546" s="3"/>
      <c r="L546" s="3"/>
      <c r="M546" s="3"/>
      <c r="N546" s="3"/>
      <c r="O546" s="3"/>
      <c r="P546" s="3"/>
      <c r="Q546" s="3"/>
      <c r="R546" s="3"/>
      <c r="S546" s="3"/>
      <c r="T546" s="3"/>
      <c r="U546" s="3"/>
      <c r="V546" s="3"/>
      <c r="W546" s="3"/>
      <c r="X546" s="3"/>
      <c r="Y546" s="3"/>
    </row>
    <row r="547">
      <c r="A547" s="7"/>
      <c r="B547" s="6"/>
      <c r="C547" s="6"/>
      <c r="D547" s="3"/>
      <c r="E547" s="3"/>
      <c r="F547" s="3"/>
      <c r="G547" s="3"/>
      <c r="H547" s="3"/>
      <c r="I547" s="3"/>
      <c r="J547" s="3"/>
      <c r="K547" s="3"/>
      <c r="L547" s="3"/>
      <c r="M547" s="3"/>
      <c r="N547" s="3"/>
      <c r="O547" s="3"/>
      <c r="P547" s="3"/>
      <c r="Q547" s="3"/>
      <c r="R547" s="3"/>
      <c r="S547" s="3"/>
      <c r="T547" s="3"/>
      <c r="U547" s="3"/>
      <c r="V547" s="3"/>
      <c r="W547" s="3"/>
      <c r="X547" s="3"/>
      <c r="Y547" s="3"/>
    </row>
    <row r="548">
      <c r="A548" s="7"/>
      <c r="B548" s="6"/>
      <c r="C548" s="6"/>
      <c r="D548" s="3"/>
      <c r="E548" s="3"/>
      <c r="F548" s="3"/>
      <c r="G548" s="3"/>
      <c r="H548" s="3"/>
      <c r="I548" s="3"/>
      <c r="J548" s="3"/>
      <c r="K548" s="3"/>
      <c r="L548" s="3"/>
      <c r="M548" s="3"/>
      <c r="N548" s="3"/>
      <c r="O548" s="3"/>
      <c r="P548" s="3"/>
      <c r="Q548" s="3"/>
      <c r="R548" s="3"/>
      <c r="S548" s="3"/>
      <c r="T548" s="3"/>
      <c r="U548" s="3"/>
      <c r="V548" s="3"/>
      <c r="W548" s="3"/>
      <c r="X548" s="3"/>
      <c r="Y548" s="3"/>
    </row>
    <row r="549">
      <c r="A549" s="7"/>
      <c r="B549" s="6"/>
      <c r="C549" s="6"/>
      <c r="D549" s="3"/>
      <c r="E549" s="3"/>
      <c r="F549" s="3"/>
      <c r="G549" s="3"/>
      <c r="H549" s="3"/>
      <c r="I549" s="3"/>
      <c r="J549" s="3"/>
      <c r="K549" s="3"/>
      <c r="L549" s="3"/>
      <c r="M549" s="3"/>
      <c r="N549" s="3"/>
      <c r="O549" s="3"/>
      <c r="P549" s="3"/>
      <c r="Q549" s="3"/>
      <c r="R549" s="3"/>
      <c r="S549" s="3"/>
      <c r="T549" s="3"/>
      <c r="U549" s="3"/>
      <c r="V549" s="3"/>
      <c r="W549" s="3"/>
      <c r="X549" s="3"/>
      <c r="Y549" s="3"/>
    </row>
    <row r="550">
      <c r="A550" s="7"/>
      <c r="B550" s="6"/>
      <c r="C550" s="6"/>
      <c r="D550" s="3"/>
      <c r="E550" s="3"/>
      <c r="F550" s="3"/>
      <c r="G550" s="3"/>
      <c r="H550" s="3"/>
      <c r="I550" s="3"/>
      <c r="J550" s="3"/>
      <c r="K550" s="3"/>
      <c r="L550" s="3"/>
      <c r="M550" s="3"/>
      <c r="N550" s="3"/>
      <c r="O550" s="3"/>
      <c r="P550" s="3"/>
      <c r="Q550" s="3"/>
      <c r="R550" s="3"/>
      <c r="S550" s="3"/>
      <c r="T550" s="3"/>
      <c r="U550" s="3"/>
      <c r="V550" s="3"/>
      <c r="W550" s="3"/>
      <c r="X550" s="3"/>
      <c r="Y550" s="3"/>
    </row>
    <row r="551">
      <c r="A551" s="7"/>
      <c r="B551" s="6"/>
      <c r="C551" s="6"/>
      <c r="D551" s="3"/>
      <c r="E551" s="3"/>
      <c r="F551" s="3"/>
      <c r="G551" s="3"/>
      <c r="H551" s="3"/>
      <c r="I551" s="3"/>
      <c r="J551" s="3"/>
      <c r="K551" s="3"/>
      <c r="L551" s="3"/>
      <c r="M551" s="3"/>
      <c r="N551" s="3"/>
      <c r="O551" s="3"/>
      <c r="P551" s="3"/>
      <c r="Q551" s="3"/>
      <c r="R551" s="3"/>
      <c r="S551" s="3"/>
      <c r="T551" s="3"/>
      <c r="U551" s="3"/>
      <c r="V551" s="3"/>
      <c r="W551" s="3"/>
      <c r="X551" s="3"/>
      <c r="Y551" s="3"/>
    </row>
    <row r="552">
      <c r="A552" s="7"/>
      <c r="B552" s="6"/>
      <c r="C552" s="6"/>
      <c r="D552" s="3"/>
      <c r="E552" s="3"/>
      <c r="F552" s="3"/>
      <c r="G552" s="3"/>
      <c r="H552" s="3"/>
      <c r="I552" s="3"/>
      <c r="J552" s="3"/>
      <c r="K552" s="3"/>
      <c r="L552" s="3"/>
      <c r="M552" s="3"/>
      <c r="N552" s="3"/>
      <c r="O552" s="3"/>
      <c r="P552" s="3"/>
      <c r="Q552" s="3"/>
      <c r="R552" s="3"/>
      <c r="S552" s="3"/>
      <c r="T552" s="3"/>
      <c r="U552" s="3"/>
      <c r="V552" s="3"/>
      <c r="W552" s="3"/>
      <c r="X552" s="3"/>
      <c r="Y552" s="3"/>
    </row>
    <row r="553">
      <c r="A553" s="7"/>
      <c r="B553" s="6"/>
      <c r="C553" s="6"/>
      <c r="D553" s="3"/>
      <c r="E553" s="3"/>
      <c r="F553" s="3"/>
      <c r="G553" s="3"/>
      <c r="H553" s="3"/>
      <c r="I553" s="3"/>
      <c r="J553" s="3"/>
      <c r="K553" s="3"/>
      <c r="L553" s="3"/>
      <c r="M553" s="3"/>
      <c r="N553" s="3"/>
      <c r="O553" s="3"/>
      <c r="P553" s="3"/>
      <c r="Q553" s="3"/>
      <c r="R553" s="3"/>
      <c r="S553" s="3"/>
      <c r="T553" s="3"/>
      <c r="U553" s="3"/>
      <c r="V553" s="3"/>
      <c r="W553" s="3"/>
      <c r="X553" s="3"/>
      <c r="Y553" s="3"/>
    </row>
    <row r="554">
      <c r="A554" s="7"/>
      <c r="B554" s="6"/>
      <c r="C554" s="6"/>
      <c r="D554" s="3"/>
      <c r="E554" s="3"/>
      <c r="F554" s="3"/>
      <c r="G554" s="3"/>
      <c r="H554" s="3"/>
      <c r="I554" s="3"/>
      <c r="J554" s="3"/>
      <c r="K554" s="3"/>
      <c r="L554" s="3"/>
      <c r="M554" s="3"/>
      <c r="N554" s="3"/>
      <c r="O554" s="3"/>
      <c r="P554" s="3"/>
      <c r="Q554" s="3"/>
      <c r="R554" s="3"/>
      <c r="S554" s="3"/>
      <c r="T554" s="3"/>
      <c r="U554" s="3"/>
      <c r="V554" s="3"/>
      <c r="W554" s="3"/>
      <c r="X554" s="3"/>
      <c r="Y554" s="3"/>
    </row>
    <row r="555">
      <c r="A555" s="7"/>
      <c r="B555" s="6"/>
      <c r="C555" s="6"/>
      <c r="D555" s="3"/>
      <c r="E555" s="3"/>
      <c r="F555" s="3"/>
      <c r="G555" s="3"/>
      <c r="H555" s="3"/>
      <c r="I555" s="3"/>
      <c r="J555" s="3"/>
      <c r="K555" s="3"/>
      <c r="L555" s="3"/>
      <c r="M555" s="3"/>
      <c r="N555" s="3"/>
      <c r="O555" s="3"/>
      <c r="P555" s="3"/>
      <c r="Q555" s="3"/>
      <c r="R555" s="3"/>
      <c r="S555" s="3"/>
      <c r="T555" s="3"/>
      <c r="U555" s="3"/>
      <c r="V555" s="3"/>
      <c r="W555" s="3"/>
      <c r="X555" s="3"/>
      <c r="Y555" s="3"/>
    </row>
    <row r="556">
      <c r="A556" s="7"/>
      <c r="B556" s="6"/>
      <c r="C556" s="6"/>
      <c r="D556" s="3"/>
      <c r="E556" s="3"/>
      <c r="F556" s="3"/>
      <c r="G556" s="3"/>
      <c r="H556" s="3"/>
      <c r="I556" s="3"/>
      <c r="J556" s="3"/>
      <c r="K556" s="3"/>
      <c r="L556" s="3"/>
      <c r="M556" s="3"/>
      <c r="N556" s="3"/>
      <c r="O556" s="3"/>
      <c r="P556" s="3"/>
      <c r="Q556" s="3"/>
      <c r="R556" s="3"/>
      <c r="S556" s="3"/>
      <c r="T556" s="3"/>
      <c r="U556" s="3"/>
      <c r="V556" s="3"/>
      <c r="W556" s="3"/>
      <c r="X556" s="3"/>
      <c r="Y556" s="3"/>
    </row>
    <row r="557">
      <c r="A557" s="7"/>
      <c r="B557" s="6"/>
      <c r="C557" s="6"/>
      <c r="D557" s="3"/>
      <c r="E557" s="3"/>
      <c r="F557" s="3"/>
      <c r="G557" s="3"/>
      <c r="H557" s="3"/>
      <c r="I557" s="3"/>
      <c r="J557" s="3"/>
      <c r="K557" s="3"/>
      <c r="L557" s="3"/>
      <c r="M557" s="3"/>
      <c r="N557" s="3"/>
      <c r="O557" s="3"/>
      <c r="P557" s="3"/>
      <c r="Q557" s="3"/>
      <c r="R557" s="3"/>
      <c r="S557" s="3"/>
      <c r="T557" s="3"/>
      <c r="U557" s="3"/>
      <c r="V557" s="3"/>
      <c r="W557" s="3"/>
      <c r="X557" s="3"/>
      <c r="Y557" s="3"/>
    </row>
    <row r="558">
      <c r="A558" s="7"/>
      <c r="B558" s="6"/>
      <c r="C558" s="6"/>
      <c r="D558" s="3"/>
      <c r="E558" s="3"/>
      <c r="F558" s="3"/>
      <c r="G558" s="3"/>
      <c r="H558" s="3"/>
      <c r="I558" s="3"/>
      <c r="J558" s="3"/>
      <c r="K558" s="3"/>
      <c r="L558" s="3"/>
      <c r="M558" s="3"/>
      <c r="N558" s="3"/>
      <c r="O558" s="3"/>
      <c r="P558" s="3"/>
      <c r="Q558" s="3"/>
      <c r="R558" s="3"/>
      <c r="S558" s="3"/>
      <c r="T558" s="3"/>
      <c r="U558" s="3"/>
      <c r="V558" s="3"/>
      <c r="W558" s="3"/>
      <c r="X558" s="3"/>
      <c r="Y558" s="3"/>
    </row>
    <row r="559">
      <c r="A559" s="7"/>
      <c r="B559" s="6"/>
      <c r="C559" s="6"/>
      <c r="D559" s="3"/>
      <c r="E559" s="3"/>
      <c r="F559" s="3"/>
      <c r="G559" s="3"/>
      <c r="H559" s="3"/>
      <c r="I559" s="3"/>
      <c r="J559" s="3"/>
      <c r="K559" s="3"/>
      <c r="L559" s="3"/>
      <c r="M559" s="3"/>
      <c r="N559" s="3"/>
      <c r="O559" s="3"/>
      <c r="P559" s="3"/>
      <c r="Q559" s="3"/>
      <c r="R559" s="3"/>
      <c r="S559" s="3"/>
      <c r="T559" s="3"/>
      <c r="U559" s="3"/>
      <c r="V559" s="3"/>
      <c r="W559" s="3"/>
      <c r="X559" s="3"/>
      <c r="Y559" s="3"/>
    </row>
    <row r="560">
      <c r="A560" s="7"/>
      <c r="B560" s="6"/>
      <c r="C560" s="6"/>
      <c r="D560" s="3"/>
      <c r="E560" s="3"/>
      <c r="F560" s="3"/>
      <c r="G560" s="3"/>
      <c r="H560" s="3"/>
      <c r="I560" s="3"/>
      <c r="J560" s="3"/>
      <c r="K560" s="3"/>
      <c r="L560" s="3"/>
      <c r="M560" s="3"/>
      <c r="N560" s="3"/>
      <c r="O560" s="3"/>
      <c r="P560" s="3"/>
      <c r="Q560" s="3"/>
      <c r="R560" s="3"/>
      <c r="S560" s="3"/>
      <c r="T560" s="3"/>
      <c r="U560" s="3"/>
      <c r="V560" s="3"/>
      <c r="W560" s="3"/>
      <c r="X560" s="3"/>
      <c r="Y560" s="3"/>
    </row>
    <row r="561">
      <c r="A561" s="7"/>
      <c r="B561" s="6"/>
      <c r="C561" s="6"/>
      <c r="D561" s="3"/>
      <c r="E561" s="3"/>
      <c r="F561" s="3"/>
      <c r="G561" s="3"/>
      <c r="H561" s="3"/>
      <c r="I561" s="3"/>
      <c r="J561" s="3"/>
      <c r="K561" s="3"/>
      <c r="L561" s="3"/>
      <c r="M561" s="3"/>
      <c r="N561" s="3"/>
      <c r="O561" s="3"/>
      <c r="P561" s="3"/>
      <c r="Q561" s="3"/>
      <c r="R561" s="3"/>
      <c r="S561" s="3"/>
      <c r="T561" s="3"/>
      <c r="U561" s="3"/>
      <c r="V561" s="3"/>
      <c r="W561" s="3"/>
      <c r="X561" s="3"/>
      <c r="Y561" s="3"/>
    </row>
    <row r="562">
      <c r="A562" s="7"/>
      <c r="B562" s="6"/>
      <c r="C562" s="6"/>
      <c r="D562" s="3"/>
      <c r="E562" s="3"/>
      <c r="F562" s="3"/>
      <c r="G562" s="3"/>
      <c r="H562" s="3"/>
      <c r="I562" s="3"/>
      <c r="J562" s="3"/>
      <c r="K562" s="3"/>
      <c r="L562" s="3"/>
      <c r="M562" s="3"/>
      <c r="N562" s="3"/>
      <c r="O562" s="3"/>
      <c r="P562" s="3"/>
      <c r="Q562" s="3"/>
      <c r="R562" s="3"/>
      <c r="S562" s="3"/>
      <c r="T562" s="3"/>
      <c r="U562" s="3"/>
      <c r="V562" s="3"/>
      <c r="W562" s="3"/>
      <c r="X562" s="3"/>
      <c r="Y562" s="3"/>
    </row>
    <row r="563">
      <c r="A563" s="7"/>
      <c r="B563" s="6"/>
      <c r="C563" s="6"/>
      <c r="D563" s="3"/>
      <c r="E563" s="3"/>
      <c r="F563" s="3"/>
      <c r="G563" s="3"/>
      <c r="H563" s="3"/>
      <c r="I563" s="3"/>
      <c r="J563" s="3"/>
      <c r="K563" s="3"/>
      <c r="L563" s="3"/>
      <c r="M563" s="3"/>
      <c r="N563" s="3"/>
      <c r="O563" s="3"/>
      <c r="P563" s="3"/>
      <c r="Q563" s="3"/>
      <c r="R563" s="3"/>
      <c r="S563" s="3"/>
      <c r="T563" s="3"/>
      <c r="U563" s="3"/>
      <c r="V563" s="3"/>
      <c r="W563" s="3"/>
      <c r="X563" s="3"/>
      <c r="Y563" s="3"/>
    </row>
    <row r="564">
      <c r="A564" s="7"/>
      <c r="B564" s="6"/>
      <c r="C564" s="6"/>
      <c r="D564" s="3"/>
      <c r="E564" s="3"/>
      <c r="F564" s="3"/>
      <c r="G564" s="3"/>
      <c r="H564" s="3"/>
      <c r="I564" s="3"/>
      <c r="J564" s="3"/>
      <c r="K564" s="3"/>
      <c r="L564" s="3"/>
      <c r="M564" s="3"/>
      <c r="N564" s="3"/>
      <c r="O564" s="3"/>
      <c r="P564" s="3"/>
      <c r="Q564" s="3"/>
      <c r="R564" s="3"/>
      <c r="S564" s="3"/>
      <c r="T564" s="3"/>
      <c r="U564" s="3"/>
      <c r="V564" s="3"/>
      <c r="W564" s="3"/>
      <c r="X564" s="3"/>
      <c r="Y564" s="3"/>
    </row>
    <row r="565">
      <c r="A565" s="7"/>
      <c r="B565" s="6"/>
      <c r="C565" s="6"/>
      <c r="D565" s="3"/>
      <c r="E565" s="3"/>
      <c r="F565" s="3"/>
      <c r="G565" s="3"/>
      <c r="H565" s="3"/>
      <c r="I565" s="3"/>
      <c r="J565" s="3"/>
      <c r="K565" s="3"/>
      <c r="L565" s="3"/>
      <c r="M565" s="3"/>
      <c r="N565" s="3"/>
      <c r="O565" s="3"/>
      <c r="P565" s="3"/>
      <c r="Q565" s="3"/>
      <c r="R565" s="3"/>
      <c r="S565" s="3"/>
      <c r="T565" s="3"/>
      <c r="U565" s="3"/>
      <c r="V565" s="3"/>
      <c r="W565" s="3"/>
      <c r="X565" s="3"/>
      <c r="Y565" s="3"/>
    </row>
    <row r="566">
      <c r="A566" s="7"/>
      <c r="B566" s="6"/>
      <c r="C566" s="6"/>
      <c r="D566" s="3"/>
      <c r="E566" s="3"/>
      <c r="F566" s="3"/>
      <c r="G566" s="3"/>
      <c r="H566" s="3"/>
      <c r="I566" s="3"/>
      <c r="J566" s="3"/>
      <c r="K566" s="3"/>
      <c r="L566" s="3"/>
      <c r="M566" s="3"/>
      <c r="N566" s="3"/>
      <c r="O566" s="3"/>
      <c r="P566" s="3"/>
      <c r="Q566" s="3"/>
      <c r="R566" s="3"/>
      <c r="S566" s="3"/>
      <c r="T566" s="3"/>
      <c r="U566" s="3"/>
      <c r="V566" s="3"/>
      <c r="W566" s="3"/>
      <c r="X566" s="3"/>
      <c r="Y566" s="3"/>
    </row>
    <row r="567">
      <c r="A567" s="7"/>
      <c r="B567" s="6"/>
      <c r="C567" s="6"/>
      <c r="D567" s="3"/>
      <c r="E567" s="3"/>
      <c r="F567" s="3"/>
      <c r="G567" s="3"/>
      <c r="H567" s="3"/>
      <c r="I567" s="3"/>
      <c r="J567" s="3"/>
      <c r="K567" s="3"/>
      <c r="L567" s="3"/>
      <c r="M567" s="3"/>
      <c r="N567" s="3"/>
      <c r="O567" s="3"/>
      <c r="P567" s="3"/>
      <c r="Q567" s="3"/>
      <c r="R567" s="3"/>
      <c r="S567" s="3"/>
      <c r="T567" s="3"/>
      <c r="U567" s="3"/>
      <c r="V567" s="3"/>
      <c r="W567" s="3"/>
      <c r="X567" s="3"/>
      <c r="Y567" s="3"/>
    </row>
    <row r="568">
      <c r="A568" s="7"/>
      <c r="B568" s="6"/>
      <c r="C568" s="6"/>
      <c r="D568" s="3"/>
      <c r="E568" s="3"/>
      <c r="F568" s="3"/>
      <c r="G568" s="3"/>
      <c r="H568" s="3"/>
      <c r="I568" s="3"/>
      <c r="J568" s="3"/>
      <c r="K568" s="3"/>
      <c r="L568" s="3"/>
      <c r="M568" s="3"/>
      <c r="N568" s="3"/>
      <c r="O568" s="3"/>
      <c r="P568" s="3"/>
      <c r="Q568" s="3"/>
      <c r="R568" s="3"/>
      <c r="S568" s="3"/>
      <c r="T568" s="3"/>
      <c r="U568" s="3"/>
      <c r="V568" s="3"/>
      <c r="W568" s="3"/>
      <c r="X568" s="3"/>
      <c r="Y568" s="3"/>
    </row>
    <row r="569">
      <c r="A569" s="7"/>
      <c r="B569" s="6"/>
      <c r="C569" s="6"/>
      <c r="D569" s="3"/>
      <c r="E569" s="3"/>
      <c r="F569" s="3"/>
      <c r="G569" s="3"/>
      <c r="H569" s="3"/>
      <c r="I569" s="3"/>
      <c r="J569" s="3"/>
      <c r="K569" s="3"/>
      <c r="L569" s="3"/>
      <c r="M569" s="3"/>
      <c r="N569" s="3"/>
      <c r="O569" s="3"/>
      <c r="P569" s="3"/>
      <c r="Q569" s="3"/>
      <c r="R569" s="3"/>
      <c r="S569" s="3"/>
      <c r="T569" s="3"/>
      <c r="U569" s="3"/>
      <c r="V569" s="3"/>
      <c r="W569" s="3"/>
      <c r="X569" s="3"/>
      <c r="Y569" s="3"/>
    </row>
    <row r="570">
      <c r="A570" s="7"/>
      <c r="B570" s="6"/>
      <c r="C570" s="6"/>
      <c r="D570" s="3"/>
      <c r="E570" s="3"/>
      <c r="F570" s="3"/>
      <c r="G570" s="3"/>
      <c r="H570" s="3"/>
      <c r="I570" s="3"/>
      <c r="J570" s="3"/>
      <c r="K570" s="3"/>
      <c r="L570" s="3"/>
      <c r="M570" s="3"/>
      <c r="N570" s="3"/>
      <c r="O570" s="3"/>
      <c r="P570" s="3"/>
      <c r="Q570" s="3"/>
      <c r="R570" s="3"/>
      <c r="S570" s="3"/>
      <c r="T570" s="3"/>
      <c r="U570" s="3"/>
      <c r="V570" s="3"/>
      <c r="W570" s="3"/>
      <c r="X570" s="3"/>
      <c r="Y570" s="3"/>
    </row>
    <row r="571">
      <c r="A571" s="7"/>
      <c r="B571" s="6"/>
      <c r="C571" s="6"/>
      <c r="D571" s="3"/>
      <c r="E571" s="3"/>
      <c r="F571" s="3"/>
      <c r="G571" s="3"/>
      <c r="H571" s="3"/>
      <c r="I571" s="3"/>
      <c r="J571" s="3"/>
      <c r="K571" s="3"/>
      <c r="L571" s="3"/>
      <c r="M571" s="3"/>
      <c r="N571" s="3"/>
      <c r="O571" s="3"/>
      <c r="P571" s="3"/>
      <c r="Q571" s="3"/>
      <c r="R571" s="3"/>
      <c r="S571" s="3"/>
      <c r="T571" s="3"/>
      <c r="U571" s="3"/>
      <c r="V571" s="3"/>
      <c r="W571" s="3"/>
      <c r="X571" s="3"/>
      <c r="Y571" s="3"/>
    </row>
    <row r="572">
      <c r="A572" s="7"/>
      <c r="B572" s="6"/>
      <c r="C572" s="6"/>
      <c r="D572" s="3"/>
      <c r="E572" s="3"/>
      <c r="F572" s="3"/>
      <c r="G572" s="3"/>
      <c r="H572" s="3"/>
      <c r="I572" s="3"/>
      <c r="J572" s="3"/>
      <c r="K572" s="3"/>
      <c r="L572" s="3"/>
      <c r="M572" s="3"/>
      <c r="N572" s="3"/>
      <c r="O572" s="3"/>
      <c r="P572" s="3"/>
      <c r="Q572" s="3"/>
      <c r="R572" s="3"/>
      <c r="S572" s="3"/>
      <c r="T572" s="3"/>
      <c r="U572" s="3"/>
      <c r="V572" s="3"/>
      <c r="W572" s="3"/>
      <c r="X572" s="3"/>
      <c r="Y572" s="3"/>
    </row>
    <row r="573">
      <c r="A573" s="7"/>
      <c r="B573" s="6"/>
      <c r="C573" s="6"/>
      <c r="D573" s="3"/>
      <c r="E573" s="3"/>
      <c r="F573" s="3"/>
      <c r="G573" s="3"/>
      <c r="H573" s="3"/>
      <c r="I573" s="3"/>
      <c r="J573" s="3"/>
      <c r="K573" s="3"/>
      <c r="L573" s="3"/>
      <c r="M573" s="3"/>
      <c r="N573" s="3"/>
      <c r="O573" s="3"/>
      <c r="P573" s="3"/>
      <c r="Q573" s="3"/>
      <c r="R573" s="3"/>
      <c r="S573" s="3"/>
      <c r="T573" s="3"/>
      <c r="U573" s="3"/>
      <c r="V573" s="3"/>
      <c r="W573" s="3"/>
      <c r="X573" s="3"/>
      <c r="Y573" s="3"/>
    </row>
    <row r="574">
      <c r="A574" s="7"/>
      <c r="B574" s="6"/>
      <c r="C574" s="6"/>
      <c r="D574" s="3"/>
      <c r="E574" s="3"/>
      <c r="F574" s="3"/>
      <c r="G574" s="3"/>
      <c r="H574" s="3"/>
      <c r="I574" s="3"/>
      <c r="J574" s="3"/>
      <c r="K574" s="3"/>
      <c r="L574" s="3"/>
      <c r="M574" s="3"/>
      <c r="N574" s="3"/>
      <c r="O574" s="3"/>
      <c r="P574" s="3"/>
      <c r="Q574" s="3"/>
      <c r="R574" s="3"/>
      <c r="S574" s="3"/>
      <c r="T574" s="3"/>
      <c r="U574" s="3"/>
      <c r="V574" s="3"/>
      <c r="W574" s="3"/>
      <c r="X574" s="3"/>
      <c r="Y574" s="3"/>
    </row>
    <row r="575">
      <c r="A575" s="7"/>
      <c r="B575" s="6"/>
      <c r="C575" s="6"/>
      <c r="D575" s="3"/>
      <c r="E575" s="3"/>
      <c r="F575" s="3"/>
      <c r="G575" s="3"/>
      <c r="H575" s="3"/>
      <c r="I575" s="3"/>
      <c r="J575" s="3"/>
      <c r="K575" s="3"/>
      <c r="L575" s="3"/>
      <c r="M575" s="3"/>
      <c r="N575" s="3"/>
      <c r="O575" s="3"/>
      <c r="P575" s="3"/>
      <c r="Q575" s="3"/>
      <c r="R575" s="3"/>
      <c r="S575" s="3"/>
      <c r="T575" s="3"/>
      <c r="U575" s="3"/>
      <c r="V575" s="3"/>
      <c r="W575" s="3"/>
      <c r="X575" s="3"/>
      <c r="Y575" s="3"/>
    </row>
    <row r="576">
      <c r="A576" s="7"/>
      <c r="B576" s="6"/>
      <c r="C576" s="6"/>
      <c r="D576" s="3"/>
      <c r="E576" s="3"/>
      <c r="F576" s="3"/>
      <c r="G576" s="3"/>
      <c r="H576" s="3"/>
      <c r="I576" s="3"/>
      <c r="J576" s="3"/>
      <c r="K576" s="3"/>
      <c r="L576" s="3"/>
      <c r="M576" s="3"/>
      <c r="N576" s="3"/>
      <c r="O576" s="3"/>
      <c r="P576" s="3"/>
      <c r="Q576" s="3"/>
      <c r="R576" s="3"/>
      <c r="S576" s="3"/>
      <c r="T576" s="3"/>
      <c r="U576" s="3"/>
      <c r="V576" s="3"/>
      <c r="W576" s="3"/>
      <c r="X576" s="3"/>
      <c r="Y576" s="3"/>
    </row>
    <row r="577">
      <c r="A577" s="7"/>
      <c r="B577" s="6"/>
      <c r="C577" s="6"/>
      <c r="D577" s="3"/>
      <c r="E577" s="3"/>
      <c r="F577" s="3"/>
      <c r="G577" s="3"/>
      <c r="H577" s="3"/>
      <c r="I577" s="3"/>
      <c r="J577" s="3"/>
      <c r="K577" s="3"/>
      <c r="L577" s="3"/>
      <c r="M577" s="3"/>
      <c r="N577" s="3"/>
      <c r="O577" s="3"/>
      <c r="P577" s="3"/>
      <c r="Q577" s="3"/>
      <c r="R577" s="3"/>
      <c r="S577" s="3"/>
      <c r="T577" s="3"/>
      <c r="U577" s="3"/>
      <c r="V577" s="3"/>
      <c r="W577" s="3"/>
      <c r="X577" s="3"/>
      <c r="Y577" s="3"/>
    </row>
    <row r="578">
      <c r="A578" s="7"/>
      <c r="B578" s="6"/>
      <c r="C578" s="6"/>
      <c r="D578" s="3"/>
      <c r="E578" s="3"/>
      <c r="F578" s="3"/>
      <c r="G578" s="3"/>
      <c r="H578" s="3"/>
      <c r="I578" s="3"/>
      <c r="J578" s="3"/>
      <c r="K578" s="3"/>
      <c r="L578" s="3"/>
      <c r="M578" s="3"/>
      <c r="N578" s="3"/>
      <c r="O578" s="3"/>
      <c r="P578" s="3"/>
      <c r="Q578" s="3"/>
      <c r="R578" s="3"/>
      <c r="S578" s="3"/>
      <c r="T578" s="3"/>
      <c r="U578" s="3"/>
      <c r="V578" s="3"/>
      <c r="W578" s="3"/>
      <c r="X578" s="3"/>
      <c r="Y578" s="3"/>
    </row>
    <row r="579">
      <c r="A579" s="7"/>
      <c r="B579" s="6"/>
      <c r="C579" s="6"/>
      <c r="D579" s="3"/>
      <c r="E579" s="3"/>
      <c r="F579" s="3"/>
      <c r="G579" s="3"/>
      <c r="H579" s="3"/>
      <c r="I579" s="3"/>
      <c r="J579" s="3"/>
      <c r="K579" s="3"/>
      <c r="L579" s="3"/>
      <c r="M579" s="3"/>
      <c r="N579" s="3"/>
      <c r="O579" s="3"/>
      <c r="P579" s="3"/>
      <c r="Q579" s="3"/>
      <c r="R579" s="3"/>
      <c r="S579" s="3"/>
      <c r="T579" s="3"/>
      <c r="U579" s="3"/>
      <c r="V579" s="3"/>
      <c r="W579" s="3"/>
      <c r="X579" s="3"/>
      <c r="Y579" s="3"/>
    </row>
    <row r="580">
      <c r="A580" s="7"/>
      <c r="B580" s="6"/>
      <c r="C580" s="6"/>
      <c r="D580" s="3"/>
      <c r="E580" s="3"/>
      <c r="F580" s="3"/>
      <c r="G580" s="3"/>
      <c r="H580" s="3"/>
      <c r="I580" s="3"/>
      <c r="J580" s="3"/>
      <c r="K580" s="3"/>
      <c r="L580" s="3"/>
      <c r="M580" s="3"/>
      <c r="N580" s="3"/>
      <c r="O580" s="3"/>
      <c r="P580" s="3"/>
      <c r="Q580" s="3"/>
      <c r="R580" s="3"/>
      <c r="S580" s="3"/>
      <c r="T580" s="3"/>
      <c r="U580" s="3"/>
      <c r="V580" s="3"/>
      <c r="W580" s="3"/>
      <c r="X580" s="3"/>
      <c r="Y580" s="3"/>
    </row>
    <row r="581">
      <c r="A581" s="7"/>
      <c r="B581" s="6"/>
      <c r="C581" s="6"/>
      <c r="D581" s="3"/>
      <c r="E581" s="3"/>
      <c r="F581" s="3"/>
      <c r="G581" s="3"/>
      <c r="H581" s="3"/>
      <c r="I581" s="3"/>
      <c r="J581" s="3"/>
      <c r="K581" s="3"/>
      <c r="L581" s="3"/>
      <c r="M581" s="3"/>
      <c r="N581" s="3"/>
      <c r="O581" s="3"/>
      <c r="P581" s="3"/>
      <c r="Q581" s="3"/>
      <c r="R581" s="3"/>
      <c r="S581" s="3"/>
      <c r="T581" s="3"/>
      <c r="U581" s="3"/>
      <c r="V581" s="3"/>
      <c r="W581" s="3"/>
      <c r="X581" s="3"/>
      <c r="Y581" s="3"/>
    </row>
    <row r="582">
      <c r="A582" s="7"/>
      <c r="B582" s="6"/>
      <c r="C582" s="6"/>
      <c r="D582" s="3"/>
      <c r="E582" s="3"/>
      <c r="F582" s="3"/>
      <c r="G582" s="3"/>
      <c r="H582" s="3"/>
      <c r="I582" s="3"/>
      <c r="J582" s="3"/>
      <c r="K582" s="3"/>
      <c r="L582" s="3"/>
      <c r="M582" s="3"/>
      <c r="N582" s="3"/>
      <c r="O582" s="3"/>
      <c r="P582" s="3"/>
      <c r="Q582" s="3"/>
      <c r="R582" s="3"/>
      <c r="S582" s="3"/>
      <c r="T582" s="3"/>
      <c r="U582" s="3"/>
      <c r="V582" s="3"/>
      <c r="W582" s="3"/>
      <c r="X582" s="3"/>
      <c r="Y582" s="3"/>
    </row>
    <row r="583">
      <c r="A583" s="7"/>
      <c r="B583" s="6"/>
      <c r="C583" s="6"/>
      <c r="D583" s="3"/>
      <c r="E583" s="3"/>
      <c r="F583" s="3"/>
      <c r="G583" s="3"/>
      <c r="H583" s="3"/>
      <c r="I583" s="3"/>
      <c r="J583" s="3"/>
      <c r="K583" s="3"/>
      <c r="L583" s="3"/>
      <c r="M583" s="3"/>
      <c r="N583" s="3"/>
      <c r="O583" s="3"/>
      <c r="P583" s="3"/>
      <c r="Q583" s="3"/>
      <c r="R583" s="3"/>
      <c r="S583" s="3"/>
      <c r="T583" s="3"/>
      <c r="U583" s="3"/>
      <c r="V583" s="3"/>
      <c r="W583" s="3"/>
      <c r="X583" s="3"/>
      <c r="Y583" s="3"/>
    </row>
    <row r="584">
      <c r="A584" s="7"/>
      <c r="B584" s="6"/>
      <c r="C584" s="6"/>
      <c r="D584" s="3"/>
      <c r="E584" s="3"/>
      <c r="F584" s="3"/>
      <c r="G584" s="3"/>
      <c r="H584" s="3"/>
      <c r="I584" s="3"/>
      <c r="J584" s="3"/>
      <c r="K584" s="3"/>
      <c r="L584" s="3"/>
      <c r="M584" s="3"/>
      <c r="N584" s="3"/>
      <c r="O584" s="3"/>
      <c r="P584" s="3"/>
      <c r="Q584" s="3"/>
      <c r="R584" s="3"/>
      <c r="S584" s="3"/>
      <c r="T584" s="3"/>
      <c r="U584" s="3"/>
      <c r="V584" s="3"/>
      <c r="W584" s="3"/>
      <c r="X584" s="3"/>
      <c r="Y584" s="3"/>
    </row>
    <row r="585">
      <c r="A585" s="7"/>
      <c r="B585" s="6"/>
      <c r="C585" s="6"/>
      <c r="D585" s="3"/>
      <c r="E585" s="3"/>
      <c r="F585" s="3"/>
      <c r="G585" s="3"/>
      <c r="H585" s="3"/>
      <c r="I585" s="3"/>
      <c r="J585" s="3"/>
      <c r="K585" s="3"/>
      <c r="L585" s="3"/>
      <c r="M585" s="3"/>
      <c r="N585" s="3"/>
      <c r="O585" s="3"/>
      <c r="P585" s="3"/>
      <c r="Q585" s="3"/>
      <c r="R585" s="3"/>
      <c r="S585" s="3"/>
      <c r="T585" s="3"/>
      <c r="U585" s="3"/>
      <c r="V585" s="3"/>
      <c r="W585" s="3"/>
      <c r="X585" s="3"/>
      <c r="Y585" s="3"/>
    </row>
    <row r="586">
      <c r="A586" s="7"/>
      <c r="B586" s="6"/>
      <c r="C586" s="6"/>
      <c r="D586" s="3"/>
      <c r="E586" s="3"/>
      <c r="F586" s="3"/>
      <c r="G586" s="3"/>
      <c r="H586" s="3"/>
      <c r="I586" s="3"/>
      <c r="J586" s="3"/>
      <c r="K586" s="3"/>
      <c r="L586" s="3"/>
      <c r="M586" s="3"/>
      <c r="N586" s="3"/>
      <c r="O586" s="3"/>
      <c r="P586" s="3"/>
      <c r="Q586" s="3"/>
      <c r="R586" s="3"/>
      <c r="S586" s="3"/>
      <c r="T586" s="3"/>
      <c r="U586" s="3"/>
      <c r="V586" s="3"/>
      <c r="W586" s="3"/>
      <c r="X586" s="3"/>
      <c r="Y586" s="3"/>
    </row>
    <row r="587">
      <c r="A587" s="7"/>
      <c r="B587" s="6"/>
      <c r="C587" s="6"/>
      <c r="D587" s="3"/>
      <c r="E587" s="3"/>
      <c r="F587" s="3"/>
      <c r="G587" s="3"/>
      <c r="H587" s="3"/>
      <c r="I587" s="3"/>
      <c r="J587" s="3"/>
      <c r="K587" s="3"/>
      <c r="L587" s="3"/>
      <c r="M587" s="3"/>
      <c r="N587" s="3"/>
      <c r="O587" s="3"/>
      <c r="P587" s="3"/>
      <c r="Q587" s="3"/>
      <c r="R587" s="3"/>
      <c r="S587" s="3"/>
      <c r="T587" s="3"/>
      <c r="U587" s="3"/>
      <c r="V587" s="3"/>
      <c r="W587" s="3"/>
      <c r="X587" s="3"/>
      <c r="Y587" s="3"/>
    </row>
    <row r="588">
      <c r="A588" s="7"/>
      <c r="B588" s="6"/>
      <c r="C588" s="6"/>
      <c r="D588" s="3"/>
      <c r="E588" s="3"/>
      <c r="F588" s="3"/>
      <c r="G588" s="3"/>
      <c r="H588" s="3"/>
      <c r="I588" s="3"/>
      <c r="J588" s="3"/>
      <c r="K588" s="3"/>
      <c r="L588" s="3"/>
      <c r="M588" s="3"/>
      <c r="N588" s="3"/>
      <c r="O588" s="3"/>
      <c r="P588" s="3"/>
      <c r="Q588" s="3"/>
      <c r="R588" s="3"/>
      <c r="S588" s="3"/>
      <c r="T588" s="3"/>
      <c r="U588" s="3"/>
      <c r="V588" s="3"/>
      <c r="W588" s="3"/>
      <c r="X588" s="3"/>
      <c r="Y588" s="3"/>
    </row>
    <row r="589">
      <c r="A589" s="7"/>
      <c r="B589" s="6"/>
      <c r="C589" s="6"/>
      <c r="D589" s="3"/>
      <c r="E589" s="3"/>
      <c r="F589" s="3"/>
      <c r="G589" s="3"/>
      <c r="H589" s="3"/>
      <c r="I589" s="3"/>
      <c r="J589" s="3"/>
      <c r="K589" s="3"/>
      <c r="L589" s="3"/>
      <c r="M589" s="3"/>
      <c r="N589" s="3"/>
      <c r="O589" s="3"/>
      <c r="P589" s="3"/>
      <c r="Q589" s="3"/>
      <c r="R589" s="3"/>
      <c r="S589" s="3"/>
      <c r="T589" s="3"/>
      <c r="U589" s="3"/>
      <c r="V589" s="3"/>
      <c r="W589" s="3"/>
      <c r="X589" s="3"/>
      <c r="Y589" s="3"/>
    </row>
    <row r="590">
      <c r="A590" s="7"/>
      <c r="B590" s="6"/>
      <c r="C590" s="6"/>
      <c r="D590" s="3"/>
      <c r="E590" s="3"/>
      <c r="F590" s="3"/>
      <c r="G590" s="3"/>
      <c r="H590" s="3"/>
      <c r="I590" s="3"/>
      <c r="J590" s="3"/>
      <c r="K590" s="3"/>
      <c r="L590" s="3"/>
      <c r="M590" s="3"/>
      <c r="N590" s="3"/>
      <c r="O590" s="3"/>
      <c r="P590" s="3"/>
      <c r="Q590" s="3"/>
      <c r="R590" s="3"/>
      <c r="S590" s="3"/>
      <c r="T590" s="3"/>
      <c r="U590" s="3"/>
      <c r="V590" s="3"/>
      <c r="W590" s="3"/>
      <c r="X590" s="3"/>
      <c r="Y590" s="3"/>
    </row>
    <row r="591">
      <c r="A591" s="7"/>
      <c r="B591" s="6"/>
      <c r="C591" s="6"/>
      <c r="D591" s="3"/>
      <c r="E591" s="3"/>
      <c r="F591" s="3"/>
      <c r="G591" s="3"/>
      <c r="H591" s="3"/>
      <c r="I591" s="3"/>
      <c r="J591" s="3"/>
      <c r="K591" s="3"/>
      <c r="L591" s="3"/>
      <c r="M591" s="3"/>
      <c r="N591" s="3"/>
      <c r="O591" s="3"/>
      <c r="P591" s="3"/>
      <c r="Q591" s="3"/>
      <c r="R591" s="3"/>
      <c r="S591" s="3"/>
      <c r="T591" s="3"/>
      <c r="U591" s="3"/>
      <c r="V591" s="3"/>
      <c r="W591" s="3"/>
      <c r="X591" s="3"/>
      <c r="Y591" s="3"/>
    </row>
    <row r="592">
      <c r="A592" s="7"/>
      <c r="B592" s="6"/>
      <c r="C592" s="6"/>
      <c r="D592" s="3"/>
      <c r="E592" s="3"/>
      <c r="F592" s="3"/>
      <c r="G592" s="3"/>
      <c r="H592" s="3"/>
      <c r="I592" s="3"/>
      <c r="J592" s="3"/>
      <c r="K592" s="3"/>
      <c r="L592" s="3"/>
      <c r="M592" s="3"/>
      <c r="N592" s="3"/>
      <c r="O592" s="3"/>
      <c r="P592" s="3"/>
      <c r="Q592" s="3"/>
      <c r="R592" s="3"/>
      <c r="S592" s="3"/>
      <c r="T592" s="3"/>
      <c r="U592" s="3"/>
      <c r="V592" s="3"/>
      <c r="W592" s="3"/>
      <c r="X592" s="3"/>
      <c r="Y592" s="3"/>
    </row>
    <row r="593">
      <c r="A593" s="7"/>
      <c r="B593" s="6"/>
      <c r="C593" s="6"/>
      <c r="D593" s="3"/>
      <c r="E593" s="3"/>
      <c r="F593" s="3"/>
      <c r="G593" s="3"/>
      <c r="H593" s="3"/>
      <c r="I593" s="3"/>
      <c r="J593" s="3"/>
      <c r="K593" s="3"/>
      <c r="L593" s="3"/>
      <c r="M593" s="3"/>
      <c r="N593" s="3"/>
      <c r="O593" s="3"/>
      <c r="P593" s="3"/>
      <c r="Q593" s="3"/>
      <c r="R593" s="3"/>
      <c r="S593" s="3"/>
      <c r="T593" s="3"/>
      <c r="U593" s="3"/>
      <c r="V593" s="3"/>
      <c r="W593" s="3"/>
      <c r="X593" s="3"/>
      <c r="Y593" s="3"/>
    </row>
    <row r="594">
      <c r="A594" s="7"/>
      <c r="B594" s="6"/>
      <c r="C594" s="6"/>
      <c r="D594" s="3"/>
      <c r="E594" s="3"/>
      <c r="F594" s="3"/>
      <c r="G594" s="3"/>
      <c r="H594" s="3"/>
      <c r="I594" s="3"/>
      <c r="J594" s="3"/>
      <c r="K594" s="3"/>
      <c r="L594" s="3"/>
      <c r="M594" s="3"/>
      <c r="N594" s="3"/>
      <c r="O594" s="3"/>
      <c r="P594" s="3"/>
      <c r="Q594" s="3"/>
      <c r="R594" s="3"/>
      <c r="S594" s="3"/>
      <c r="T594" s="3"/>
      <c r="U594" s="3"/>
      <c r="V594" s="3"/>
      <c r="W594" s="3"/>
      <c r="X594" s="3"/>
      <c r="Y594" s="3"/>
    </row>
    <row r="595">
      <c r="A595" s="7"/>
      <c r="B595" s="6"/>
      <c r="C595" s="6"/>
      <c r="D595" s="3"/>
      <c r="E595" s="3"/>
      <c r="F595" s="3"/>
      <c r="G595" s="3"/>
      <c r="H595" s="3"/>
      <c r="I595" s="3"/>
      <c r="J595" s="3"/>
      <c r="K595" s="3"/>
      <c r="L595" s="3"/>
      <c r="M595" s="3"/>
      <c r="N595" s="3"/>
      <c r="O595" s="3"/>
      <c r="P595" s="3"/>
      <c r="Q595" s="3"/>
      <c r="R595" s="3"/>
      <c r="S595" s="3"/>
      <c r="T595" s="3"/>
      <c r="U595" s="3"/>
      <c r="V595" s="3"/>
      <c r="W595" s="3"/>
      <c r="X595" s="3"/>
      <c r="Y595" s="3"/>
    </row>
    <row r="596">
      <c r="A596" s="7"/>
      <c r="B596" s="6"/>
      <c r="C596" s="6"/>
      <c r="D596" s="3"/>
      <c r="E596" s="3"/>
      <c r="F596" s="3"/>
      <c r="G596" s="3"/>
      <c r="H596" s="3"/>
      <c r="I596" s="3"/>
      <c r="J596" s="3"/>
      <c r="K596" s="3"/>
      <c r="L596" s="3"/>
      <c r="M596" s="3"/>
      <c r="N596" s="3"/>
      <c r="O596" s="3"/>
      <c r="P596" s="3"/>
      <c r="Q596" s="3"/>
      <c r="R596" s="3"/>
      <c r="S596" s="3"/>
      <c r="T596" s="3"/>
      <c r="U596" s="3"/>
      <c r="V596" s="3"/>
      <c r="W596" s="3"/>
      <c r="X596" s="3"/>
      <c r="Y596" s="3"/>
    </row>
    <row r="597">
      <c r="A597" s="7"/>
      <c r="B597" s="6"/>
      <c r="C597" s="6"/>
      <c r="D597" s="3"/>
      <c r="E597" s="3"/>
      <c r="F597" s="3"/>
      <c r="G597" s="3"/>
      <c r="H597" s="3"/>
      <c r="I597" s="3"/>
      <c r="J597" s="3"/>
      <c r="K597" s="3"/>
      <c r="L597" s="3"/>
      <c r="M597" s="3"/>
      <c r="N597" s="3"/>
      <c r="O597" s="3"/>
      <c r="P597" s="3"/>
      <c r="Q597" s="3"/>
      <c r="R597" s="3"/>
      <c r="S597" s="3"/>
      <c r="T597" s="3"/>
      <c r="U597" s="3"/>
      <c r="V597" s="3"/>
      <c r="W597" s="3"/>
      <c r="X597" s="3"/>
      <c r="Y597" s="3"/>
    </row>
    <row r="598">
      <c r="A598" s="7"/>
      <c r="B598" s="6"/>
      <c r="C598" s="6"/>
      <c r="D598" s="3"/>
      <c r="E598" s="3"/>
      <c r="F598" s="3"/>
      <c r="G598" s="3"/>
      <c r="H598" s="3"/>
      <c r="I598" s="3"/>
      <c r="J598" s="3"/>
      <c r="K598" s="3"/>
      <c r="L598" s="3"/>
      <c r="M598" s="3"/>
      <c r="N598" s="3"/>
      <c r="O598" s="3"/>
      <c r="P598" s="3"/>
      <c r="Q598" s="3"/>
      <c r="R598" s="3"/>
      <c r="S598" s="3"/>
      <c r="T598" s="3"/>
      <c r="U598" s="3"/>
      <c r="V598" s="3"/>
      <c r="W598" s="3"/>
      <c r="X598" s="3"/>
      <c r="Y598" s="3"/>
    </row>
    <row r="599">
      <c r="A599" s="7"/>
      <c r="B599" s="6"/>
      <c r="C599" s="6"/>
      <c r="D599" s="3"/>
      <c r="E599" s="3"/>
      <c r="F599" s="3"/>
      <c r="G599" s="3"/>
      <c r="H599" s="3"/>
      <c r="I599" s="3"/>
      <c r="J599" s="3"/>
      <c r="K599" s="3"/>
      <c r="L599" s="3"/>
      <c r="M599" s="3"/>
      <c r="N599" s="3"/>
      <c r="O599" s="3"/>
      <c r="P599" s="3"/>
      <c r="Q599" s="3"/>
      <c r="R599" s="3"/>
      <c r="S599" s="3"/>
      <c r="T599" s="3"/>
      <c r="U599" s="3"/>
      <c r="V599" s="3"/>
      <c r="W599" s="3"/>
      <c r="X599" s="3"/>
      <c r="Y599" s="3"/>
    </row>
    <row r="600">
      <c r="A600" s="7"/>
      <c r="B600" s="6"/>
      <c r="C600" s="6"/>
      <c r="D600" s="3"/>
      <c r="E600" s="3"/>
      <c r="F600" s="3"/>
      <c r="G600" s="3"/>
      <c r="H600" s="3"/>
      <c r="I600" s="3"/>
      <c r="J600" s="3"/>
      <c r="K600" s="3"/>
      <c r="L600" s="3"/>
      <c r="M600" s="3"/>
      <c r="N600" s="3"/>
      <c r="O600" s="3"/>
      <c r="P600" s="3"/>
      <c r="Q600" s="3"/>
      <c r="R600" s="3"/>
      <c r="S600" s="3"/>
      <c r="T600" s="3"/>
      <c r="U600" s="3"/>
      <c r="V600" s="3"/>
      <c r="W600" s="3"/>
      <c r="X600" s="3"/>
      <c r="Y600" s="3"/>
    </row>
    <row r="601">
      <c r="A601" s="7"/>
      <c r="B601" s="6"/>
      <c r="C601" s="6"/>
      <c r="D601" s="3"/>
      <c r="E601" s="3"/>
      <c r="F601" s="3"/>
      <c r="G601" s="3"/>
      <c r="H601" s="3"/>
      <c r="I601" s="3"/>
      <c r="J601" s="3"/>
      <c r="K601" s="3"/>
      <c r="L601" s="3"/>
      <c r="M601" s="3"/>
      <c r="N601" s="3"/>
      <c r="O601" s="3"/>
      <c r="P601" s="3"/>
      <c r="Q601" s="3"/>
      <c r="R601" s="3"/>
      <c r="S601" s="3"/>
      <c r="T601" s="3"/>
      <c r="U601" s="3"/>
      <c r="V601" s="3"/>
      <c r="W601" s="3"/>
      <c r="X601" s="3"/>
      <c r="Y601" s="3"/>
    </row>
    <row r="602">
      <c r="A602" s="7"/>
      <c r="B602" s="6"/>
      <c r="C602" s="6"/>
      <c r="D602" s="3"/>
      <c r="E602" s="3"/>
      <c r="F602" s="3"/>
      <c r="G602" s="3"/>
      <c r="H602" s="3"/>
      <c r="I602" s="3"/>
      <c r="J602" s="3"/>
      <c r="K602" s="3"/>
      <c r="L602" s="3"/>
      <c r="M602" s="3"/>
      <c r="N602" s="3"/>
      <c r="O602" s="3"/>
      <c r="P602" s="3"/>
      <c r="Q602" s="3"/>
      <c r="R602" s="3"/>
      <c r="S602" s="3"/>
      <c r="T602" s="3"/>
      <c r="U602" s="3"/>
      <c r="V602" s="3"/>
      <c r="W602" s="3"/>
      <c r="X602" s="3"/>
      <c r="Y602" s="3"/>
    </row>
    <row r="603">
      <c r="A603" s="7"/>
      <c r="B603" s="6"/>
      <c r="C603" s="6"/>
      <c r="D603" s="3"/>
      <c r="E603" s="3"/>
      <c r="F603" s="3"/>
      <c r="G603" s="3"/>
      <c r="H603" s="3"/>
      <c r="I603" s="3"/>
      <c r="J603" s="3"/>
      <c r="K603" s="3"/>
      <c r="L603" s="3"/>
      <c r="M603" s="3"/>
      <c r="N603" s="3"/>
      <c r="O603" s="3"/>
      <c r="P603" s="3"/>
      <c r="Q603" s="3"/>
      <c r="R603" s="3"/>
      <c r="S603" s="3"/>
      <c r="T603" s="3"/>
      <c r="U603" s="3"/>
      <c r="V603" s="3"/>
      <c r="W603" s="3"/>
      <c r="X603" s="3"/>
      <c r="Y603" s="3"/>
    </row>
    <row r="604">
      <c r="A604" s="7"/>
      <c r="B604" s="6"/>
      <c r="C604" s="6"/>
      <c r="D604" s="3"/>
      <c r="E604" s="3"/>
      <c r="F604" s="3"/>
      <c r="G604" s="3"/>
      <c r="H604" s="3"/>
      <c r="I604" s="3"/>
      <c r="J604" s="3"/>
      <c r="K604" s="3"/>
      <c r="L604" s="3"/>
      <c r="M604" s="3"/>
      <c r="N604" s="3"/>
      <c r="O604" s="3"/>
      <c r="P604" s="3"/>
      <c r="Q604" s="3"/>
      <c r="R604" s="3"/>
      <c r="S604" s="3"/>
      <c r="T604" s="3"/>
      <c r="U604" s="3"/>
      <c r="V604" s="3"/>
      <c r="W604" s="3"/>
      <c r="X604" s="3"/>
      <c r="Y604" s="3"/>
    </row>
    <row r="605">
      <c r="A605" s="7"/>
      <c r="B605" s="6"/>
      <c r="C605" s="6"/>
      <c r="D605" s="3"/>
      <c r="E605" s="3"/>
      <c r="F605" s="3"/>
      <c r="G605" s="3"/>
      <c r="H605" s="3"/>
      <c r="I605" s="3"/>
      <c r="J605" s="3"/>
      <c r="K605" s="3"/>
      <c r="L605" s="3"/>
      <c r="M605" s="3"/>
      <c r="N605" s="3"/>
      <c r="O605" s="3"/>
      <c r="P605" s="3"/>
      <c r="Q605" s="3"/>
      <c r="R605" s="3"/>
      <c r="S605" s="3"/>
      <c r="T605" s="3"/>
      <c r="U605" s="3"/>
      <c r="V605" s="3"/>
      <c r="W605" s="3"/>
      <c r="X605" s="3"/>
      <c r="Y605" s="3"/>
    </row>
    <row r="606">
      <c r="A606" s="7"/>
      <c r="B606" s="6"/>
      <c r="C606" s="6"/>
      <c r="D606" s="3"/>
      <c r="E606" s="3"/>
      <c r="F606" s="3"/>
      <c r="G606" s="3"/>
      <c r="H606" s="3"/>
      <c r="I606" s="3"/>
      <c r="J606" s="3"/>
      <c r="K606" s="3"/>
      <c r="L606" s="3"/>
      <c r="M606" s="3"/>
      <c r="N606" s="3"/>
      <c r="O606" s="3"/>
      <c r="P606" s="3"/>
      <c r="Q606" s="3"/>
      <c r="R606" s="3"/>
      <c r="S606" s="3"/>
      <c r="T606" s="3"/>
      <c r="U606" s="3"/>
      <c r="V606" s="3"/>
      <c r="W606" s="3"/>
      <c r="X606" s="3"/>
      <c r="Y606" s="3"/>
    </row>
    <row r="607">
      <c r="A607" s="7"/>
      <c r="B607" s="6"/>
      <c r="C607" s="6"/>
      <c r="D607" s="3"/>
      <c r="E607" s="3"/>
      <c r="F607" s="3"/>
      <c r="G607" s="3"/>
      <c r="H607" s="3"/>
      <c r="I607" s="3"/>
      <c r="J607" s="3"/>
      <c r="K607" s="3"/>
      <c r="L607" s="3"/>
      <c r="M607" s="3"/>
      <c r="N607" s="3"/>
      <c r="O607" s="3"/>
      <c r="P607" s="3"/>
      <c r="Q607" s="3"/>
      <c r="R607" s="3"/>
      <c r="S607" s="3"/>
      <c r="T607" s="3"/>
      <c r="U607" s="3"/>
      <c r="V607" s="3"/>
      <c r="W607" s="3"/>
      <c r="X607" s="3"/>
      <c r="Y607" s="3"/>
    </row>
    <row r="608">
      <c r="A608" s="7"/>
      <c r="B608" s="6"/>
      <c r="C608" s="6"/>
      <c r="D608" s="3"/>
      <c r="E608" s="3"/>
      <c r="F608" s="3"/>
      <c r="G608" s="3"/>
      <c r="H608" s="3"/>
      <c r="I608" s="3"/>
      <c r="J608" s="3"/>
      <c r="K608" s="3"/>
      <c r="L608" s="3"/>
      <c r="M608" s="3"/>
      <c r="N608" s="3"/>
      <c r="O608" s="3"/>
      <c r="P608" s="3"/>
      <c r="Q608" s="3"/>
      <c r="R608" s="3"/>
      <c r="S608" s="3"/>
      <c r="T608" s="3"/>
      <c r="U608" s="3"/>
      <c r="V608" s="3"/>
      <c r="W608" s="3"/>
      <c r="X608" s="3"/>
      <c r="Y608" s="3"/>
    </row>
    <row r="609">
      <c r="A609" s="7"/>
      <c r="B609" s="6"/>
      <c r="C609" s="6"/>
      <c r="D609" s="3"/>
      <c r="E609" s="3"/>
      <c r="F609" s="3"/>
      <c r="G609" s="3"/>
      <c r="H609" s="3"/>
      <c r="I609" s="3"/>
      <c r="J609" s="3"/>
      <c r="K609" s="3"/>
      <c r="L609" s="3"/>
      <c r="M609" s="3"/>
      <c r="N609" s="3"/>
      <c r="O609" s="3"/>
      <c r="P609" s="3"/>
      <c r="Q609" s="3"/>
      <c r="R609" s="3"/>
      <c r="S609" s="3"/>
      <c r="T609" s="3"/>
      <c r="U609" s="3"/>
      <c r="V609" s="3"/>
      <c r="W609" s="3"/>
      <c r="X609" s="3"/>
      <c r="Y609" s="3"/>
    </row>
    <row r="610">
      <c r="A610" s="7"/>
      <c r="B610" s="6"/>
      <c r="C610" s="6"/>
      <c r="D610" s="3"/>
      <c r="E610" s="3"/>
      <c r="F610" s="3"/>
      <c r="G610" s="3"/>
      <c r="H610" s="3"/>
      <c r="I610" s="3"/>
      <c r="J610" s="3"/>
      <c r="K610" s="3"/>
      <c r="L610" s="3"/>
      <c r="M610" s="3"/>
      <c r="N610" s="3"/>
      <c r="O610" s="3"/>
      <c r="P610" s="3"/>
      <c r="Q610" s="3"/>
      <c r="R610" s="3"/>
      <c r="S610" s="3"/>
      <c r="T610" s="3"/>
      <c r="U610" s="3"/>
      <c r="V610" s="3"/>
      <c r="W610" s="3"/>
      <c r="X610" s="3"/>
      <c r="Y610" s="3"/>
    </row>
    <row r="611">
      <c r="A611" s="7"/>
      <c r="B611" s="6"/>
      <c r="C611" s="6"/>
      <c r="D611" s="3"/>
      <c r="E611" s="3"/>
      <c r="F611" s="3"/>
      <c r="G611" s="3"/>
      <c r="H611" s="3"/>
      <c r="I611" s="3"/>
      <c r="J611" s="3"/>
      <c r="K611" s="3"/>
      <c r="L611" s="3"/>
      <c r="M611" s="3"/>
      <c r="N611" s="3"/>
      <c r="O611" s="3"/>
      <c r="P611" s="3"/>
      <c r="Q611" s="3"/>
      <c r="R611" s="3"/>
      <c r="S611" s="3"/>
      <c r="T611" s="3"/>
      <c r="U611" s="3"/>
      <c r="V611" s="3"/>
      <c r="W611" s="3"/>
      <c r="X611" s="3"/>
      <c r="Y611" s="3"/>
    </row>
    <row r="612">
      <c r="A612" s="7"/>
      <c r="B612" s="6"/>
      <c r="C612" s="6"/>
      <c r="D612" s="3"/>
      <c r="E612" s="3"/>
      <c r="F612" s="3"/>
      <c r="G612" s="3"/>
      <c r="H612" s="3"/>
      <c r="I612" s="3"/>
      <c r="J612" s="3"/>
      <c r="K612" s="3"/>
      <c r="L612" s="3"/>
      <c r="M612" s="3"/>
      <c r="N612" s="3"/>
      <c r="O612" s="3"/>
      <c r="P612" s="3"/>
      <c r="Q612" s="3"/>
      <c r="R612" s="3"/>
      <c r="S612" s="3"/>
      <c r="T612" s="3"/>
      <c r="U612" s="3"/>
      <c r="V612" s="3"/>
      <c r="W612" s="3"/>
      <c r="X612" s="3"/>
      <c r="Y612" s="3"/>
    </row>
    <row r="613">
      <c r="A613" s="7"/>
      <c r="B613" s="6"/>
      <c r="C613" s="6"/>
      <c r="D613" s="3"/>
      <c r="E613" s="3"/>
      <c r="F613" s="3"/>
      <c r="G613" s="3"/>
      <c r="H613" s="3"/>
      <c r="I613" s="3"/>
      <c r="J613" s="3"/>
      <c r="K613" s="3"/>
      <c r="L613" s="3"/>
      <c r="M613" s="3"/>
      <c r="N613" s="3"/>
      <c r="O613" s="3"/>
      <c r="P613" s="3"/>
      <c r="Q613" s="3"/>
      <c r="R613" s="3"/>
      <c r="S613" s="3"/>
      <c r="T613" s="3"/>
      <c r="U613" s="3"/>
      <c r="V613" s="3"/>
      <c r="W613" s="3"/>
      <c r="X613" s="3"/>
      <c r="Y613" s="3"/>
    </row>
    <row r="614">
      <c r="A614" s="7"/>
      <c r="B614" s="6"/>
      <c r="C614" s="6"/>
      <c r="D614" s="3"/>
      <c r="E614" s="3"/>
      <c r="F614" s="3"/>
      <c r="G614" s="3"/>
      <c r="H614" s="3"/>
      <c r="I614" s="3"/>
      <c r="J614" s="3"/>
      <c r="K614" s="3"/>
      <c r="L614" s="3"/>
      <c r="M614" s="3"/>
      <c r="N614" s="3"/>
      <c r="O614" s="3"/>
      <c r="P614" s="3"/>
      <c r="Q614" s="3"/>
      <c r="R614" s="3"/>
      <c r="S614" s="3"/>
      <c r="T614" s="3"/>
      <c r="U614" s="3"/>
      <c r="V614" s="3"/>
      <c r="W614" s="3"/>
      <c r="X614" s="3"/>
      <c r="Y614" s="3"/>
    </row>
    <row r="615">
      <c r="A615" s="7"/>
      <c r="B615" s="6"/>
      <c r="C615" s="6"/>
      <c r="D615" s="3"/>
      <c r="E615" s="3"/>
      <c r="F615" s="3"/>
      <c r="G615" s="3"/>
      <c r="H615" s="3"/>
      <c r="I615" s="3"/>
      <c r="J615" s="3"/>
      <c r="K615" s="3"/>
      <c r="L615" s="3"/>
      <c r="M615" s="3"/>
      <c r="N615" s="3"/>
      <c r="O615" s="3"/>
      <c r="P615" s="3"/>
      <c r="Q615" s="3"/>
      <c r="R615" s="3"/>
      <c r="S615" s="3"/>
      <c r="T615" s="3"/>
      <c r="U615" s="3"/>
      <c r="V615" s="3"/>
      <c r="W615" s="3"/>
      <c r="X615" s="3"/>
      <c r="Y615" s="3"/>
    </row>
    <row r="616">
      <c r="A616" s="7"/>
      <c r="B616" s="6"/>
      <c r="C616" s="6"/>
      <c r="D616" s="3"/>
      <c r="E616" s="3"/>
      <c r="F616" s="3"/>
      <c r="G616" s="3"/>
      <c r="H616" s="3"/>
      <c r="I616" s="3"/>
      <c r="J616" s="3"/>
      <c r="K616" s="3"/>
      <c r="L616" s="3"/>
      <c r="M616" s="3"/>
      <c r="N616" s="3"/>
      <c r="O616" s="3"/>
      <c r="P616" s="3"/>
      <c r="Q616" s="3"/>
      <c r="R616" s="3"/>
      <c r="S616" s="3"/>
      <c r="T616" s="3"/>
      <c r="U616" s="3"/>
      <c r="V616" s="3"/>
      <c r="W616" s="3"/>
      <c r="X616" s="3"/>
      <c r="Y616" s="3"/>
    </row>
    <row r="617">
      <c r="A617" s="7"/>
      <c r="B617" s="6"/>
      <c r="C617" s="6"/>
      <c r="D617" s="3"/>
      <c r="E617" s="3"/>
      <c r="F617" s="3"/>
      <c r="G617" s="3"/>
      <c r="H617" s="3"/>
      <c r="I617" s="3"/>
      <c r="J617" s="3"/>
      <c r="K617" s="3"/>
      <c r="L617" s="3"/>
      <c r="M617" s="3"/>
      <c r="N617" s="3"/>
      <c r="O617" s="3"/>
      <c r="P617" s="3"/>
      <c r="Q617" s="3"/>
      <c r="R617" s="3"/>
      <c r="S617" s="3"/>
      <c r="T617" s="3"/>
      <c r="U617" s="3"/>
      <c r="V617" s="3"/>
      <c r="W617" s="3"/>
      <c r="X617" s="3"/>
      <c r="Y617" s="3"/>
    </row>
    <row r="618">
      <c r="A618" s="7"/>
      <c r="B618" s="6"/>
      <c r="C618" s="6"/>
      <c r="D618" s="3"/>
      <c r="E618" s="3"/>
      <c r="F618" s="3"/>
      <c r="G618" s="3"/>
      <c r="H618" s="3"/>
      <c r="I618" s="3"/>
      <c r="J618" s="3"/>
      <c r="K618" s="3"/>
      <c r="L618" s="3"/>
      <c r="M618" s="3"/>
      <c r="N618" s="3"/>
      <c r="O618" s="3"/>
      <c r="P618" s="3"/>
      <c r="Q618" s="3"/>
      <c r="R618" s="3"/>
      <c r="S618" s="3"/>
      <c r="T618" s="3"/>
      <c r="U618" s="3"/>
      <c r="V618" s="3"/>
      <c r="W618" s="3"/>
      <c r="X618" s="3"/>
      <c r="Y618" s="3"/>
    </row>
    <row r="619">
      <c r="A619" s="7"/>
      <c r="B619" s="6"/>
      <c r="C619" s="6"/>
      <c r="D619" s="3"/>
      <c r="E619" s="3"/>
      <c r="F619" s="3"/>
      <c r="G619" s="3"/>
      <c r="H619" s="3"/>
      <c r="I619" s="3"/>
      <c r="J619" s="3"/>
      <c r="K619" s="3"/>
      <c r="L619" s="3"/>
      <c r="M619" s="3"/>
      <c r="N619" s="3"/>
      <c r="O619" s="3"/>
      <c r="P619" s="3"/>
      <c r="Q619" s="3"/>
      <c r="R619" s="3"/>
      <c r="S619" s="3"/>
      <c r="T619" s="3"/>
      <c r="U619" s="3"/>
      <c r="V619" s="3"/>
      <c r="W619" s="3"/>
      <c r="X619" s="3"/>
      <c r="Y619" s="3"/>
    </row>
    <row r="620">
      <c r="A620" s="7"/>
      <c r="B620" s="6"/>
      <c r="C620" s="6"/>
      <c r="D620" s="3"/>
      <c r="E620" s="3"/>
      <c r="F620" s="3"/>
      <c r="G620" s="3"/>
      <c r="H620" s="3"/>
      <c r="I620" s="3"/>
      <c r="J620" s="3"/>
      <c r="K620" s="3"/>
      <c r="L620" s="3"/>
      <c r="M620" s="3"/>
      <c r="N620" s="3"/>
      <c r="O620" s="3"/>
      <c r="P620" s="3"/>
      <c r="Q620" s="3"/>
      <c r="R620" s="3"/>
      <c r="S620" s="3"/>
      <c r="T620" s="3"/>
      <c r="U620" s="3"/>
      <c r="V620" s="3"/>
      <c r="W620" s="3"/>
      <c r="X620" s="3"/>
      <c r="Y620" s="3"/>
    </row>
    <row r="621">
      <c r="A621" s="7"/>
      <c r="B621" s="6"/>
      <c r="C621" s="6"/>
      <c r="D621" s="3"/>
      <c r="E621" s="3"/>
      <c r="F621" s="3"/>
      <c r="G621" s="3"/>
      <c r="H621" s="3"/>
      <c r="I621" s="3"/>
      <c r="J621" s="3"/>
      <c r="K621" s="3"/>
      <c r="L621" s="3"/>
      <c r="M621" s="3"/>
      <c r="N621" s="3"/>
      <c r="O621" s="3"/>
      <c r="P621" s="3"/>
      <c r="Q621" s="3"/>
      <c r="R621" s="3"/>
      <c r="S621" s="3"/>
      <c r="T621" s="3"/>
      <c r="U621" s="3"/>
      <c r="V621" s="3"/>
      <c r="W621" s="3"/>
      <c r="X621" s="3"/>
      <c r="Y621" s="3"/>
    </row>
    <row r="622">
      <c r="A622" s="7"/>
      <c r="B622" s="6"/>
      <c r="C622" s="6"/>
      <c r="D622" s="3"/>
      <c r="E622" s="3"/>
      <c r="F622" s="3"/>
      <c r="G622" s="3"/>
      <c r="H622" s="3"/>
      <c r="I622" s="3"/>
      <c r="J622" s="3"/>
      <c r="K622" s="3"/>
      <c r="L622" s="3"/>
      <c r="M622" s="3"/>
      <c r="N622" s="3"/>
      <c r="O622" s="3"/>
      <c r="P622" s="3"/>
      <c r="Q622" s="3"/>
      <c r="R622" s="3"/>
      <c r="S622" s="3"/>
      <c r="T622" s="3"/>
      <c r="U622" s="3"/>
      <c r="V622" s="3"/>
      <c r="W622" s="3"/>
      <c r="X622" s="3"/>
      <c r="Y622" s="3"/>
    </row>
    <row r="623">
      <c r="A623" s="7"/>
      <c r="B623" s="6"/>
      <c r="C623" s="6"/>
      <c r="D623" s="3"/>
      <c r="E623" s="3"/>
      <c r="F623" s="3"/>
      <c r="G623" s="3"/>
      <c r="H623" s="3"/>
      <c r="I623" s="3"/>
      <c r="J623" s="3"/>
      <c r="K623" s="3"/>
      <c r="L623" s="3"/>
      <c r="M623" s="3"/>
      <c r="N623" s="3"/>
      <c r="O623" s="3"/>
      <c r="P623" s="3"/>
      <c r="Q623" s="3"/>
      <c r="R623" s="3"/>
      <c r="S623" s="3"/>
      <c r="T623" s="3"/>
      <c r="U623" s="3"/>
      <c r="V623" s="3"/>
      <c r="W623" s="3"/>
      <c r="X623" s="3"/>
      <c r="Y623" s="3"/>
    </row>
    <row r="624">
      <c r="A624" s="7"/>
      <c r="B624" s="6"/>
      <c r="C624" s="6"/>
      <c r="D624" s="3"/>
      <c r="E624" s="3"/>
      <c r="F624" s="3"/>
      <c r="G624" s="3"/>
      <c r="H624" s="3"/>
      <c r="I624" s="3"/>
      <c r="J624" s="3"/>
      <c r="K624" s="3"/>
      <c r="L624" s="3"/>
      <c r="M624" s="3"/>
      <c r="N624" s="3"/>
      <c r="O624" s="3"/>
      <c r="P624" s="3"/>
      <c r="Q624" s="3"/>
      <c r="R624" s="3"/>
      <c r="S624" s="3"/>
      <c r="T624" s="3"/>
      <c r="U624" s="3"/>
      <c r="V624" s="3"/>
      <c r="W624" s="3"/>
      <c r="X624" s="3"/>
      <c r="Y624" s="3"/>
    </row>
    <row r="625">
      <c r="A625" s="7"/>
      <c r="B625" s="6"/>
      <c r="C625" s="6"/>
      <c r="D625" s="3"/>
      <c r="E625" s="3"/>
      <c r="F625" s="3"/>
      <c r="G625" s="3"/>
      <c r="H625" s="3"/>
      <c r="I625" s="3"/>
      <c r="J625" s="3"/>
      <c r="K625" s="3"/>
      <c r="L625" s="3"/>
      <c r="M625" s="3"/>
      <c r="N625" s="3"/>
      <c r="O625" s="3"/>
      <c r="P625" s="3"/>
      <c r="Q625" s="3"/>
      <c r="R625" s="3"/>
      <c r="S625" s="3"/>
      <c r="T625" s="3"/>
      <c r="U625" s="3"/>
      <c r="V625" s="3"/>
      <c r="W625" s="3"/>
      <c r="X625" s="3"/>
      <c r="Y625" s="3"/>
    </row>
    <row r="626">
      <c r="A626" s="7"/>
      <c r="B626" s="6"/>
      <c r="C626" s="6"/>
      <c r="D626" s="3"/>
      <c r="E626" s="3"/>
      <c r="F626" s="3"/>
      <c r="G626" s="3"/>
      <c r="H626" s="3"/>
      <c r="I626" s="3"/>
      <c r="J626" s="3"/>
      <c r="K626" s="3"/>
      <c r="L626" s="3"/>
      <c r="M626" s="3"/>
      <c r="N626" s="3"/>
      <c r="O626" s="3"/>
      <c r="P626" s="3"/>
      <c r="Q626" s="3"/>
      <c r="R626" s="3"/>
      <c r="S626" s="3"/>
      <c r="T626" s="3"/>
      <c r="U626" s="3"/>
      <c r="V626" s="3"/>
      <c r="W626" s="3"/>
      <c r="X626" s="3"/>
      <c r="Y626" s="3"/>
    </row>
    <row r="627">
      <c r="A627" s="7"/>
      <c r="B627" s="6"/>
      <c r="C627" s="6"/>
      <c r="D627" s="3"/>
      <c r="E627" s="3"/>
      <c r="F627" s="3"/>
      <c r="G627" s="3"/>
      <c r="H627" s="3"/>
      <c r="I627" s="3"/>
      <c r="J627" s="3"/>
      <c r="K627" s="3"/>
      <c r="L627" s="3"/>
      <c r="M627" s="3"/>
      <c r="N627" s="3"/>
      <c r="O627" s="3"/>
      <c r="P627" s="3"/>
      <c r="Q627" s="3"/>
      <c r="R627" s="3"/>
      <c r="S627" s="3"/>
      <c r="T627" s="3"/>
      <c r="U627" s="3"/>
      <c r="V627" s="3"/>
      <c r="W627" s="3"/>
      <c r="X627" s="3"/>
      <c r="Y627" s="3"/>
    </row>
    <row r="628">
      <c r="A628" s="7"/>
      <c r="B628" s="6"/>
      <c r="C628" s="6"/>
      <c r="D628" s="3"/>
      <c r="E628" s="3"/>
      <c r="F628" s="3"/>
      <c r="G628" s="3"/>
      <c r="H628" s="3"/>
      <c r="I628" s="3"/>
      <c r="J628" s="3"/>
      <c r="K628" s="3"/>
      <c r="L628" s="3"/>
      <c r="M628" s="3"/>
      <c r="N628" s="3"/>
      <c r="O628" s="3"/>
      <c r="P628" s="3"/>
      <c r="Q628" s="3"/>
      <c r="R628" s="3"/>
      <c r="S628" s="3"/>
      <c r="T628" s="3"/>
      <c r="U628" s="3"/>
      <c r="V628" s="3"/>
      <c r="W628" s="3"/>
      <c r="X628" s="3"/>
      <c r="Y628" s="3"/>
    </row>
    <row r="629">
      <c r="A629" s="7"/>
      <c r="B629" s="6"/>
      <c r="C629" s="6"/>
      <c r="D629" s="3"/>
      <c r="E629" s="3"/>
      <c r="F629" s="3"/>
      <c r="G629" s="3"/>
      <c r="H629" s="3"/>
      <c r="I629" s="3"/>
      <c r="J629" s="3"/>
      <c r="K629" s="3"/>
      <c r="L629" s="3"/>
      <c r="M629" s="3"/>
      <c r="N629" s="3"/>
      <c r="O629" s="3"/>
      <c r="P629" s="3"/>
      <c r="Q629" s="3"/>
      <c r="R629" s="3"/>
      <c r="S629" s="3"/>
      <c r="T629" s="3"/>
      <c r="U629" s="3"/>
      <c r="V629" s="3"/>
      <c r="W629" s="3"/>
      <c r="X629" s="3"/>
      <c r="Y629" s="3"/>
    </row>
    <row r="630">
      <c r="A630" s="7"/>
      <c r="B630" s="6"/>
      <c r="C630" s="6"/>
      <c r="D630" s="3"/>
      <c r="E630" s="3"/>
      <c r="F630" s="3"/>
      <c r="G630" s="3"/>
      <c r="H630" s="3"/>
      <c r="I630" s="3"/>
      <c r="J630" s="3"/>
      <c r="K630" s="3"/>
      <c r="L630" s="3"/>
      <c r="M630" s="3"/>
      <c r="N630" s="3"/>
      <c r="O630" s="3"/>
      <c r="P630" s="3"/>
      <c r="Q630" s="3"/>
      <c r="R630" s="3"/>
      <c r="S630" s="3"/>
      <c r="T630" s="3"/>
      <c r="U630" s="3"/>
      <c r="V630" s="3"/>
      <c r="W630" s="3"/>
      <c r="X630" s="3"/>
      <c r="Y630" s="3"/>
    </row>
    <row r="631">
      <c r="A631" s="7"/>
      <c r="B631" s="6"/>
      <c r="C631" s="6"/>
      <c r="D631" s="3"/>
      <c r="E631" s="3"/>
      <c r="F631" s="3"/>
      <c r="G631" s="3"/>
      <c r="H631" s="3"/>
      <c r="I631" s="3"/>
      <c r="J631" s="3"/>
      <c r="K631" s="3"/>
      <c r="L631" s="3"/>
      <c r="M631" s="3"/>
      <c r="N631" s="3"/>
      <c r="O631" s="3"/>
      <c r="P631" s="3"/>
      <c r="Q631" s="3"/>
      <c r="R631" s="3"/>
      <c r="S631" s="3"/>
      <c r="T631" s="3"/>
      <c r="U631" s="3"/>
      <c r="V631" s="3"/>
      <c r="W631" s="3"/>
      <c r="X631" s="3"/>
      <c r="Y631" s="3"/>
    </row>
    <row r="632">
      <c r="A632" s="7"/>
      <c r="B632" s="6"/>
      <c r="C632" s="6"/>
      <c r="D632" s="3"/>
      <c r="E632" s="3"/>
      <c r="F632" s="3"/>
      <c r="G632" s="3"/>
      <c r="H632" s="3"/>
      <c r="I632" s="3"/>
      <c r="J632" s="3"/>
      <c r="K632" s="3"/>
      <c r="L632" s="3"/>
      <c r="M632" s="3"/>
      <c r="N632" s="3"/>
      <c r="O632" s="3"/>
      <c r="P632" s="3"/>
      <c r="Q632" s="3"/>
      <c r="R632" s="3"/>
      <c r="S632" s="3"/>
      <c r="T632" s="3"/>
      <c r="U632" s="3"/>
      <c r="V632" s="3"/>
      <c r="W632" s="3"/>
      <c r="X632" s="3"/>
      <c r="Y632" s="3"/>
    </row>
    <row r="633">
      <c r="A633" s="7"/>
      <c r="B633" s="6"/>
      <c r="C633" s="6"/>
      <c r="D633" s="3"/>
      <c r="E633" s="3"/>
      <c r="F633" s="3"/>
      <c r="G633" s="3"/>
      <c r="H633" s="3"/>
      <c r="I633" s="3"/>
      <c r="J633" s="3"/>
      <c r="K633" s="3"/>
      <c r="L633" s="3"/>
      <c r="M633" s="3"/>
      <c r="N633" s="3"/>
      <c r="O633" s="3"/>
      <c r="P633" s="3"/>
      <c r="Q633" s="3"/>
      <c r="R633" s="3"/>
      <c r="S633" s="3"/>
      <c r="T633" s="3"/>
      <c r="U633" s="3"/>
      <c r="V633" s="3"/>
      <c r="W633" s="3"/>
      <c r="X633" s="3"/>
      <c r="Y633" s="3"/>
    </row>
    <row r="634">
      <c r="A634" s="7"/>
      <c r="B634" s="6"/>
      <c r="C634" s="6"/>
      <c r="D634" s="3"/>
      <c r="E634" s="3"/>
      <c r="F634" s="3"/>
      <c r="G634" s="3"/>
      <c r="H634" s="3"/>
      <c r="I634" s="3"/>
      <c r="J634" s="3"/>
      <c r="K634" s="3"/>
      <c r="L634" s="3"/>
      <c r="M634" s="3"/>
      <c r="N634" s="3"/>
      <c r="O634" s="3"/>
      <c r="P634" s="3"/>
      <c r="Q634" s="3"/>
      <c r="R634" s="3"/>
      <c r="S634" s="3"/>
      <c r="T634" s="3"/>
      <c r="U634" s="3"/>
      <c r="V634" s="3"/>
      <c r="W634" s="3"/>
      <c r="X634" s="3"/>
      <c r="Y634" s="3"/>
    </row>
    <row r="635">
      <c r="A635" s="7"/>
      <c r="B635" s="6"/>
      <c r="C635" s="6"/>
      <c r="D635" s="3"/>
      <c r="E635" s="3"/>
      <c r="F635" s="3"/>
      <c r="G635" s="3"/>
      <c r="H635" s="3"/>
      <c r="I635" s="3"/>
      <c r="J635" s="3"/>
      <c r="K635" s="3"/>
      <c r="L635" s="3"/>
      <c r="M635" s="3"/>
      <c r="N635" s="3"/>
      <c r="O635" s="3"/>
      <c r="P635" s="3"/>
      <c r="Q635" s="3"/>
      <c r="R635" s="3"/>
      <c r="S635" s="3"/>
      <c r="T635" s="3"/>
      <c r="U635" s="3"/>
      <c r="V635" s="3"/>
      <c r="W635" s="3"/>
      <c r="X635" s="3"/>
      <c r="Y635" s="3"/>
    </row>
    <row r="636">
      <c r="A636" s="7"/>
      <c r="B636" s="6"/>
      <c r="C636" s="6"/>
      <c r="D636" s="3"/>
      <c r="E636" s="3"/>
      <c r="F636" s="3"/>
      <c r="G636" s="3"/>
      <c r="H636" s="3"/>
      <c r="I636" s="3"/>
      <c r="J636" s="3"/>
      <c r="K636" s="3"/>
      <c r="L636" s="3"/>
      <c r="M636" s="3"/>
      <c r="N636" s="3"/>
      <c r="O636" s="3"/>
      <c r="P636" s="3"/>
      <c r="Q636" s="3"/>
      <c r="R636" s="3"/>
      <c r="S636" s="3"/>
      <c r="T636" s="3"/>
      <c r="U636" s="3"/>
      <c r="V636" s="3"/>
      <c r="W636" s="3"/>
      <c r="X636" s="3"/>
      <c r="Y636" s="3"/>
    </row>
    <row r="637">
      <c r="A637" s="7"/>
      <c r="B637" s="6"/>
      <c r="C637" s="6"/>
      <c r="D637" s="3"/>
      <c r="E637" s="3"/>
      <c r="F637" s="3"/>
      <c r="G637" s="3"/>
      <c r="H637" s="3"/>
      <c r="I637" s="3"/>
      <c r="J637" s="3"/>
      <c r="K637" s="3"/>
      <c r="L637" s="3"/>
      <c r="M637" s="3"/>
      <c r="N637" s="3"/>
      <c r="O637" s="3"/>
      <c r="P637" s="3"/>
      <c r="Q637" s="3"/>
      <c r="R637" s="3"/>
      <c r="S637" s="3"/>
      <c r="T637" s="3"/>
      <c r="U637" s="3"/>
      <c r="V637" s="3"/>
      <c r="W637" s="3"/>
      <c r="X637" s="3"/>
      <c r="Y637" s="3"/>
    </row>
    <row r="638">
      <c r="A638" s="7"/>
      <c r="B638" s="6"/>
      <c r="C638" s="6"/>
      <c r="D638" s="3"/>
      <c r="E638" s="3"/>
      <c r="F638" s="3"/>
      <c r="G638" s="3"/>
      <c r="H638" s="3"/>
      <c r="I638" s="3"/>
      <c r="J638" s="3"/>
      <c r="K638" s="3"/>
      <c r="L638" s="3"/>
      <c r="M638" s="3"/>
      <c r="N638" s="3"/>
      <c r="O638" s="3"/>
      <c r="P638" s="3"/>
      <c r="Q638" s="3"/>
      <c r="R638" s="3"/>
      <c r="S638" s="3"/>
      <c r="T638" s="3"/>
      <c r="U638" s="3"/>
      <c r="V638" s="3"/>
      <c r="W638" s="3"/>
      <c r="X638" s="3"/>
      <c r="Y638" s="3"/>
    </row>
    <row r="639">
      <c r="A639" s="7"/>
      <c r="B639" s="6"/>
      <c r="C639" s="6"/>
      <c r="D639" s="3"/>
      <c r="E639" s="3"/>
      <c r="F639" s="3"/>
      <c r="G639" s="3"/>
      <c r="H639" s="3"/>
      <c r="I639" s="3"/>
      <c r="J639" s="3"/>
      <c r="K639" s="3"/>
      <c r="L639" s="3"/>
      <c r="M639" s="3"/>
      <c r="N639" s="3"/>
      <c r="O639" s="3"/>
      <c r="P639" s="3"/>
      <c r="Q639" s="3"/>
      <c r="R639" s="3"/>
      <c r="S639" s="3"/>
      <c r="T639" s="3"/>
      <c r="U639" s="3"/>
      <c r="V639" s="3"/>
      <c r="W639" s="3"/>
      <c r="X639" s="3"/>
      <c r="Y639" s="3"/>
    </row>
    <row r="640">
      <c r="A640" s="7"/>
      <c r="B640" s="6"/>
      <c r="C640" s="6"/>
      <c r="D640" s="3"/>
      <c r="E640" s="3"/>
      <c r="F640" s="3"/>
      <c r="G640" s="3"/>
      <c r="H640" s="3"/>
      <c r="I640" s="3"/>
      <c r="J640" s="3"/>
      <c r="K640" s="3"/>
      <c r="L640" s="3"/>
      <c r="M640" s="3"/>
      <c r="N640" s="3"/>
      <c r="O640" s="3"/>
      <c r="P640" s="3"/>
      <c r="Q640" s="3"/>
      <c r="R640" s="3"/>
      <c r="S640" s="3"/>
      <c r="T640" s="3"/>
      <c r="U640" s="3"/>
      <c r="V640" s="3"/>
      <c r="W640" s="3"/>
      <c r="X640" s="3"/>
      <c r="Y640" s="3"/>
    </row>
    <row r="641">
      <c r="A641" s="7"/>
      <c r="B641" s="6"/>
      <c r="C641" s="6"/>
      <c r="D641" s="3"/>
      <c r="E641" s="3"/>
      <c r="F641" s="3"/>
      <c r="G641" s="3"/>
      <c r="H641" s="3"/>
      <c r="I641" s="3"/>
      <c r="J641" s="3"/>
      <c r="K641" s="3"/>
      <c r="L641" s="3"/>
      <c r="M641" s="3"/>
      <c r="N641" s="3"/>
      <c r="O641" s="3"/>
      <c r="P641" s="3"/>
      <c r="Q641" s="3"/>
      <c r="R641" s="3"/>
      <c r="S641" s="3"/>
      <c r="T641" s="3"/>
      <c r="U641" s="3"/>
      <c r="V641" s="3"/>
      <c r="W641" s="3"/>
      <c r="X641" s="3"/>
      <c r="Y641" s="3"/>
    </row>
    <row r="642">
      <c r="A642" s="7"/>
      <c r="B642" s="6"/>
      <c r="C642" s="6"/>
      <c r="D642" s="3"/>
      <c r="E642" s="3"/>
      <c r="F642" s="3"/>
      <c r="G642" s="3"/>
      <c r="H642" s="3"/>
      <c r="I642" s="3"/>
      <c r="J642" s="3"/>
      <c r="K642" s="3"/>
      <c r="L642" s="3"/>
      <c r="M642" s="3"/>
      <c r="N642" s="3"/>
      <c r="O642" s="3"/>
      <c r="P642" s="3"/>
      <c r="Q642" s="3"/>
      <c r="R642" s="3"/>
      <c r="S642" s="3"/>
      <c r="T642" s="3"/>
      <c r="U642" s="3"/>
      <c r="V642" s="3"/>
      <c r="W642" s="3"/>
      <c r="X642" s="3"/>
      <c r="Y642" s="3"/>
    </row>
    <row r="643">
      <c r="A643" s="7"/>
      <c r="B643" s="6"/>
      <c r="C643" s="6"/>
      <c r="D643" s="3"/>
      <c r="E643" s="3"/>
      <c r="F643" s="3"/>
      <c r="G643" s="3"/>
      <c r="H643" s="3"/>
      <c r="I643" s="3"/>
      <c r="J643" s="3"/>
      <c r="K643" s="3"/>
      <c r="L643" s="3"/>
      <c r="M643" s="3"/>
      <c r="N643" s="3"/>
      <c r="O643" s="3"/>
      <c r="P643" s="3"/>
      <c r="Q643" s="3"/>
      <c r="R643" s="3"/>
      <c r="S643" s="3"/>
      <c r="T643" s="3"/>
      <c r="U643" s="3"/>
      <c r="V643" s="3"/>
      <c r="W643" s="3"/>
      <c r="X643" s="3"/>
      <c r="Y643" s="3"/>
    </row>
    <row r="644">
      <c r="A644" s="7"/>
      <c r="B644" s="6"/>
      <c r="C644" s="6"/>
      <c r="D644" s="3"/>
      <c r="E644" s="3"/>
      <c r="F644" s="3"/>
      <c r="G644" s="3"/>
      <c r="H644" s="3"/>
      <c r="I644" s="3"/>
      <c r="J644" s="3"/>
      <c r="K644" s="3"/>
      <c r="L644" s="3"/>
      <c r="M644" s="3"/>
      <c r="N644" s="3"/>
      <c r="O644" s="3"/>
      <c r="P644" s="3"/>
      <c r="Q644" s="3"/>
      <c r="R644" s="3"/>
      <c r="S644" s="3"/>
      <c r="T644" s="3"/>
      <c r="U644" s="3"/>
      <c r="V644" s="3"/>
      <c r="W644" s="3"/>
      <c r="X644" s="3"/>
      <c r="Y644" s="3"/>
    </row>
    <row r="645">
      <c r="A645" s="7"/>
      <c r="B645" s="6"/>
      <c r="C645" s="6"/>
      <c r="D645" s="3"/>
      <c r="E645" s="3"/>
      <c r="F645" s="3"/>
      <c r="G645" s="3"/>
      <c r="H645" s="3"/>
      <c r="I645" s="3"/>
      <c r="J645" s="3"/>
      <c r="K645" s="3"/>
      <c r="L645" s="3"/>
      <c r="M645" s="3"/>
      <c r="N645" s="3"/>
      <c r="O645" s="3"/>
      <c r="P645" s="3"/>
      <c r="Q645" s="3"/>
      <c r="R645" s="3"/>
      <c r="S645" s="3"/>
      <c r="T645" s="3"/>
      <c r="U645" s="3"/>
      <c r="V645" s="3"/>
      <c r="W645" s="3"/>
      <c r="X645" s="3"/>
      <c r="Y645" s="3"/>
    </row>
    <row r="646">
      <c r="A646" s="7"/>
      <c r="B646" s="6"/>
      <c r="C646" s="6"/>
      <c r="D646" s="3"/>
      <c r="E646" s="3"/>
      <c r="F646" s="3"/>
      <c r="G646" s="3"/>
      <c r="H646" s="3"/>
      <c r="I646" s="3"/>
      <c r="J646" s="3"/>
      <c r="K646" s="3"/>
      <c r="L646" s="3"/>
      <c r="M646" s="3"/>
      <c r="N646" s="3"/>
      <c r="O646" s="3"/>
      <c r="P646" s="3"/>
      <c r="Q646" s="3"/>
      <c r="R646" s="3"/>
      <c r="S646" s="3"/>
      <c r="T646" s="3"/>
      <c r="U646" s="3"/>
      <c r="V646" s="3"/>
      <c r="W646" s="3"/>
      <c r="X646" s="3"/>
      <c r="Y646" s="3"/>
    </row>
    <row r="647">
      <c r="A647" s="7"/>
      <c r="B647" s="6"/>
      <c r="C647" s="6"/>
      <c r="D647" s="3"/>
      <c r="E647" s="3"/>
      <c r="F647" s="3"/>
      <c r="G647" s="3"/>
      <c r="H647" s="3"/>
      <c r="I647" s="3"/>
      <c r="J647" s="3"/>
      <c r="K647" s="3"/>
      <c r="L647" s="3"/>
      <c r="M647" s="3"/>
      <c r="N647" s="3"/>
      <c r="O647" s="3"/>
      <c r="P647" s="3"/>
      <c r="Q647" s="3"/>
      <c r="R647" s="3"/>
      <c r="S647" s="3"/>
      <c r="T647" s="3"/>
      <c r="U647" s="3"/>
      <c r="V647" s="3"/>
      <c r="W647" s="3"/>
      <c r="X647" s="3"/>
      <c r="Y647" s="3"/>
    </row>
    <row r="648">
      <c r="A648" s="7"/>
      <c r="B648" s="6"/>
      <c r="C648" s="6"/>
      <c r="D648" s="3"/>
      <c r="E648" s="3"/>
      <c r="F648" s="3"/>
      <c r="G648" s="3"/>
      <c r="H648" s="3"/>
      <c r="I648" s="3"/>
      <c r="J648" s="3"/>
      <c r="K648" s="3"/>
      <c r="L648" s="3"/>
      <c r="M648" s="3"/>
      <c r="N648" s="3"/>
      <c r="O648" s="3"/>
      <c r="P648" s="3"/>
      <c r="Q648" s="3"/>
      <c r="R648" s="3"/>
      <c r="S648" s="3"/>
      <c r="T648" s="3"/>
      <c r="U648" s="3"/>
      <c r="V648" s="3"/>
      <c r="W648" s="3"/>
      <c r="X648" s="3"/>
      <c r="Y648" s="3"/>
    </row>
    <row r="649">
      <c r="A649" s="7"/>
      <c r="B649" s="6"/>
      <c r="C649" s="6"/>
      <c r="D649" s="3"/>
      <c r="E649" s="3"/>
      <c r="F649" s="3"/>
      <c r="G649" s="3"/>
      <c r="H649" s="3"/>
      <c r="I649" s="3"/>
      <c r="J649" s="3"/>
      <c r="K649" s="3"/>
      <c r="L649" s="3"/>
      <c r="M649" s="3"/>
      <c r="N649" s="3"/>
      <c r="O649" s="3"/>
      <c r="P649" s="3"/>
      <c r="Q649" s="3"/>
      <c r="R649" s="3"/>
      <c r="S649" s="3"/>
      <c r="T649" s="3"/>
      <c r="U649" s="3"/>
      <c r="V649" s="3"/>
      <c r="W649" s="3"/>
      <c r="X649" s="3"/>
      <c r="Y649" s="3"/>
    </row>
    <row r="650">
      <c r="A650" s="7"/>
      <c r="B650" s="6"/>
      <c r="C650" s="6"/>
      <c r="D650" s="3"/>
      <c r="E650" s="3"/>
      <c r="F650" s="3"/>
      <c r="G650" s="3"/>
      <c r="H650" s="3"/>
      <c r="I650" s="3"/>
      <c r="J650" s="3"/>
      <c r="K650" s="3"/>
      <c r="L650" s="3"/>
      <c r="M650" s="3"/>
      <c r="N650" s="3"/>
      <c r="O650" s="3"/>
      <c r="P650" s="3"/>
      <c r="Q650" s="3"/>
      <c r="R650" s="3"/>
      <c r="S650" s="3"/>
      <c r="T650" s="3"/>
      <c r="U650" s="3"/>
      <c r="V650" s="3"/>
      <c r="W650" s="3"/>
      <c r="X650" s="3"/>
      <c r="Y650" s="3"/>
    </row>
    <row r="651">
      <c r="A651" s="7"/>
      <c r="B651" s="6"/>
      <c r="C651" s="6"/>
      <c r="D651" s="3"/>
      <c r="E651" s="3"/>
      <c r="F651" s="3"/>
      <c r="G651" s="3"/>
      <c r="H651" s="3"/>
      <c r="I651" s="3"/>
      <c r="J651" s="3"/>
      <c r="K651" s="3"/>
      <c r="L651" s="3"/>
      <c r="M651" s="3"/>
      <c r="N651" s="3"/>
      <c r="O651" s="3"/>
      <c r="P651" s="3"/>
      <c r="Q651" s="3"/>
      <c r="R651" s="3"/>
      <c r="S651" s="3"/>
      <c r="T651" s="3"/>
      <c r="U651" s="3"/>
      <c r="V651" s="3"/>
      <c r="W651" s="3"/>
      <c r="X651" s="3"/>
      <c r="Y651" s="3"/>
    </row>
    <row r="652">
      <c r="A652" s="7"/>
      <c r="B652" s="6"/>
      <c r="C652" s="6"/>
      <c r="D652" s="3"/>
      <c r="E652" s="3"/>
      <c r="F652" s="3"/>
      <c r="G652" s="3"/>
      <c r="H652" s="3"/>
      <c r="I652" s="3"/>
      <c r="J652" s="3"/>
      <c r="K652" s="3"/>
      <c r="L652" s="3"/>
      <c r="M652" s="3"/>
      <c r="N652" s="3"/>
      <c r="O652" s="3"/>
      <c r="P652" s="3"/>
      <c r="Q652" s="3"/>
      <c r="R652" s="3"/>
      <c r="S652" s="3"/>
      <c r="T652" s="3"/>
      <c r="U652" s="3"/>
      <c r="V652" s="3"/>
      <c r="W652" s="3"/>
      <c r="X652" s="3"/>
      <c r="Y652" s="3"/>
    </row>
    <row r="653">
      <c r="A653" s="7"/>
      <c r="B653" s="6"/>
      <c r="C653" s="6"/>
      <c r="D653" s="3"/>
      <c r="E653" s="3"/>
      <c r="F653" s="3"/>
      <c r="G653" s="3"/>
      <c r="H653" s="3"/>
      <c r="I653" s="3"/>
      <c r="J653" s="3"/>
      <c r="K653" s="3"/>
      <c r="L653" s="3"/>
      <c r="M653" s="3"/>
      <c r="N653" s="3"/>
      <c r="O653" s="3"/>
      <c r="P653" s="3"/>
      <c r="Q653" s="3"/>
      <c r="R653" s="3"/>
      <c r="S653" s="3"/>
      <c r="T653" s="3"/>
      <c r="U653" s="3"/>
      <c r="V653" s="3"/>
      <c r="W653" s="3"/>
      <c r="X653" s="3"/>
      <c r="Y653" s="3"/>
    </row>
    <row r="654">
      <c r="A654" s="7"/>
      <c r="B654" s="6"/>
      <c r="C654" s="6"/>
      <c r="D654" s="3"/>
      <c r="E654" s="3"/>
      <c r="F654" s="3"/>
      <c r="G654" s="3"/>
      <c r="H654" s="3"/>
      <c r="I654" s="3"/>
      <c r="J654" s="3"/>
      <c r="K654" s="3"/>
      <c r="L654" s="3"/>
      <c r="M654" s="3"/>
      <c r="N654" s="3"/>
      <c r="O654" s="3"/>
      <c r="P654" s="3"/>
      <c r="Q654" s="3"/>
      <c r="R654" s="3"/>
      <c r="S654" s="3"/>
      <c r="T654" s="3"/>
      <c r="U654" s="3"/>
      <c r="V654" s="3"/>
      <c r="W654" s="3"/>
      <c r="X654" s="3"/>
      <c r="Y654" s="3"/>
    </row>
    <row r="655">
      <c r="A655" s="7"/>
      <c r="B655" s="6"/>
      <c r="C655" s="6"/>
      <c r="D655" s="3"/>
      <c r="E655" s="3"/>
      <c r="F655" s="3"/>
      <c r="G655" s="3"/>
      <c r="H655" s="3"/>
      <c r="I655" s="3"/>
      <c r="J655" s="3"/>
      <c r="K655" s="3"/>
      <c r="L655" s="3"/>
      <c r="M655" s="3"/>
      <c r="N655" s="3"/>
      <c r="O655" s="3"/>
      <c r="P655" s="3"/>
      <c r="Q655" s="3"/>
      <c r="R655" s="3"/>
      <c r="S655" s="3"/>
      <c r="T655" s="3"/>
      <c r="U655" s="3"/>
      <c r="V655" s="3"/>
      <c r="W655" s="3"/>
      <c r="X655" s="3"/>
      <c r="Y655" s="3"/>
    </row>
    <row r="656">
      <c r="A656" s="7"/>
      <c r="B656" s="6"/>
      <c r="C656" s="6"/>
      <c r="D656" s="3"/>
      <c r="E656" s="3"/>
      <c r="F656" s="3"/>
      <c r="G656" s="3"/>
      <c r="H656" s="3"/>
      <c r="I656" s="3"/>
      <c r="J656" s="3"/>
      <c r="K656" s="3"/>
      <c r="L656" s="3"/>
      <c r="M656" s="3"/>
      <c r="N656" s="3"/>
      <c r="O656" s="3"/>
      <c r="P656" s="3"/>
      <c r="Q656" s="3"/>
      <c r="R656" s="3"/>
      <c r="S656" s="3"/>
      <c r="T656" s="3"/>
      <c r="U656" s="3"/>
      <c r="V656" s="3"/>
      <c r="W656" s="3"/>
      <c r="X656" s="3"/>
      <c r="Y656" s="3"/>
    </row>
    <row r="657">
      <c r="A657" s="7"/>
      <c r="B657" s="6"/>
      <c r="C657" s="6"/>
      <c r="D657" s="3"/>
      <c r="E657" s="3"/>
      <c r="F657" s="3"/>
      <c r="G657" s="3"/>
      <c r="H657" s="3"/>
      <c r="I657" s="3"/>
      <c r="J657" s="3"/>
      <c r="K657" s="3"/>
      <c r="L657" s="3"/>
      <c r="M657" s="3"/>
      <c r="N657" s="3"/>
      <c r="O657" s="3"/>
      <c r="P657" s="3"/>
      <c r="Q657" s="3"/>
      <c r="R657" s="3"/>
      <c r="S657" s="3"/>
      <c r="T657" s="3"/>
      <c r="U657" s="3"/>
      <c r="V657" s="3"/>
      <c r="W657" s="3"/>
      <c r="X657" s="3"/>
      <c r="Y657" s="3"/>
    </row>
    <row r="658">
      <c r="A658" s="7"/>
      <c r="B658" s="6"/>
      <c r="C658" s="6"/>
      <c r="D658" s="3"/>
      <c r="E658" s="3"/>
      <c r="F658" s="3"/>
      <c r="G658" s="3"/>
      <c r="H658" s="3"/>
      <c r="I658" s="3"/>
      <c r="J658" s="3"/>
      <c r="K658" s="3"/>
      <c r="L658" s="3"/>
      <c r="M658" s="3"/>
      <c r="N658" s="3"/>
      <c r="O658" s="3"/>
      <c r="P658" s="3"/>
      <c r="Q658" s="3"/>
      <c r="R658" s="3"/>
      <c r="S658" s="3"/>
      <c r="T658" s="3"/>
      <c r="U658" s="3"/>
      <c r="V658" s="3"/>
      <c r="W658" s="3"/>
      <c r="X658" s="3"/>
      <c r="Y658" s="3"/>
    </row>
    <row r="659">
      <c r="A659" s="7"/>
      <c r="B659" s="6"/>
      <c r="C659" s="6"/>
      <c r="D659" s="3"/>
      <c r="E659" s="3"/>
      <c r="F659" s="3"/>
      <c r="G659" s="3"/>
      <c r="H659" s="3"/>
      <c r="I659" s="3"/>
      <c r="J659" s="3"/>
      <c r="K659" s="3"/>
      <c r="L659" s="3"/>
      <c r="M659" s="3"/>
      <c r="N659" s="3"/>
      <c r="O659" s="3"/>
      <c r="P659" s="3"/>
      <c r="Q659" s="3"/>
      <c r="R659" s="3"/>
      <c r="S659" s="3"/>
      <c r="T659" s="3"/>
      <c r="U659" s="3"/>
      <c r="V659" s="3"/>
      <c r="W659" s="3"/>
      <c r="X659" s="3"/>
      <c r="Y659" s="3"/>
    </row>
    <row r="660">
      <c r="A660" s="7"/>
      <c r="B660" s="6"/>
      <c r="C660" s="6"/>
      <c r="D660" s="3"/>
      <c r="E660" s="3"/>
      <c r="F660" s="3"/>
      <c r="G660" s="3"/>
      <c r="H660" s="3"/>
      <c r="I660" s="3"/>
      <c r="J660" s="3"/>
      <c r="K660" s="3"/>
      <c r="L660" s="3"/>
      <c r="M660" s="3"/>
      <c r="N660" s="3"/>
      <c r="O660" s="3"/>
      <c r="P660" s="3"/>
      <c r="Q660" s="3"/>
      <c r="R660" s="3"/>
      <c r="S660" s="3"/>
      <c r="T660" s="3"/>
      <c r="U660" s="3"/>
      <c r="V660" s="3"/>
      <c r="W660" s="3"/>
      <c r="X660" s="3"/>
      <c r="Y660" s="3"/>
    </row>
    <row r="661">
      <c r="A661" s="7"/>
      <c r="B661" s="6"/>
      <c r="C661" s="6"/>
      <c r="D661" s="3"/>
      <c r="E661" s="3"/>
      <c r="F661" s="3"/>
      <c r="G661" s="3"/>
      <c r="H661" s="3"/>
      <c r="I661" s="3"/>
      <c r="J661" s="3"/>
      <c r="K661" s="3"/>
      <c r="L661" s="3"/>
      <c r="M661" s="3"/>
      <c r="N661" s="3"/>
      <c r="O661" s="3"/>
      <c r="P661" s="3"/>
      <c r="Q661" s="3"/>
      <c r="R661" s="3"/>
      <c r="S661" s="3"/>
      <c r="T661" s="3"/>
      <c r="U661" s="3"/>
      <c r="V661" s="3"/>
      <c r="W661" s="3"/>
      <c r="X661" s="3"/>
      <c r="Y661" s="3"/>
    </row>
    <row r="662">
      <c r="A662" s="7"/>
      <c r="B662" s="6"/>
      <c r="C662" s="6"/>
      <c r="D662" s="3"/>
      <c r="E662" s="3"/>
      <c r="F662" s="3"/>
      <c r="G662" s="3"/>
      <c r="H662" s="3"/>
      <c r="I662" s="3"/>
      <c r="J662" s="3"/>
      <c r="K662" s="3"/>
      <c r="L662" s="3"/>
      <c r="M662" s="3"/>
      <c r="N662" s="3"/>
      <c r="O662" s="3"/>
      <c r="P662" s="3"/>
      <c r="Q662" s="3"/>
      <c r="R662" s="3"/>
      <c r="S662" s="3"/>
      <c r="T662" s="3"/>
      <c r="U662" s="3"/>
      <c r="V662" s="3"/>
      <c r="W662" s="3"/>
      <c r="X662" s="3"/>
      <c r="Y662" s="3"/>
    </row>
    <row r="663">
      <c r="A663" s="7"/>
      <c r="B663" s="6"/>
      <c r="C663" s="6"/>
      <c r="D663" s="3"/>
      <c r="E663" s="3"/>
      <c r="F663" s="3"/>
      <c r="G663" s="3"/>
      <c r="H663" s="3"/>
      <c r="I663" s="3"/>
      <c r="J663" s="3"/>
      <c r="K663" s="3"/>
      <c r="L663" s="3"/>
      <c r="M663" s="3"/>
      <c r="N663" s="3"/>
      <c r="O663" s="3"/>
      <c r="P663" s="3"/>
      <c r="Q663" s="3"/>
      <c r="R663" s="3"/>
      <c r="S663" s="3"/>
      <c r="T663" s="3"/>
      <c r="U663" s="3"/>
      <c r="V663" s="3"/>
      <c r="W663" s="3"/>
      <c r="X663" s="3"/>
      <c r="Y663" s="3"/>
    </row>
    <row r="664">
      <c r="A664" s="7"/>
      <c r="B664" s="6"/>
      <c r="C664" s="6"/>
      <c r="D664" s="3"/>
      <c r="E664" s="3"/>
      <c r="F664" s="3"/>
      <c r="G664" s="3"/>
      <c r="H664" s="3"/>
      <c r="I664" s="3"/>
      <c r="J664" s="3"/>
      <c r="K664" s="3"/>
      <c r="L664" s="3"/>
      <c r="M664" s="3"/>
      <c r="N664" s="3"/>
      <c r="O664" s="3"/>
      <c r="P664" s="3"/>
      <c r="Q664" s="3"/>
      <c r="R664" s="3"/>
      <c r="S664" s="3"/>
      <c r="T664" s="3"/>
      <c r="U664" s="3"/>
      <c r="V664" s="3"/>
      <c r="W664" s="3"/>
      <c r="X664" s="3"/>
      <c r="Y664" s="3"/>
    </row>
    <row r="665">
      <c r="A665" s="7"/>
      <c r="B665" s="6"/>
      <c r="C665" s="6"/>
      <c r="D665" s="3"/>
      <c r="E665" s="3"/>
      <c r="F665" s="3"/>
      <c r="G665" s="3"/>
      <c r="H665" s="3"/>
      <c r="I665" s="3"/>
      <c r="J665" s="3"/>
      <c r="K665" s="3"/>
      <c r="L665" s="3"/>
      <c r="M665" s="3"/>
      <c r="N665" s="3"/>
      <c r="O665" s="3"/>
      <c r="P665" s="3"/>
      <c r="Q665" s="3"/>
      <c r="R665" s="3"/>
      <c r="S665" s="3"/>
      <c r="T665" s="3"/>
      <c r="U665" s="3"/>
      <c r="V665" s="3"/>
      <c r="W665" s="3"/>
      <c r="X665" s="3"/>
      <c r="Y665" s="3"/>
    </row>
    <row r="666">
      <c r="A666" s="7"/>
      <c r="B666" s="6"/>
      <c r="C666" s="6"/>
      <c r="D666" s="3"/>
      <c r="E666" s="3"/>
      <c r="F666" s="3"/>
      <c r="G666" s="3"/>
      <c r="H666" s="3"/>
      <c r="I666" s="3"/>
      <c r="J666" s="3"/>
      <c r="K666" s="3"/>
      <c r="L666" s="3"/>
      <c r="M666" s="3"/>
      <c r="N666" s="3"/>
      <c r="O666" s="3"/>
      <c r="P666" s="3"/>
      <c r="Q666" s="3"/>
      <c r="R666" s="3"/>
      <c r="S666" s="3"/>
      <c r="T666" s="3"/>
      <c r="U666" s="3"/>
      <c r="V666" s="3"/>
      <c r="W666" s="3"/>
      <c r="X666" s="3"/>
      <c r="Y666" s="3"/>
    </row>
    <row r="667">
      <c r="A667" s="7"/>
      <c r="B667" s="6"/>
      <c r="C667" s="6"/>
      <c r="D667" s="3"/>
      <c r="E667" s="3"/>
      <c r="F667" s="3"/>
      <c r="G667" s="3"/>
      <c r="H667" s="3"/>
      <c r="I667" s="3"/>
      <c r="J667" s="3"/>
      <c r="K667" s="3"/>
      <c r="L667" s="3"/>
      <c r="M667" s="3"/>
      <c r="N667" s="3"/>
      <c r="O667" s="3"/>
      <c r="P667" s="3"/>
      <c r="Q667" s="3"/>
      <c r="R667" s="3"/>
      <c r="S667" s="3"/>
      <c r="T667" s="3"/>
      <c r="U667" s="3"/>
      <c r="V667" s="3"/>
      <c r="W667" s="3"/>
      <c r="X667" s="3"/>
      <c r="Y667" s="3"/>
    </row>
    <row r="668">
      <c r="A668" s="7"/>
      <c r="B668" s="6"/>
      <c r="C668" s="6"/>
      <c r="D668" s="3"/>
      <c r="E668" s="3"/>
      <c r="F668" s="3"/>
      <c r="G668" s="3"/>
      <c r="H668" s="3"/>
      <c r="I668" s="3"/>
      <c r="J668" s="3"/>
      <c r="K668" s="3"/>
      <c r="L668" s="3"/>
      <c r="M668" s="3"/>
      <c r="N668" s="3"/>
      <c r="O668" s="3"/>
      <c r="P668" s="3"/>
      <c r="Q668" s="3"/>
      <c r="R668" s="3"/>
      <c r="S668" s="3"/>
      <c r="T668" s="3"/>
      <c r="U668" s="3"/>
      <c r="V668" s="3"/>
      <c r="W668" s="3"/>
      <c r="X668" s="3"/>
      <c r="Y668" s="3"/>
    </row>
    <row r="669">
      <c r="A669" s="7"/>
      <c r="B669" s="6"/>
      <c r="C669" s="6"/>
      <c r="D669" s="3"/>
      <c r="E669" s="3"/>
      <c r="F669" s="3"/>
      <c r="G669" s="3"/>
      <c r="H669" s="3"/>
      <c r="I669" s="3"/>
      <c r="J669" s="3"/>
      <c r="K669" s="3"/>
      <c r="L669" s="3"/>
      <c r="M669" s="3"/>
      <c r="N669" s="3"/>
      <c r="O669" s="3"/>
      <c r="P669" s="3"/>
      <c r="Q669" s="3"/>
      <c r="R669" s="3"/>
      <c r="S669" s="3"/>
      <c r="T669" s="3"/>
      <c r="U669" s="3"/>
      <c r="V669" s="3"/>
      <c r="W669" s="3"/>
      <c r="X669" s="3"/>
      <c r="Y669" s="3"/>
    </row>
    <row r="670">
      <c r="A670" s="7"/>
      <c r="B670" s="6"/>
      <c r="C670" s="6"/>
      <c r="D670" s="3"/>
      <c r="E670" s="3"/>
      <c r="F670" s="3"/>
      <c r="G670" s="3"/>
      <c r="H670" s="3"/>
      <c r="I670" s="3"/>
      <c r="J670" s="3"/>
      <c r="K670" s="3"/>
      <c r="L670" s="3"/>
      <c r="M670" s="3"/>
      <c r="N670" s="3"/>
      <c r="O670" s="3"/>
      <c r="P670" s="3"/>
      <c r="Q670" s="3"/>
      <c r="R670" s="3"/>
      <c r="S670" s="3"/>
      <c r="T670" s="3"/>
      <c r="U670" s="3"/>
      <c r="V670" s="3"/>
      <c r="W670" s="3"/>
      <c r="X670" s="3"/>
      <c r="Y670" s="3"/>
    </row>
    <row r="671">
      <c r="A671" s="7"/>
      <c r="B671" s="6"/>
      <c r="C671" s="6"/>
      <c r="D671" s="3"/>
      <c r="E671" s="3"/>
      <c r="F671" s="3"/>
      <c r="G671" s="3"/>
      <c r="H671" s="3"/>
      <c r="I671" s="3"/>
      <c r="J671" s="3"/>
      <c r="K671" s="3"/>
      <c r="L671" s="3"/>
      <c r="M671" s="3"/>
      <c r="N671" s="3"/>
      <c r="O671" s="3"/>
      <c r="P671" s="3"/>
      <c r="Q671" s="3"/>
      <c r="R671" s="3"/>
      <c r="S671" s="3"/>
      <c r="T671" s="3"/>
      <c r="U671" s="3"/>
      <c r="V671" s="3"/>
      <c r="W671" s="3"/>
      <c r="X671" s="3"/>
      <c r="Y671" s="3"/>
    </row>
    <row r="672">
      <c r="A672" s="7"/>
      <c r="B672" s="6"/>
      <c r="C672" s="6"/>
      <c r="D672" s="3"/>
      <c r="E672" s="3"/>
      <c r="F672" s="3"/>
      <c r="G672" s="3"/>
      <c r="H672" s="3"/>
      <c r="I672" s="3"/>
      <c r="J672" s="3"/>
      <c r="K672" s="3"/>
      <c r="L672" s="3"/>
      <c r="M672" s="3"/>
      <c r="N672" s="3"/>
      <c r="O672" s="3"/>
      <c r="P672" s="3"/>
      <c r="Q672" s="3"/>
      <c r="R672" s="3"/>
      <c r="S672" s="3"/>
      <c r="T672" s="3"/>
      <c r="U672" s="3"/>
      <c r="V672" s="3"/>
      <c r="W672" s="3"/>
      <c r="X672" s="3"/>
      <c r="Y672" s="3"/>
    </row>
    <row r="673">
      <c r="A673" s="7"/>
      <c r="B673" s="6"/>
      <c r="C673" s="6"/>
      <c r="D673" s="3"/>
      <c r="E673" s="3"/>
      <c r="F673" s="3"/>
      <c r="G673" s="3"/>
      <c r="H673" s="3"/>
      <c r="I673" s="3"/>
      <c r="J673" s="3"/>
      <c r="K673" s="3"/>
      <c r="L673" s="3"/>
      <c r="M673" s="3"/>
      <c r="N673" s="3"/>
      <c r="O673" s="3"/>
      <c r="P673" s="3"/>
      <c r="Q673" s="3"/>
      <c r="R673" s="3"/>
      <c r="S673" s="3"/>
      <c r="T673" s="3"/>
      <c r="U673" s="3"/>
      <c r="V673" s="3"/>
      <c r="W673" s="3"/>
      <c r="X673" s="3"/>
      <c r="Y673" s="3"/>
    </row>
    <row r="674">
      <c r="A674" s="7"/>
      <c r="B674" s="6"/>
      <c r="C674" s="6"/>
      <c r="D674" s="3"/>
      <c r="E674" s="3"/>
      <c r="F674" s="3"/>
      <c r="G674" s="3"/>
      <c r="H674" s="3"/>
      <c r="I674" s="3"/>
      <c r="J674" s="3"/>
      <c r="K674" s="3"/>
      <c r="L674" s="3"/>
      <c r="M674" s="3"/>
      <c r="N674" s="3"/>
      <c r="O674" s="3"/>
      <c r="P674" s="3"/>
      <c r="Q674" s="3"/>
      <c r="R674" s="3"/>
      <c r="S674" s="3"/>
      <c r="T674" s="3"/>
      <c r="U674" s="3"/>
      <c r="V674" s="3"/>
      <c r="W674" s="3"/>
      <c r="X674" s="3"/>
      <c r="Y674" s="3"/>
    </row>
    <row r="675">
      <c r="A675" s="7"/>
      <c r="B675" s="6"/>
      <c r="C675" s="6"/>
      <c r="D675" s="3"/>
      <c r="E675" s="3"/>
      <c r="F675" s="3"/>
      <c r="G675" s="3"/>
      <c r="H675" s="3"/>
      <c r="I675" s="3"/>
      <c r="J675" s="3"/>
      <c r="K675" s="3"/>
      <c r="L675" s="3"/>
      <c r="M675" s="3"/>
      <c r="N675" s="3"/>
      <c r="O675" s="3"/>
      <c r="P675" s="3"/>
      <c r="Q675" s="3"/>
      <c r="R675" s="3"/>
      <c r="S675" s="3"/>
      <c r="T675" s="3"/>
      <c r="U675" s="3"/>
      <c r="V675" s="3"/>
      <c r="W675" s="3"/>
      <c r="X675" s="3"/>
      <c r="Y675" s="3"/>
    </row>
    <row r="676">
      <c r="A676" s="7"/>
      <c r="B676" s="6"/>
      <c r="C676" s="6"/>
      <c r="D676" s="3"/>
      <c r="E676" s="3"/>
      <c r="F676" s="3"/>
      <c r="G676" s="3"/>
      <c r="H676" s="3"/>
      <c r="I676" s="3"/>
      <c r="J676" s="3"/>
      <c r="K676" s="3"/>
      <c r="L676" s="3"/>
      <c r="M676" s="3"/>
      <c r="N676" s="3"/>
      <c r="O676" s="3"/>
      <c r="P676" s="3"/>
      <c r="Q676" s="3"/>
      <c r="R676" s="3"/>
      <c r="S676" s="3"/>
      <c r="T676" s="3"/>
      <c r="U676" s="3"/>
      <c r="V676" s="3"/>
      <c r="W676" s="3"/>
      <c r="X676" s="3"/>
      <c r="Y676" s="3"/>
    </row>
    <row r="677">
      <c r="A677" s="7"/>
      <c r="B677" s="6"/>
      <c r="C677" s="6"/>
      <c r="D677" s="3"/>
      <c r="E677" s="3"/>
      <c r="F677" s="3"/>
      <c r="G677" s="3"/>
      <c r="H677" s="3"/>
      <c r="I677" s="3"/>
      <c r="J677" s="3"/>
      <c r="K677" s="3"/>
      <c r="L677" s="3"/>
      <c r="M677" s="3"/>
      <c r="N677" s="3"/>
      <c r="O677" s="3"/>
      <c r="P677" s="3"/>
      <c r="Q677" s="3"/>
      <c r="R677" s="3"/>
      <c r="S677" s="3"/>
      <c r="T677" s="3"/>
      <c r="U677" s="3"/>
      <c r="V677" s="3"/>
      <c r="W677" s="3"/>
      <c r="X677" s="3"/>
      <c r="Y677" s="3"/>
    </row>
    <row r="678">
      <c r="A678" s="7"/>
      <c r="B678" s="6"/>
      <c r="C678" s="6"/>
      <c r="D678" s="3"/>
      <c r="E678" s="3"/>
      <c r="F678" s="3"/>
      <c r="G678" s="3"/>
      <c r="H678" s="3"/>
      <c r="I678" s="3"/>
      <c r="J678" s="3"/>
      <c r="K678" s="3"/>
      <c r="L678" s="3"/>
      <c r="M678" s="3"/>
      <c r="N678" s="3"/>
      <c r="O678" s="3"/>
      <c r="P678" s="3"/>
      <c r="Q678" s="3"/>
      <c r="R678" s="3"/>
      <c r="S678" s="3"/>
      <c r="T678" s="3"/>
      <c r="U678" s="3"/>
      <c r="V678" s="3"/>
      <c r="W678" s="3"/>
      <c r="X678" s="3"/>
      <c r="Y678" s="3"/>
    </row>
    <row r="679">
      <c r="A679" s="7"/>
      <c r="B679" s="6"/>
      <c r="C679" s="6"/>
      <c r="D679" s="3"/>
      <c r="E679" s="3"/>
      <c r="F679" s="3"/>
      <c r="G679" s="3"/>
      <c r="H679" s="3"/>
      <c r="I679" s="3"/>
      <c r="J679" s="3"/>
      <c r="K679" s="3"/>
      <c r="L679" s="3"/>
      <c r="M679" s="3"/>
      <c r="N679" s="3"/>
      <c r="O679" s="3"/>
      <c r="P679" s="3"/>
      <c r="Q679" s="3"/>
      <c r="R679" s="3"/>
      <c r="S679" s="3"/>
      <c r="T679" s="3"/>
      <c r="U679" s="3"/>
      <c r="V679" s="3"/>
      <c r="W679" s="3"/>
      <c r="X679" s="3"/>
      <c r="Y679" s="3"/>
    </row>
    <row r="680">
      <c r="A680" s="7"/>
      <c r="B680" s="6"/>
      <c r="C680" s="6"/>
      <c r="D680" s="3"/>
      <c r="E680" s="3"/>
      <c r="F680" s="3"/>
      <c r="G680" s="3"/>
      <c r="H680" s="3"/>
      <c r="I680" s="3"/>
      <c r="J680" s="3"/>
      <c r="K680" s="3"/>
      <c r="L680" s="3"/>
      <c r="M680" s="3"/>
      <c r="N680" s="3"/>
      <c r="O680" s="3"/>
      <c r="P680" s="3"/>
      <c r="Q680" s="3"/>
      <c r="R680" s="3"/>
      <c r="S680" s="3"/>
      <c r="T680" s="3"/>
      <c r="U680" s="3"/>
      <c r="V680" s="3"/>
      <c r="W680" s="3"/>
      <c r="X680" s="3"/>
      <c r="Y680" s="3"/>
    </row>
    <row r="681">
      <c r="A681" s="7"/>
      <c r="B681" s="6"/>
      <c r="C681" s="6"/>
      <c r="D681" s="3"/>
      <c r="E681" s="3"/>
      <c r="F681" s="3"/>
      <c r="G681" s="3"/>
      <c r="H681" s="3"/>
      <c r="I681" s="3"/>
      <c r="J681" s="3"/>
      <c r="K681" s="3"/>
      <c r="L681" s="3"/>
      <c r="M681" s="3"/>
      <c r="N681" s="3"/>
      <c r="O681" s="3"/>
      <c r="P681" s="3"/>
      <c r="Q681" s="3"/>
      <c r="R681" s="3"/>
      <c r="S681" s="3"/>
      <c r="T681" s="3"/>
      <c r="U681" s="3"/>
      <c r="V681" s="3"/>
      <c r="W681" s="3"/>
      <c r="X681" s="3"/>
      <c r="Y681" s="3"/>
    </row>
    <row r="682">
      <c r="A682" s="7"/>
      <c r="B682" s="6"/>
      <c r="C682" s="6"/>
      <c r="D682" s="3"/>
      <c r="E682" s="3"/>
      <c r="F682" s="3"/>
      <c r="G682" s="3"/>
      <c r="H682" s="3"/>
      <c r="I682" s="3"/>
      <c r="J682" s="3"/>
      <c r="K682" s="3"/>
      <c r="L682" s="3"/>
      <c r="M682" s="3"/>
      <c r="N682" s="3"/>
      <c r="O682" s="3"/>
      <c r="P682" s="3"/>
      <c r="Q682" s="3"/>
      <c r="R682" s="3"/>
      <c r="S682" s="3"/>
      <c r="T682" s="3"/>
      <c r="U682" s="3"/>
      <c r="V682" s="3"/>
      <c r="W682" s="3"/>
      <c r="X682" s="3"/>
      <c r="Y682" s="3"/>
    </row>
    <row r="683">
      <c r="A683" s="7"/>
      <c r="B683" s="6"/>
      <c r="C683" s="6"/>
      <c r="D683" s="3"/>
      <c r="E683" s="3"/>
      <c r="F683" s="3"/>
      <c r="G683" s="3"/>
      <c r="H683" s="3"/>
      <c r="I683" s="3"/>
      <c r="J683" s="3"/>
      <c r="K683" s="3"/>
      <c r="L683" s="3"/>
      <c r="M683" s="3"/>
      <c r="N683" s="3"/>
      <c r="O683" s="3"/>
      <c r="P683" s="3"/>
      <c r="Q683" s="3"/>
      <c r="R683" s="3"/>
      <c r="S683" s="3"/>
      <c r="T683" s="3"/>
      <c r="U683" s="3"/>
      <c r="V683" s="3"/>
      <c r="W683" s="3"/>
      <c r="X683" s="3"/>
      <c r="Y683" s="3"/>
    </row>
    <row r="684">
      <c r="A684" s="7"/>
      <c r="B684" s="6"/>
      <c r="C684" s="6"/>
      <c r="D684" s="3"/>
      <c r="E684" s="3"/>
      <c r="F684" s="3"/>
      <c r="G684" s="3"/>
      <c r="H684" s="3"/>
      <c r="I684" s="3"/>
      <c r="J684" s="3"/>
      <c r="K684" s="3"/>
      <c r="L684" s="3"/>
      <c r="M684" s="3"/>
      <c r="N684" s="3"/>
      <c r="O684" s="3"/>
      <c r="P684" s="3"/>
      <c r="Q684" s="3"/>
      <c r="R684" s="3"/>
      <c r="S684" s="3"/>
      <c r="T684" s="3"/>
      <c r="U684" s="3"/>
      <c r="V684" s="3"/>
      <c r="W684" s="3"/>
      <c r="X684" s="3"/>
      <c r="Y684" s="3"/>
    </row>
    <row r="685">
      <c r="A685" s="7"/>
      <c r="B685" s="6"/>
      <c r="C685" s="6"/>
      <c r="D685" s="3"/>
      <c r="E685" s="3"/>
      <c r="F685" s="3"/>
      <c r="G685" s="3"/>
      <c r="H685" s="3"/>
      <c r="I685" s="3"/>
      <c r="J685" s="3"/>
      <c r="K685" s="3"/>
      <c r="L685" s="3"/>
      <c r="M685" s="3"/>
      <c r="N685" s="3"/>
      <c r="O685" s="3"/>
      <c r="P685" s="3"/>
      <c r="Q685" s="3"/>
      <c r="R685" s="3"/>
      <c r="S685" s="3"/>
      <c r="T685" s="3"/>
      <c r="U685" s="3"/>
      <c r="V685" s="3"/>
      <c r="W685" s="3"/>
      <c r="X685" s="3"/>
      <c r="Y685" s="3"/>
    </row>
    <row r="686">
      <c r="A686" s="7"/>
      <c r="B686" s="6"/>
      <c r="C686" s="6"/>
      <c r="D686" s="3"/>
      <c r="E686" s="3"/>
      <c r="F686" s="3"/>
      <c r="G686" s="3"/>
      <c r="H686" s="3"/>
      <c r="I686" s="3"/>
      <c r="J686" s="3"/>
      <c r="K686" s="3"/>
      <c r="L686" s="3"/>
      <c r="M686" s="3"/>
      <c r="N686" s="3"/>
      <c r="O686" s="3"/>
      <c r="P686" s="3"/>
      <c r="Q686" s="3"/>
      <c r="R686" s="3"/>
      <c r="S686" s="3"/>
      <c r="T686" s="3"/>
      <c r="U686" s="3"/>
      <c r="V686" s="3"/>
      <c r="W686" s="3"/>
      <c r="X686" s="3"/>
      <c r="Y686" s="3"/>
    </row>
    <row r="687">
      <c r="A687" s="7"/>
      <c r="B687" s="6"/>
      <c r="C687" s="6"/>
      <c r="D687" s="3"/>
      <c r="E687" s="3"/>
      <c r="F687" s="3"/>
      <c r="G687" s="3"/>
      <c r="H687" s="3"/>
      <c r="I687" s="3"/>
      <c r="J687" s="3"/>
      <c r="K687" s="3"/>
      <c r="L687" s="3"/>
      <c r="M687" s="3"/>
      <c r="N687" s="3"/>
      <c r="O687" s="3"/>
      <c r="P687" s="3"/>
      <c r="Q687" s="3"/>
      <c r="R687" s="3"/>
      <c r="S687" s="3"/>
      <c r="T687" s="3"/>
      <c r="U687" s="3"/>
      <c r="V687" s="3"/>
      <c r="W687" s="3"/>
      <c r="X687" s="3"/>
      <c r="Y687" s="3"/>
    </row>
    <row r="688">
      <c r="A688" s="7"/>
      <c r="B688" s="6"/>
      <c r="C688" s="6"/>
      <c r="D688" s="3"/>
      <c r="E688" s="3"/>
      <c r="F688" s="3"/>
      <c r="G688" s="3"/>
      <c r="H688" s="3"/>
      <c r="I688" s="3"/>
      <c r="J688" s="3"/>
      <c r="K688" s="3"/>
      <c r="L688" s="3"/>
      <c r="M688" s="3"/>
      <c r="N688" s="3"/>
      <c r="O688" s="3"/>
      <c r="P688" s="3"/>
      <c r="Q688" s="3"/>
      <c r="R688" s="3"/>
      <c r="S688" s="3"/>
      <c r="T688" s="3"/>
      <c r="U688" s="3"/>
      <c r="V688" s="3"/>
      <c r="W688" s="3"/>
      <c r="X688" s="3"/>
      <c r="Y688" s="3"/>
    </row>
    <row r="689">
      <c r="A689" s="7"/>
      <c r="B689" s="6"/>
      <c r="C689" s="6"/>
      <c r="D689" s="3"/>
      <c r="E689" s="3"/>
      <c r="F689" s="3"/>
      <c r="G689" s="3"/>
      <c r="H689" s="3"/>
      <c r="I689" s="3"/>
      <c r="J689" s="3"/>
      <c r="K689" s="3"/>
      <c r="L689" s="3"/>
      <c r="M689" s="3"/>
      <c r="N689" s="3"/>
      <c r="O689" s="3"/>
      <c r="P689" s="3"/>
      <c r="Q689" s="3"/>
      <c r="R689" s="3"/>
      <c r="S689" s="3"/>
      <c r="T689" s="3"/>
      <c r="U689" s="3"/>
      <c r="V689" s="3"/>
      <c r="W689" s="3"/>
      <c r="X689" s="3"/>
      <c r="Y689" s="3"/>
    </row>
    <row r="690">
      <c r="A690" s="7"/>
      <c r="B690" s="6"/>
      <c r="C690" s="6"/>
      <c r="D690" s="3"/>
      <c r="E690" s="3"/>
      <c r="F690" s="3"/>
      <c r="G690" s="3"/>
      <c r="H690" s="3"/>
      <c r="I690" s="3"/>
      <c r="J690" s="3"/>
      <c r="K690" s="3"/>
      <c r="L690" s="3"/>
      <c r="M690" s="3"/>
      <c r="N690" s="3"/>
      <c r="O690" s="3"/>
      <c r="P690" s="3"/>
      <c r="Q690" s="3"/>
      <c r="R690" s="3"/>
      <c r="S690" s="3"/>
      <c r="T690" s="3"/>
      <c r="U690" s="3"/>
      <c r="V690" s="3"/>
      <c r="W690" s="3"/>
      <c r="X690" s="3"/>
      <c r="Y690" s="3"/>
    </row>
    <row r="691">
      <c r="A691" s="7"/>
      <c r="B691" s="6"/>
      <c r="C691" s="6"/>
      <c r="D691" s="3"/>
      <c r="E691" s="3"/>
      <c r="F691" s="3"/>
      <c r="G691" s="3"/>
      <c r="H691" s="3"/>
      <c r="I691" s="3"/>
      <c r="J691" s="3"/>
      <c r="K691" s="3"/>
      <c r="L691" s="3"/>
      <c r="M691" s="3"/>
      <c r="N691" s="3"/>
      <c r="O691" s="3"/>
      <c r="P691" s="3"/>
      <c r="Q691" s="3"/>
      <c r="R691" s="3"/>
      <c r="S691" s="3"/>
      <c r="T691" s="3"/>
      <c r="U691" s="3"/>
      <c r="V691" s="3"/>
      <c r="W691" s="3"/>
      <c r="X691" s="3"/>
      <c r="Y691" s="3"/>
    </row>
    <row r="692">
      <c r="A692" s="7"/>
      <c r="B692" s="6"/>
      <c r="C692" s="6"/>
      <c r="D692" s="3"/>
      <c r="E692" s="3"/>
      <c r="F692" s="3"/>
      <c r="G692" s="3"/>
      <c r="H692" s="3"/>
      <c r="I692" s="3"/>
      <c r="J692" s="3"/>
      <c r="K692" s="3"/>
      <c r="L692" s="3"/>
      <c r="M692" s="3"/>
      <c r="N692" s="3"/>
      <c r="O692" s="3"/>
      <c r="P692" s="3"/>
      <c r="Q692" s="3"/>
      <c r="R692" s="3"/>
      <c r="S692" s="3"/>
      <c r="T692" s="3"/>
      <c r="U692" s="3"/>
      <c r="V692" s="3"/>
      <c r="W692" s="3"/>
      <c r="X692" s="3"/>
      <c r="Y692" s="3"/>
    </row>
    <row r="693">
      <c r="A693" s="7"/>
      <c r="B693" s="6"/>
      <c r="C693" s="6"/>
      <c r="D693" s="3"/>
      <c r="E693" s="3"/>
      <c r="F693" s="3"/>
      <c r="G693" s="3"/>
      <c r="H693" s="3"/>
      <c r="I693" s="3"/>
      <c r="J693" s="3"/>
      <c r="K693" s="3"/>
      <c r="L693" s="3"/>
      <c r="M693" s="3"/>
      <c r="N693" s="3"/>
      <c r="O693" s="3"/>
      <c r="P693" s="3"/>
      <c r="Q693" s="3"/>
      <c r="R693" s="3"/>
      <c r="S693" s="3"/>
      <c r="T693" s="3"/>
      <c r="U693" s="3"/>
      <c r="V693" s="3"/>
      <c r="W693" s="3"/>
      <c r="X693" s="3"/>
      <c r="Y693" s="3"/>
    </row>
    <row r="694">
      <c r="A694" s="7"/>
      <c r="B694" s="6"/>
      <c r="C694" s="6"/>
      <c r="D694" s="3"/>
      <c r="E694" s="3"/>
      <c r="F694" s="3"/>
      <c r="G694" s="3"/>
      <c r="H694" s="3"/>
      <c r="I694" s="3"/>
      <c r="J694" s="3"/>
      <c r="K694" s="3"/>
      <c r="L694" s="3"/>
      <c r="M694" s="3"/>
      <c r="N694" s="3"/>
      <c r="O694" s="3"/>
      <c r="P694" s="3"/>
      <c r="Q694" s="3"/>
      <c r="R694" s="3"/>
      <c r="S694" s="3"/>
      <c r="T694" s="3"/>
      <c r="U694" s="3"/>
      <c r="V694" s="3"/>
      <c r="W694" s="3"/>
      <c r="X694" s="3"/>
      <c r="Y694" s="3"/>
    </row>
    <row r="695">
      <c r="A695" s="7"/>
      <c r="B695" s="6"/>
      <c r="C695" s="6"/>
      <c r="D695" s="3"/>
      <c r="E695" s="3"/>
      <c r="F695" s="3"/>
      <c r="G695" s="3"/>
      <c r="H695" s="3"/>
      <c r="I695" s="3"/>
      <c r="J695" s="3"/>
      <c r="K695" s="3"/>
      <c r="L695" s="3"/>
      <c r="M695" s="3"/>
      <c r="N695" s="3"/>
      <c r="O695" s="3"/>
      <c r="P695" s="3"/>
      <c r="Q695" s="3"/>
      <c r="R695" s="3"/>
      <c r="S695" s="3"/>
      <c r="T695" s="3"/>
      <c r="U695" s="3"/>
      <c r="V695" s="3"/>
      <c r="W695" s="3"/>
      <c r="X695" s="3"/>
      <c r="Y695" s="3"/>
    </row>
    <row r="696">
      <c r="A696" s="7"/>
      <c r="B696" s="6"/>
      <c r="C696" s="6"/>
      <c r="D696" s="3"/>
      <c r="E696" s="3"/>
      <c r="F696" s="3"/>
      <c r="G696" s="3"/>
      <c r="H696" s="3"/>
      <c r="I696" s="3"/>
      <c r="J696" s="3"/>
      <c r="K696" s="3"/>
      <c r="L696" s="3"/>
      <c r="M696" s="3"/>
      <c r="N696" s="3"/>
      <c r="O696" s="3"/>
      <c r="P696" s="3"/>
      <c r="Q696" s="3"/>
      <c r="R696" s="3"/>
      <c r="S696" s="3"/>
      <c r="T696" s="3"/>
      <c r="U696" s="3"/>
      <c r="V696" s="3"/>
      <c r="W696" s="3"/>
      <c r="X696" s="3"/>
      <c r="Y696" s="3"/>
    </row>
    <row r="697">
      <c r="A697" s="7"/>
      <c r="B697" s="6"/>
      <c r="C697" s="6"/>
      <c r="D697" s="3"/>
      <c r="E697" s="3"/>
      <c r="F697" s="3"/>
      <c r="G697" s="3"/>
      <c r="H697" s="3"/>
      <c r="I697" s="3"/>
      <c r="J697" s="3"/>
      <c r="K697" s="3"/>
      <c r="L697" s="3"/>
      <c r="M697" s="3"/>
      <c r="N697" s="3"/>
      <c r="O697" s="3"/>
      <c r="P697" s="3"/>
      <c r="Q697" s="3"/>
      <c r="R697" s="3"/>
      <c r="S697" s="3"/>
      <c r="T697" s="3"/>
      <c r="U697" s="3"/>
      <c r="V697" s="3"/>
      <c r="W697" s="3"/>
      <c r="X697" s="3"/>
      <c r="Y697" s="3"/>
    </row>
    <row r="698">
      <c r="A698" s="7"/>
      <c r="B698" s="6"/>
      <c r="C698" s="6"/>
      <c r="D698" s="3"/>
      <c r="E698" s="3"/>
      <c r="F698" s="3"/>
      <c r="G698" s="3"/>
      <c r="H698" s="3"/>
      <c r="I698" s="3"/>
      <c r="J698" s="3"/>
      <c r="K698" s="3"/>
      <c r="L698" s="3"/>
      <c r="M698" s="3"/>
      <c r="N698" s="3"/>
      <c r="O698" s="3"/>
      <c r="P698" s="3"/>
      <c r="Q698" s="3"/>
      <c r="R698" s="3"/>
      <c r="S698" s="3"/>
      <c r="T698" s="3"/>
      <c r="U698" s="3"/>
      <c r="V698" s="3"/>
      <c r="W698" s="3"/>
      <c r="X698" s="3"/>
      <c r="Y698" s="3"/>
    </row>
    <row r="699">
      <c r="A699" s="7"/>
      <c r="B699" s="6"/>
      <c r="C699" s="6"/>
      <c r="D699" s="3"/>
      <c r="E699" s="3"/>
      <c r="F699" s="3"/>
      <c r="G699" s="3"/>
      <c r="H699" s="3"/>
      <c r="I699" s="3"/>
      <c r="J699" s="3"/>
      <c r="K699" s="3"/>
      <c r="L699" s="3"/>
      <c r="M699" s="3"/>
      <c r="N699" s="3"/>
      <c r="O699" s="3"/>
      <c r="P699" s="3"/>
      <c r="Q699" s="3"/>
      <c r="R699" s="3"/>
      <c r="S699" s="3"/>
      <c r="T699" s="3"/>
      <c r="U699" s="3"/>
      <c r="V699" s="3"/>
      <c r="W699" s="3"/>
      <c r="X699" s="3"/>
      <c r="Y699" s="3"/>
    </row>
    <row r="700">
      <c r="A700" s="7"/>
      <c r="B700" s="6"/>
      <c r="C700" s="6"/>
      <c r="D700" s="3"/>
      <c r="E700" s="3"/>
      <c r="F700" s="3"/>
      <c r="G700" s="3"/>
      <c r="H700" s="3"/>
      <c r="I700" s="3"/>
      <c r="J700" s="3"/>
      <c r="K700" s="3"/>
      <c r="L700" s="3"/>
      <c r="M700" s="3"/>
      <c r="N700" s="3"/>
      <c r="O700" s="3"/>
      <c r="P700" s="3"/>
      <c r="Q700" s="3"/>
      <c r="R700" s="3"/>
      <c r="S700" s="3"/>
      <c r="T700" s="3"/>
      <c r="U700" s="3"/>
      <c r="V700" s="3"/>
      <c r="W700" s="3"/>
      <c r="X700" s="3"/>
      <c r="Y700" s="3"/>
    </row>
    <row r="701">
      <c r="A701" s="7"/>
      <c r="B701" s="6"/>
      <c r="C701" s="6"/>
      <c r="D701" s="3"/>
      <c r="E701" s="3"/>
      <c r="F701" s="3"/>
      <c r="G701" s="3"/>
      <c r="H701" s="3"/>
      <c r="I701" s="3"/>
      <c r="J701" s="3"/>
      <c r="K701" s="3"/>
      <c r="L701" s="3"/>
      <c r="M701" s="3"/>
      <c r="N701" s="3"/>
      <c r="O701" s="3"/>
      <c r="P701" s="3"/>
      <c r="Q701" s="3"/>
      <c r="R701" s="3"/>
      <c r="S701" s="3"/>
      <c r="T701" s="3"/>
      <c r="U701" s="3"/>
      <c r="V701" s="3"/>
      <c r="W701" s="3"/>
      <c r="X701" s="3"/>
      <c r="Y701" s="3"/>
    </row>
    <row r="702">
      <c r="A702" s="7"/>
      <c r="B702" s="6"/>
      <c r="C702" s="6"/>
      <c r="D702" s="3"/>
      <c r="E702" s="3"/>
      <c r="F702" s="3"/>
      <c r="G702" s="3"/>
      <c r="H702" s="3"/>
      <c r="I702" s="3"/>
      <c r="J702" s="3"/>
      <c r="K702" s="3"/>
      <c r="L702" s="3"/>
      <c r="M702" s="3"/>
      <c r="N702" s="3"/>
      <c r="O702" s="3"/>
      <c r="P702" s="3"/>
      <c r="Q702" s="3"/>
      <c r="R702" s="3"/>
      <c r="S702" s="3"/>
      <c r="T702" s="3"/>
      <c r="U702" s="3"/>
      <c r="V702" s="3"/>
      <c r="W702" s="3"/>
      <c r="X702" s="3"/>
      <c r="Y702" s="3"/>
    </row>
    <row r="703">
      <c r="A703" s="7"/>
      <c r="B703" s="6"/>
      <c r="C703" s="6"/>
      <c r="D703" s="3"/>
      <c r="E703" s="3"/>
      <c r="F703" s="3"/>
      <c r="G703" s="3"/>
      <c r="H703" s="3"/>
      <c r="I703" s="3"/>
      <c r="J703" s="3"/>
      <c r="K703" s="3"/>
      <c r="L703" s="3"/>
      <c r="M703" s="3"/>
      <c r="N703" s="3"/>
      <c r="O703" s="3"/>
      <c r="P703" s="3"/>
      <c r="Q703" s="3"/>
      <c r="R703" s="3"/>
      <c r="S703" s="3"/>
      <c r="T703" s="3"/>
      <c r="U703" s="3"/>
      <c r="V703" s="3"/>
      <c r="W703" s="3"/>
      <c r="X703" s="3"/>
      <c r="Y703" s="3"/>
    </row>
    <row r="704">
      <c r="A704" s="7"/>
      <c r="B704" s="6"/>
      <c r="C704" s="6"/>
      <c r="D704" s="3"/>
      <c r="E704" s="3"/>
      <c r="F704" s="3"/>
      <c r="G704" s="3"/>
      <c r="H704" s="3"/>
      <c r="I704" s="3"/>
      <c r="J704" s="3"/>
      <c r="K704" s="3"/>
      <c r="L704" s="3"/>
      <c r="M704" s="3"/>
      <c r="N704" s="3"/>
      <c r="O704" s="3"/>
      <c r="P704" s="3"/>
      <c r="Q704" s="3"/>
      <c r="R704" s="3"/>
      <c r="S704" s="3"/>
      <c r="T704" s="3"/>
      <c r="U704" s="3"/>
      <c r="V704" s="3"/>
      <c r="W704" s="3"/>
      <c r="X704" s="3"/>
      <c r="Y704" s="3"/>
    </row>
    <row r="705">
      <c r="A705" s="7"/>
      <c r="B705" s="6"/>
      <c r="C705" s="6"/>
      <c r="D705" s="3"/>
      <c r="E705" s="3"/>
      <c r="F705" s="3"/>
      <c r="G705" s="3"/>
      <c r="H705" s="3"/>
      <c r="I705" s="3"/>
      <c r="J705" s="3"/>
      <c r="K705" s="3"/>
      <c r="L705" s="3"/>
      <c r="M705" s="3"/>
      <c r="N705" s="3"/>
      <c r="O705" s="3"/>
      <c r="P705" s="3"/>
      <c r="Q705" s="3"/>
      <c r="R705" s="3"/>
      <c r="S705" s="3"/>
      <c r="T705" s="3"/>
      <c r="U705" s="3"/>
      <c r="V705" s="3"/>
      <c r="W705" s="3"/>
      <c r="X705" s="3"/>
      <c r="Y705" s="3"/>
    </row>
    <row r="706">
      <c r="A706" s="7"/>
      <c r="B706" s="6"/>
      <c r="C706" s="6"/>
      <c r="D706" s="3"/>
      <c r="E706" s="3"/>
      <c r="F706" s="3"/>
      <c r="G706" s="3"/>
      <c r="H706" s="3"/>
      <c r="I706" s="3"/>
      <c r="J706" s="3"/>
      <c r="K706" s="3"/>
      <c r="L706" s="3"/>
      <c r="M706" s="3"/>
      <c r="N706" s="3"/>
      <c r="O706" s="3"/>
      <c r="P706" s="3"/>
      <c r="Q706" s="3"/>
      <c r="R706" s="3"/>
      <c r="S706" s="3"/>
      <c r="T706" s="3"/>
      <c r="U706" s="3"/>
      <c r="V706" s="3"/>
      <c r="W706" s="3"/>
      <c r="X706" s="3"/>
      <c r="Y706" s="3"/>
    </row>
    <row r="707">
      <c r="A707" s="7"/>
      <c r="B707" s="6"/>
      <c r="C707" s="6"/>
      <c r="D707" s="3"/>
      <c r="E707" s="3"/>
      <c r="F707" s="3"/>
      <c r="G707" s="3"/>
      <c r="H707" s="3"/>
      <c r="I707" s="3"/>
      <c r="J707" s="3"/>
      <c r="K707" s="3"/>
      <c r="L707" s="3"/>
      <c r="M707" s="3"/>
      <c r="N707" s="3"/>
      <c r="O707" s="3"/>
      <c r="P707" s="3"/>
      <c r="Q707" s="3"/>
      <c r="R707" s="3"/>
      <c r="S707" s="3"/>
      <c r="T707" s="3"/>
      <c r="U707" s="3"/>
      <c r="V707" s="3"/>
      <c r="W707" s="3"/>
      <c r="X707" s="3"/>
      <c r="Y707" s="3"/>
    </row>
    <row r="708">
      <c r="A708" s="7"/>
      <c r="B708" s="6"/>
      <c r="C708" s="6"/>
      <c r="D708" s="3"/>
      <c r="E708" s="3"/>
      <c r="F708" s="3"/>
      <c r="G708" s="3"/>
      <c r="H708" s="3"/>
      <c r="I708" s="3"/>
      <c r="J708" s="3"/>
      <c r="K708" s="3"/>
      <c r="L708" s="3"/>
      <c r="M708" s="3"/>
      <c r="N708" s="3"/>
      <c r="O708" s="3"/>
      <c r="P708" s="3"/>
      <c r="Q708" s="3"/>
      <c r="R708" s="3"/>
      <c r="S708" s="3"/>
      <c r="T708" s="3"/>
      <c r="U708" s="3"/>
      <c r="V708" s="3"/>
      <c r="W708" s="3"/>
      <c r="X708" s="3"/>
      <c r="Y708" s="3"/>
    </row>
    <row r="709">
      <c r="A709" s="7"/>
      <c r="B709" s="6"/>
      <c r="C709" s="6"/>
      <c r="D709" s="3"/>
      <c r="E709" s="3"/>
      <c r="F709" s="3"/>
      <c r="G709" s="3"/>
      <c r="H709" s="3"/>
      <c r="I709" s="3"/>
      <c r="J709" s="3"/>
      <c r="K709" s="3"/>
      <c r="L709" s="3"/>
      <c r="M709" s="3"/>
      <c r="N709" s="3"/>
      <c r="O709" s="3"/>
      <c r="P709" s="3"/>
      <c r="Q709" s="3"/>
      <c r="R709" s="3"/>
      <c r="S709" s="3"/>
      <c r="T709" s="3"/>
      <c r="U709" s="3"/>
      <c r="V709" s="3"/>
      <c r="W709" s="3"/>
      <c r="X709" s="3"/>
      <c r="Y709" s="3"/>
    </row>
    <row r="710">
      <c r="A710" s="7"/>
      <c r="B710" s="6"/>
      <c r="C710" s="6"/>
      <c r="D710" s="3"/>
      <c r="E710" s="3"/>
      <c r="F710" s="3"/>
      <c r="G710" s="3"/>
      <c r="H710" s="3"/>
      <c r="I710" s="3"/>
      <c r="J710" s="3"/>
      <c r="K710" s="3"/>
      <c r="L710" s="3"/>
      <c r="M710" s="3"/>
      <c r="N710" s="3"/>
      <c r="O710" s="3"/>
      <c r="P710" s="3"/>
      <c r="Q710" s="3"/>
      <c r="R710" s="3"/>
      <c r="S710" s="3"/>
      <c r="T710" s="3"/>
      <c r="U710" s="3"/>
      <c r="V710" s="3"/>
      <c r="W710" s="3"/>
      <c r="X710" s="3"/>
      <c r="Y710" s="3"/>
    </row>
    <row r="711">
      <c r="A711" s="7"/>
      <c r="B711" s="6"/>
      <c r="C711" s="6"/>
      <c r="D711" s="3"/>
      <c r="E711" s="3"/>
      <c r="F711" s="3"/>
      <c r="G711" s="3"/>
      <c r="H711" s="3"/>
      <c r="I711" s="3"/>
      <c r="J711" s="3"/>
      <c r="K711" s="3"/>
      <c r="L711" s="3"/>
      <c r="M711" s="3"/>
      <c r="N711" s="3"/>
      <c r="O711" s="3"/>
      <c r="P711" s="3"/>
      <c r="Q711" s="3"/>
      <c r="R711" s="3"/>
      <c r="S711" s="3"/>
      <c r="T711" s="3"/>
      <c r="U711" s="3"/>
      <c r="V711" s="3"/>
      <c r="W711" s="3"/>
      <c r="X711" s="3"/>
      <c r="Y711" s="3"/>
    </row>
    <row r="712">
      <c r="A712" s="7"/>
      <c r="B712" s="6"/>
      <c r="C712" s="6"/>
      <c r="D712" s="3"/>
      <c r="E712" s="3"/>
      <c r="F712" s="3"/>
      <c r="G712" s="3"/>
      <c r="H712" s="3"/>
      <c r="I712" s="3"/>
      <c r="J712" s="3"/>
      <c r="K712" s="3"/>
      <c r="L712" s="3"/>
      <c r="M712" s="3"/>
      <c r="N712" s="3"/>
      <c r="O712" s="3"/>
      <c r="P712" s="3"/>
      <c r="Q712" s="3"/>
      <c r="R712" s="3"/>
      <c r="S712" s="3"/>
      <c r="T712" s="3"/>
      <c r="U712" s="3"/>
      <c r="V712" s="3"/>
      <c r="W712" s="3"/>
      <c r="X712" s="3"/>
      <c r="Y712" s="3"/>
    </row>
    <row r="713">
      <c r="A713" s="7"/>
      <c r="B713" s="6"/>
      <c r="C713" s="6"/>
      <c r="D713" s="3"/>
      <c r="E713" s="3"/>
      <c r="F713" s="3"/>
      <c r="G713" s="3"/>
      <c r="H713" s="3"/>
      <c r="I713" s="3"/>
      <c r="J713" s="3"/>
      <c r="K713" s="3"/>
      <c r="L713" s="3"/>
      <c r="M713" s="3"/>
      <c r="N713" s="3"/>
      <c r="O713" s="3"/>
      <c r="P713" s="3"/>
      <c r="Q713" s="3"/>
      <c r="R713" s="3"/>
      <c r="S713" s="3"/>
      <c r="T713" s="3"/>
      <c r="U713" s="3"/>
      <c r="V713" s="3"/>
      <c r="W713" s="3"/>
      <c r="X713" s="3"/>
      <c r="Y713" s="3"/>
    </row>
    <row r="714">
      <c r="A714" s="7"/>
      <c r="B714" s="6"/>
      <c r="C714" s="6"/>
      <c r="D714" s="3"/>
      <c r="E714" s="3"/>
      <c r="F714" s="3"/>
      <c r="G714" s="3"/>
      <c r="H714" s="3"/>
      <c r="I714" s="3"/>
      <c r="J714" s="3"/>
      <c r="K714" s="3"/>
      <c r="L714" s="3"/>
      <c r="M714" s="3"/>
      <c r="N714" s="3"/>
      <c r="O714" s="3"/>
      <c r="P714" s="3"/>
      <c r="Q714" s="3"/>
      <c r="R714" s="3"/>
      <c r="S714" s="3"/>
      <c r="T714" s="3"/>
      <c r="U714" s="3"/>
      <c r="V714" s="3"/>
      <c r="W714" s="3"/>
      <c r="X714" s="3"/>
      <c r="Y714" s="3"/>
    </row>
    <row r="715">
      <c r="A715" s="7"/>
      <c r="B715" s="6"/>
      <c r="C715" s="6"/>
      <c r="D715" s="3"/>
      <c r="E715" s="3"/>
      <c r="F715" s="3"/>
      <c r="G715" s="3"/>
      <c r="H715" s="3"/>
      <c r="I715" s="3"/>
      <c r="J715" s="3"/>
      <c r="K715" s="3"/>
      <c r="L715" s="3"/>
      <c r="M715" s="3"/>
      <c r="N715" s="3"/>
      <c r="O715" s="3"/>
      <c r="P715" s="3"/>
      <c r="Q715" s="3"/>
      <c r="R715" s="3"/>
      <c r="S715" s="3"/>
      <c r="T715" s="3"/>
      <c r="U715" s="3"/>
      <c r="V715" s="3"/>
      <c r="W715" s="3"/>
      <c r="X715" s="3"/>
      <c r="Y715" s="3"/>
    </row>
    <row r="716">
      <c r="A716" s="7"/>
      <c r="B716" s="6"/>
      <c r="C716" s="6"/>
      <c r="D716" s="3"/>
      <c r="E716" s="3"/>
      <c r="F716" s="3"/>
      <c r="G716" s="3"/>
      <c r="H716" s="3"/>
      <c r="I716" s="3"/>
      <c r="J716" s="3"/>
      <c r="K716" s="3"/>
      <c r="L716" s="3"/>
      <c r="M716" s="3"/>
      <c r="N716" s="3"/>
      <c r="O716" s="3"/>
      <c r="P716" s="3"/>
      <c r="Q716" s="3"/>
      <c r="R716" s="3"/>
      <c r="S716" s="3"/>
      <c r="T716" s="3"/>
      <c r="U716" s="3"/>
      <c r="V716" s="3"/>
      <c r="W716" s="3"/>
      <c r="X716" s="3"/>
      <c r="Y716" s="3"/>
    </row>
    <row r="717">
      <c r="A717" s="7"/>
      <c r="B717" s="6"/>
      <c r="C717" s="6"/>
      <c r="D717" s="3"/>
      <c r="E717" s="3"/>
      <c r="F717" s="3"/>
      <c r="G717" s="3"/>
      <c r="H717" s="3"/>
      <c r="I717" s="3"/>
      <c r="J717" s="3"/>
      <c r="K717" s="3"/>
      <c r="L717" s="3"/>
      <c r="M717" s="3"/>
      <c r="N717" s="3"/>
      <c r="O717" s="3"/>
      <c r="P717" s="3"/>
      <c r="Q717" s="3"/>
      <c r="R717" s="3"/>
      <c r="S717" s="3"/>
      <c r="T717" s="3"/>
      <c r="U717" s="3"/>
      <c r="V717" s="3"/>
      <c r="W717" s="3"/>
      <c r="X717" s="3"/>
      <c r="Y717" s="3"/>
    </row>
    <row r="718">
      <c r="A718" s="7"/>
      <c r="B718" s="6"/>
      <c r="C718" s="6"/>
      <c r="D718" s="3"/>
      <c r="E718" s="3"/>
      <c r="F718" s="3"/>
      <c r="G718" s="3"/>
      <c r="H718" s="3"/>
      <c r="I718" s="3"/>
      <c r="J718" s="3"/>
      <c r="K718" s="3"/>
      <c r="L718" s="3"/>
      <c r="M718" s="3"/>
      <c r="N718" s="3"/>
      <c r="O718" s="3"/>
      <c r="P718" s="3"/>
      <c r="Q718" s="3"/>
      <c r="R718" s="3"/>
      <c r="S718" s="3"/>
      <c r="T718" s="3"/>
      <c r="U718" s="3"/>
      <c r="V718" s="3"/>
      <c r="W718" s="3"/>
      <c r="X718" s="3"/>
      <c r="Y718" s="3"/>
    </row>
    <row r="719">
      <c r="A719" s="7"/>
      <c r="B719" s="6"/>
      <c r="C719" s="6"/>
      <c r="D719" s="3"/>
      <c r="E719" s="3"/>
      <c r="F719" s="3"/>
      <c r="G719" s="3"/>
      <c r="H719" s="3"/>
      <c r="I719" s="3"/>
      <c r="J719" s="3"/>
      <c r="K719" s="3"/>
      <c r="L719" s="3"/>
      <c r="M719" s="3"/>
      <c r="N719" s="3"/>
      <c r="O719" s="3"/>
      <c r="P719" s="3"/>
      <c r="Q719" s="3"/>
      <c r="R719" s="3"/>
      <c r="S719" s="3"/>
      <c r="T719" s="3"/>
      <c r="U719" s="3"/>
      <c r="V719" s="3"/>
      <c r="W719" s="3"/>
      <c r="X719" s="3"/>
      <c r="Y719" s="3"/>
    </row>
    <row r="720">
      <c r="A720" s="7"/>
      <c r="B720" s="6"/>
      <c r="C720" s="6"/>
      <c r="D720" s="3"/>
      <c r="E720" s="3"/>
      <c r="F720" s="3"/>
      <c r="G720" s="3"/>
      <c r="H720" s="3"/>
      <c r="I720" s="3"/>
      <c r="J720" s="3"/>
      <c r="K720" s="3"/>
      <c r="L720" s="3"/>
      <c r="M720" s="3"/>
      <c r="N720" s="3"/>
      <c r="O720" s="3"/>
      <c r="P720" s="3"/>
      <c r="Q720" s="3"/>
      <c r="R720" s="3"/>
      <c r="S720" s="3"/>
      <c r="T720" s="3"/>
      <c r="U720" s="3"/>
      <c r="V720" s="3"/>
      <c r="W720" s="3"/>
      <c r="X720" s="3"/>
      <c r="Y720" s="3"/>
    </row>
    <row r="721">
      <c r="A721" s="7"/>
      <c r="B721" s="6"/>
      <c r="C721" s="6"/>
      <c r="D721" s="3"/>
      <c r="E721" s="3"/>
      <c r="F721" s="3"/>
      <c r="G721" s="3"/>
      <c r="H721" s="3"/>
      <c r="I721" s="3"/>
      <c r="J721" s="3"/>
      <c r="K721" s="3"/>
      <c r="L721" s="3"/>
      <c r="M721" s="3"/>
      <c r="N721" s="3"/>
      <c r="O721" s="3"/>
      <c r="P721" s="3"/>
      <c r="Q721" s="3"/>
      <c r="R721" s="3"/>
      <c r="S721" s="3"/>
      <c r="T721" s="3"/>
      <c r="U721" s="3"/>
      <c r="V721" s="3"/>
      <c r="W721" s="3"/>
      <c r="X721" s="3"/>
      <c r="Y721" s="3"/>
    </row>
    <row r="722">
      <c r="A722" s="7"/>
      <c r="B722" s="6"/>
      <c r="C722" s="6"/>
      <c r="D722" s="3"/>
      <c r="E722" s="3"/>
      <c r="F722" s="3"/>
      <c r="G722" s="3"/>
      <c r="H722" s="3"/>
      <c r="I722" s="3"/>
      <c r="J722" s="3"/>
      <c r="K722" s="3"/>
      <c r="L722" s="3"/>
      <c r="M722" s="3"/>
      <c r="N722" s="3"/>
      <c r="O722" s="3"/>
      <c r="P722" s="3"/>
      <c r="Q722" s="3"/>
      <c r="R722" s="3"/>
      <c r="S722" s="3"/>
      <c r="T722" s="3"/>
      <c r="U722" s="3"/>
      <c r="V722" s="3"/>
      <c r="W722" s="3"/>
      <c r="X722" s="3"/>
      <c r="Y722" s="3"/>
    </row>
    <row r="723">
      <c r="A723" s="7"/>
      <c r="B723" s="6"/>
      <c r="C723" s="6"/>
      <c r="D723" s="3"/>
      <c r="E723" s="3"/>
      <c r="F723" s="3"/>
      <c r="G723" s="3"/>
      <c r="H723" s="3"/>
      <c r="I723" s="3"/>
      <c r="J723" s="3"/>
      <c r="K723" s="3"/>
      <c r="L723" s="3"/>
      <c r="M723" s="3"/>
      <c r="N723" s="3"/>
      <c r="O723" s="3"/>
      <c r="P723" s="3"/>
      <c r="Q723" s="3"/>
      <c r="R723" s="3"/>
      <c r="S723" s="3"/>
      <c r="T723" s="3"/>
      <c r="U723" s="3"/>
      <c r="V723" s="3"/>
      <c r="W723" s="3"/>
      <c r="X723" s="3"/>
      <c r="Y723" s="3"/>
    </row>
    <row r="724">
      <c r="A724" s="7"/>
      <c r="B724" s="6"/>
      <c r="C724" s="6"/>
      <c r="D724" s="3"/>
      <c r="E724" s="3"/>
      <c r="F724" s="3"/>
      <c r="G724" s="3"/>
      <c r="H724" s="3"/>
      <c r="I724" s="3"/>
      <c r="J724" s="3"/>
      <c r="K724" s="3"/>
      <c r="L724" s="3"/>
      <c r="M724" s="3"/>
      <c r="N724" s="3"/>
      <c r="O724" s="3"/>
      <c r="P724" s="3"/>
      <c r="Q724" s="3"/>
      <c r="R724" s="3"/>
      <c r="S724" s="3"/>
      <c r="T724" s="3"/>
      <c r="U724" s="3"/>
      <c r="V724" s="3"/>
      <c r="W724" s="3"/>
      <c r="X724" s="3"/>
      <c r="Y724" s="3"/>
    </row>
    <row r="725">
      <c r="A725" s="7"/>
      <c r="B725" s="6"/>
      <c r="C725" s="6"/>
      <c r="D725" s="3"/>
      <c r="E725" s="3"/>
      <c r="F725" s="3"/>
      <c r="G725" s="3"/>
      <c r="H725" s="3"/>
      <c r="I725" s="3"/>
      <c r="J725" s="3"/>
      <c r="K725" s="3"/>
      <c r="L725" s="3"/>
      <c r="M725" s="3"/>
      <c r="N725" s="3"/>
      <c r="O725" s="3"/>
      <c r="P725" s="3"/>
      <c r="Q725" s="3"/>
      <c r="R725" s="3"/>
      <c r="S725" s="3"/>
      <c r="T725" s="3"/>
      <c r="U725" s="3"/>
      <c r="V725" s="3"/>
      <c r="W725" s="3"/>
      <c r="X725" s="3"/>
      <c r="Y725" s="3"/>
    </row>
    <row r="726">
      <c r="A726" s="7"/>
      <c r="B726" s="6"/>
      <c r="C726" s="6"/>
      <c r="D726" s="3"/>
      <c r="E726" s="3"/>
      <c r="F726" s="3"/>
      <c r="G726" s="3"/>
      <c r="H726" s="3"/>
      <c r="I726" s="3"/>
      <c r="J726" s="3"/>
      <c r="K726" s="3"/>
      <c r="L726" s="3"/>
      <c r="M726" s="3"/>
      <c r="N726" s="3"/>
      <c r="O726" s="3"/>
      <c r="P726" s="3"/>
      <c r="Q726" s="3"/>
      <c r="R726" s="3"/>
      <c r="S726" s="3"/>
      <c r="T726" s="3"/>
      <c r="U726" s="3"/>
      <c r="V726" s="3"/>
      <c r="W726" s="3"/>
      <c r="X726" s="3"/>
      <c r="Y726" s="3"/>
    </row>
    <row r="727">
      <c r="A727" s="7"/>
      <c r="B727" s="6"/>
      <c r="C727" s="6"/>
      <c r="D727" s="3"/>
      <c r="E727" s="3"/>
      <c r="F727" s="3"/>
      <c r="G727" s="3"/>
      <c r="H727" s="3"/>
      <c r="I727" s="3"/>
      <c r="J727" s="3"/>
      <c r="K727" s="3"/>
      <c r="L727" s="3"/>
      <c r="M727" s="3"/>
      <c r="N727" s="3"/>
      <c r="O727" s="3"/>
      <c r="P727" s="3"/>
      <c r="Q727" s="3"/>
      <c r="R727" s="3"/>
      <c r="S727" s="3"/>
      <c r="T727" s="3"/>
      <c r="U727" s="3"/>
      <c r="V727" s="3"/>
      <c r="W727" s="3"/>
      <c r="X727" s="3"/>
      <c r="Y727" s="3"/>
    </row>
    <row r="728">
      <c r="A728" s="7"/>
      <c r="B728" s="6"/>
      <c r="C728" s="6"/>
      <c r="D728" s="3"/>
      <c r="E728" s="3"/>
      <c r="F728" s="3"/>
      <c r="G728" s="3"/>
      <c r="H728" s="3"/>
      <c r="I728" s="3"/>
      <c r="J728" s="3"/>
      <c r="K728" s="3"/>
      <c r="L728" s="3"/>
      <c r="M728" s="3"/>
      <c r="N728" s="3"/>
      <c r="O728" s="3"/>
      <c r="P728" s="3"/>
      <c r="Q728" s="3"/>
      <c r="R728" s="3"/>
      <c r="S728" s="3"/>
      <c r="T728" s="3"/>
      <c r="U728" s="3"/>
      <c r="V728" s="3"/>
      <c r="W728" s="3"/>
      <c r="X728" s="3"/>
      <c r="Y728" s="3"/>
    </row>
    <row r="729">
      <c r="A729" s="7"/>
      <c r="B729" s="6"/>
      <c r="C729" s="6"/>
      <c r="D729" s="3"/>
      <c r="E729" s="3"/>
      <c r="F729" s="3"/>
      <c r="G729" s="3"/>
      <c r="H729" s="3"/>
      <c r="I729" s="3"/>
      <c r="J729" s="3"/>
      <c r="K729" s="3"/>
      <c r="L729" s="3"/>
      <c r="M729" s="3"/>
      <c r="N729" s="3"/>
      <c r="O729" s="3"/>
      <c r="P729" s="3"/>
      <c r="Q729" s="3"/>
      <c r="R729" s="3"/>
      <c r="S729" s="3"/>
      <c r="T729" s="3"/>
      <c r="U729" s="3"/>
      <c r="V729" s="3"/>
      <c r="W729" s="3"/>
      <c r="X729" s="3"/>
      <c r="Y729" s="3"/>
    </row>
    <row r="730">
      <c r="A730" s="7"/>
      <c r="B730" s="6"/>
      <c r="C730" s="6"/>
      <c r="D730" s="3"/>
      <c r="E730" s="3"/>
      <c r="F730" s="3"/>
      <c r="G730" s="3"/>
      <c r="H730" s="3"/>
      <c r="I730" s="3"/>
      <c r="J730" s="3"/>
      <c r="K730" s="3"/>
      <c r="L730" s="3"/>
      <c r="M730" s="3"/>
      <c r="N730" s="3"/>
      <c r="O730" s="3"/>
      <c r="P730" s="3"/>
      <c r="Q730" s="3"/>
      <c r="R730" s="3"/>
      <c r="S730" s="3"/>
      <c r="T730" s="3"/>
      <c r="U730" s="3"/>
      <c r="V730" s="3"/>
      <c r="W730" s="3"/>
      <c r="X730" s="3"/>
      <c r="Y730" s="3"/>
    </row>
    <row r="731">
      <c r="A731" s="7"/>
      <c r="B731" s="6"/>
      <c r="C731" s="6"/>
      <c r="D731" s="3"/>
      <c r="E731" s="3"/>
      <c r="F731" s="3"/>
      <c r="G731" s="3"/>
      <c r="H731" s="3"/>
      <c r="I731" s="3"/>
      <c r="J731" s="3"/>
      <c r="K731" s="3"/>
      <c r="L731" s="3"/>
      <c r="M731" s="3"/>
      <c r="N731" s="3"/>
      <c r="O731" s="3"/>
      <c r="P731" s="3"/>
      <c r="Q731" s="3"/>
      <c r="R731" s="3"/>
      <c r="S731" s="3"/>
      <c r="T731" s="3"/>
      <c r="U731" s="3"/>
      <c r="V731" s="3"/>
      <c r="W731" s="3"/>
      <c r="X731" s="3"/>
      <c r="Y731" s="3"/>
    </row>
    <row r="732">
      <c r="A732" s="7"/>
      <c r="B732" s="6"/>
      <c r="C732" s="6"/>
      <c r="D732" s="3"/>
      <c r="E732" s="3"/>
      <c r="F732" s="3"/>
      <c r="G732" s="3"/>
      <c r="H732" s="3"/>
      <c r="I732" s="3"/>
      <c r="J732" s="3"/>
      <c r="K732" s="3"/>
      <c r="L732" s="3"/>
      <c r="M732" s="3"/>
      <c r="N732" s="3"/>
      <c r="O732" s="3"/>
      <c r="P732" s="3"/>
      <c r="Q732" s="3"/>
      <c r="R732" s="3"/>
      <c r="S732" s="3"/>
      <c r="T732" s="3"/>
      <c r="U732" s="3"/>
      <c r="V732" s="3"/>
      <c r="W732" s="3"/>
      <c r="X732" s="3"/>
      <c r="Y732" s="3"/>
    </row>
    <row r="733">
      <c r="A733" s="7"/>
      <c r="B733" s="6"/>
      <c r="C733" s="6"/>
      <c r="D733" s="3"/>
      <c r="E733" s="3"/>
      <c r="F733" s="3"/>
      <c r="G733" s="3"/>
      <c r="H733" s="3"/>
      <c r="I733" s="3"/>
      <c r="J733" s="3"/>
      <c r="K733" s="3"/>
      <c r="L733" s="3"/>
      <c r="M733" s="3"/>
      <c r="N733" s="3"/>
      <c r="O733" s="3"/>
      <c r="P733" s="3"/>
      <c r="Q733" s="3"/>
      <c r="R733" s="3"/>
      <c r="S733" s="3"/>
      <c r="T733" s="3"/>
      <c r="U733" s="3"/>
      <c r="V733" s="3"/>
      <c r="W733" s="3"/>
      <c r="X733" s="3"/>
      <c r="Y733" s="3"/>
    </row>
    <row r="734">
      <c r="A734" s="7"/>
      <c r="B734" s="6"/>
      <c r="C734" s="6"/>
      <c r="D734" s="3"/>
      <c r="E734" s="3"/>
      <c r="F734" s="3"/>
      <c r="G734" s="3"/>
      <c r="H734" s="3"/>
      <c r="I734" s="3"/>
      <c r="J734" s="3"/>
      <c r="K734" s="3"/>
      <c r="L734" s="3"/>
      <c r="M734" s="3"/>
      <c r="N734" s="3"/>
      <c r="O734" s="3"/>
      <c r="P734" s="3"/>
      <c r="Q734" s="3"/>
      <c r="R734" s="3"/>
      <c r="S734" s="3"/>
      <c r="T734" s="3"/>
      <c r="U734" s="3"/>
      <c r="V734" s="3"/>
      <c r="W734" s="3"/>
      <c r="X734" s="3"/>
      <c r="Y734" s="3"/>
    </row>
    <row r="735">
      <c r="A735" s="7"/>
      <c r="B735" s="6"/>
      <c r="C735" s="6"/>
      <c r="D735" s="3"/>
      <c r="E735" s="3"/>
      <c r="F735" s="3"/>
      <c r="G735" s="3"/>
      <c r="H735" s="3"/>
      <c r="I735" s="3"/>
      <c r="J735" s="3"/>
      <c r="K735" s="3"/>
      <c r="L735" s="3"/>
      <c r="M735" s="3"/>
      <c r="N735" s="3"/>
      <c r="O735" s="3"/>
      <c r="P735" s="3"/>
      <c r="Q735" s="3"/>
      <c r="R735" s="3"/>
      <c r="S735" s="3"/>
      <c r="T735" s="3"/>
      <c r="U735" s="3"/>
      <c r="V735" s="3"/>
      <c r="W735" s="3"/>
      <c r="X735" s="3"/>
      <c r="Y735" s="3"/>
    </row>
    <row r="736">
      <c r="A736" s="7"/>
      <c r="B736" s="6"/>
      <c r="C736" s="6"/>
      <c r="D736" s="3"/>
      <c r="E736" s="3"/>
      <c r="F736" s="3"/>
      <c r="G736" s="3"/>
      <c r="H736" s="3"/>
      <c r="I736" s="3"/>
      <c r="J736" s="3"/>
      <c r="K736" s="3"/>
      <c r="L736" s="3"/>
      <c r="M736" s="3"/>
      <c r="N736" s="3"/>
      <c r="O736" s="3"/>
      <c r="P736" s="3"/>
      <c r="Q736" s="3"/>
      <c r="R736" s="3"/>
      <c r="S736" s="3"/>
      <c r="T736" s="3"/>
      <c r="U736" s="3"/>
      <c r="V736" s="3"/>
      <c r="W736" s="3"/>
      <c r="X736" s="3"/>
      <c r="Y736" s="3"/>
    </row>
    <row r="737">
      <c r="A737" s="7"/>
      <c r="B737" s="6"/>
      <c r="C737" s="6"/>
      <c r="D737" s="3"/>
      <c r="E737" s="3"/>
      <c r="F737" s="3"/>
      <c r="G737" s="3"/>
      <c r="H737" s="3"/>
      <c r="I737" s="3"/>
      <c r="J737" s="3"/>
      <c r="K737" s="3"/>
      <c r="L737" s="3"/>
      <c r="M737" s="3"/>
      <c r="N737" s="3"/>
      <c r="O737" s="3"/>
      <c r="P737" s="3"/>
      <c r="Q737" s="3"/>
      <c r="R737" s="3"/>
      <c r="S737" s="3"/>
      <c r="T737" s="3"/>
      <c r="U737" s="3"/>
      <c r="V737" s="3"/>
      <c r="W737" s="3"/>
      <c r="X737" s="3"/>
      <c r="Y737" s="3"/>
    </row>
    <row r="738">
      <c r="A738" s="7"/>
      <c r="B738" s="6"/>
      <c r="C738" s="6"/>
      <c r="D738" s="3"/>
      <c r="E738" s="3"/>
      <c r="F738" s="3"/>
      <c r="G738" s="3"/>
      <c r="H738" s="3"/>
      <c r="I738" s="3"/>
      <c r="J738" s="3"/>
      <c r="K738" s="3"/>
      <c r="L738" s="3"/>
      <c r="M738" s="3"/>
      <c r="N738" s="3"/>
      <c r="O738" s="3"/>
      <c r="P738" s="3"/>
      <c r="Q738" s="3"/>
      <c r="R738" s="3"/>
      <c r="S738" s="3"/>
      <c r="T738" s="3"/>
      <c r="U738" s="3"/>
      <c r="V738" s="3"/>
      <c r="W738" s="3"/>
      <c r="X738" s="3"/>
      <c r="Y738" s="3"/>
    </row>
    <row r="739">
      <c r="A739" s="7"/>
      <c r="B739" s="6"/>
      <c r="C739" s="6"/>
      <c r="D739" s="3"/>
      <c r="E739" s="3"/>
      <c r="F739" s="3"/>
      <c r="G739" s="3"/>
      <c r="H739" s="3"/>
      <c r="I739" s="3"/>
      <c r="J739" s="3"/>
      <c r="K739" s="3"/>
      <c r="L739" s="3"/>
      <c r="M739" s="3"/>
      <c r="N739" s="3"/>
      <c r="O739" s="3"/>
      <c r="P739" s="3"/>
      <c r="Q739" s="3"/>
      <c r="R739" s="3"/>
      <c r="S739" s="3"/>
      <c r="T739" s="3"/>
      <c r="U739" s="3"/>
      <c r="V739" s="3"/>
      <c r="W739" s="3"/>
      <c r="X739" s="3"/>
      <c r="Y739" s="3"/>
    </row>
    <row r="740">
      <c r="A740" s="7"/>
      <c r="B740" s="6"/>
      <c r="C740" s="6"/>
      <c r="D740" s="3"/>
      <c r="E740" s="3"/>
      <c r="F740" s="3"/>
      <c r="G740" s="3"/>
      <c r="H740" s="3"/>
      <c r="I740" s="3"/>
      <c r="J740" s="3"/>
      <c r="K740" s="3"/>
      <c r="L740" s="3"/>
      <c r="M740" s="3"/>
      <c r="N740" s="3"/>
      <c r="O740" s="3"/>
      <c r="P740" s="3"/>
      <c r="Q740" s="3"/>
      <c r="R740" s="3"/>
      <c r="S740" s="3"/>
      <c r="T740" s="3"/>
      <c r="U740" s="3"/>
      <c r="V740" s="3"/>
      <c r="W740" s="3"/>
      <c r="X740" s="3"/>
      <c r="Y740" s="3"/>
    </row>
    <row r="741">
      <c r="A741" s="7"/>
      <c r="B741" s="6"/>
      <c r="C741" s="6"/>
      <c r="D741" s="3"/>
      <c r="E741" s="3"/>
      <c r="F741" s="3"/>
      <c r="G741" s="3"/>
      <c r="H741" s="3"/>
      <c r="I741" s="3"/>
      <c r="J741" s="3"/>
      <c r="K741" s="3"/>
      <c r="L741" s="3"/>
      <c r="M741" s="3"/>
      <c r="N741" s="3"/>
      <c r="O741" s="3"/>
      <c r="P741" s="3"/>
      <c r="Q741" s="3"/>
      <c r="R741" s="3"/>
      <c r="S741" s="3"/>
      <c r="T741" s="3"/>
      <c r="U741" s="3"/>
      <c r="V741" s="3"/>
      <c r="W741" s="3"/>
      <c r="X741" s="3"/>
      <c r="Y741" s="3"/>
    </row>
    <row r="742">
      <c r="A742" s="7"/>
      <c r="B742" s="6"/>
      <c r="C742" s="6"/>
      <c r="D742" s="3"/>
      <c r="E742" s="3"/>
      <c r="F742" s="3"/>
      <c r="G742" s="3"/>
      <c r="H742" s="3"/>
      <c r="I742" s="3"/>
      <c r="J742" s="3"/>
      <c r="K742" s="3"/>
      <c r="L742" s="3"/>
      <c r="M742" s="3"/>
      <c r="N742" s="3"/>
      <c r="O742" s="3"/>
      <c r="P742" s="3"/>
      <c r="Q742" s="3"/>
      <c r="R742" s="3"/>
      <c r="S742" s="3"/>
      <c r="T742" s="3"/>
      <c r="U742" s="3"/>
      <c r="V742" s="3"/>
      <c r="W742" s="3"/>
      <c r="X742" s="3"/>
      <c r="Y742" s="3"/>
    </row>
    <row r="743">
      <c r="A743" s="7"/>
      <c r="B743" s="6"/>
      <c r="C743" s="6"/>
      <c r="D743" s="3"/>
      <c r="E743" s="3"/>
      <c r="F743" s="3"/>
      <c r="G743" s="3"/>
      <c r="H743" s="3"/>
      <c r="I743" s="3"/>
      <c r="J743" s="3"/>
      <c r="K743" s="3"/>
      <c r="L743" s="3"/>
      <c r="M743" s="3"/>
      <c r="N743" s="3"/>
      <c r="O743" s="3"/>
      <c r="P743" s="3"/>
      <c r="Q743" s="3"/>
      <c r="R743" s="3"/>
      <c r="S743" s="3"/>
      <c r="T743" s="3"/>
      <c r="U743" s="3"/>
      <c r="V743" s="3"/>
      <c r="W743" s="3"/>
      <c r="X743" s="3"/>
      <c r="Y743" s="3"/>
    </row>
    <row r="744">
      <c r="A744" s="7"/>
      <c r="B744" s="6"/>
      <c r="C744" s="6"/>
      <c r="D744" s="3"/>
      <c r="E744" s="3"/>
      <c r="F744" s="3"/>
      <c r="G744" s="3"/>
      <c r="H744" s="3"/>
      <c r="I744" s="3"/>
      <c r="J744" s="3"/>
      <c r="K744" s="3"/>
      <c r="L744" s="3"/>
      <c r="M744" s="3"/>
      <c r="N744" s="3"/>
      <c r="O744" s="3"/>
      <c r="P744" s="3"/>
      <c r="Q744" s="3"/>
      <c r="R744" s="3"/>
      <c r="S744" s="3"/>
      <c r="T744" s="3"/>
      <c r="U744" s="3"/>
      <c r="V744" s="3"/>
      <c r="W744" s="3"/>
      <c r="X744" s="3"/>
      <c r="Y744" s="3"/>
    </row>
    <row r="745">
      <c r="A745" s="7"/>
      <c r="B745" s="6"/>
      <c r="C745" s="6"/>
      <c r="D745" s="3"/>
      <c r="E745" s="3"/>
      <c r="F745" s="3"/>
      <c r="G745" s="3"/>
      <c r="H745" s="3"/>
      <c r="I745" s="3"/>
      <c r="J745" s="3"/>
      <c r="K745" s="3"/>
      <c r="L745" s="3"/>
      <c r="M745" s="3"/>
      <c r="N745" s="3"/>
      <c r="O745" s="3"/>
      <c r="P745" s="3"/>
      <c r="Q745" s="3"/>
      <c r="R745" s="3"/>
      <c r="S745" s="3"/>
      <c r="T745" s="3"/>
      <c r="U745" s="3"/>
      <c r="V745" s="3"/>
      <c r="W745" s="3"/>
      <c r="X745" s="3"/>
      <c r="Y745" s="3"/>
    </row>
    <row r="746">
      <c r="A746" s="7"/>
      <c r="B746" s="6"/>
      <c r="C746" s="6"/>
      <c r="D746" s="3"/>
      <c r="E746" s="3"/>
      <c r="F746" s="3"/>
      <c r="G746" s="3"/>
      <c r="H746" s="3"/>
      <c r="I746" s="3"/>
      <c r="J746" s="3"/>
      <c r="K746" s="3"/>
      <c r="L746" s="3"/>
      <c r="M746" s="3"/>
      <c r="N746" s="3"/>
      <c r="O746" s="3"/>
      <c r="P746" s="3"/>
      <c r="Q746" s="3"/>
      <c r="R746" s="3"/>
      <c r="S746" s="3"/>
      <c r="T746" s="3"/>
      <c r="U746" s="3"/>
      <c r="V746" s="3"/>
      <c r="W746" s="3"/>
      <c r="X746" s="3"/>
      <c r="Y746" s="3"/>
    </row>
    <row r="747">
      <c r="A747" s="7"/>
      <c r="B747" s="6"/>
      <c r="C747" s="6"/>
      <c r="D747" s="3"/>
      <c r="E747" s="3"/>
      <c r="F747" s="3"/>
      <c r="G747" s="3"/>
      <c r="H747" s="3"/>
      <c r="I747" s="3"/>
      <c r="J747" s="3"/>
      <c r="K747" s="3"/>
      <c r="L747" s="3"/>
      <c r="M747" s="3"/>
      <c r="N747" s="3"/>
      <c r="O747" s="3"/>
      <c r="P747" s="3"/>
      <c r="Q747" s="3"/>
      <c r="R747" s="3"/>
      <c r="S747" s="3"/>
      <c r="T747" s="3"/>
      <c r="U747" s="3"/>
      <c r="V747" s="3"/>
      <c r="W747" s="3"/>
      <c r="X747" s="3"/>
      <c r="Y747" s="3"/>
    </row>
    <row r="748">
      <c r="A748" s="7"/>
      <c r="B748" s="6"/>
      <c r="C748" s="6"/>
      <c r="D748" s="3"/>
      <c r="E748" s="3"/>
      <c r="F748" s="3"/>
      <c r="G748" s="3"/>
      <c r="H748" s="3"/>
      <c r="I748" s="3"/>
      <c r="J748" s="3"/>
      <c r="K748" s="3"/>
      <c r="L748" s="3"/>
      <c r="M748" s="3"/>
      <c r="N748" s="3"/>
      <c r="O748" s="3"/>
      <c r="P748" s="3"/>
      <c r="Q748" s="3"/>
      <c r="R748" s="3"/>
      <c r="S748" s="3"/>
      <c r="T748" s="3"/>
      <c r="U748" s="3"/>
      <c r="V748" s="3"/>
      <c r="W748" s="3"/>
      <c r="X748" s="3"/>
      <c r="Y748" s="3"/>
    </row>
    <row r="749">
      <c r="A749" s="7"/>
      <c r="B749" s="6"/>
      <c r="C749" s="6"/>
      <c r="D749" s="3"/>
      <c r="E749" s="3"/>
      <c r="F749" s="3"/>
      <c r="G749" s="3"/>
      <c r="H749" s="3"/>
      <c r="I749" s="3"/>
      <c r="J749" s="3"/>
      <c r="K749" s="3"/>
      <c r="L749" s="3"/>
      <c r="M749" s="3"/>
      <c r="N749" s="3"/>
      <c r="O749" s="3"/>
      <c r="P749" s="3"/>
      <c r="Q749" s="3"/>
      <c r="R749" s="3"/>
      <c r="S749" s="3"/>
      <c r="T749" s="3"/>
      <c r="U749" s="3"/>
      <c r="V749" s="3"/>
      <c r="W749" s="3"/>
      <c r="X749" s="3"/>
      <c r="Y749" s="3"/>
    </row>
    <row r="750">
      <c r="A750" s="7"/>
      <c r="B750" s="6"/>
      <c r="C750" s="6"/>
      <c r="D750" s="3"/>
      <c r="E750" s="3"/>
      <c r="F750" s="3"/>
      <c r="G750" s="3"/>
      <c r="H750" s="3"/>
      <c r="I750" s="3"/>
      <c r="J750" s="3"/>
      <c r="K750" s="3"/>
      <c r="L750" s="3"/>
      <c r="M750" s="3"/>
      <c r="N750" s="3"/>
      <c r="O750" s="3"/>
      <c r="P750" s="3"/>
      <c r="Q750" s="3"/>
      <c r="R750" s="3"/>
      <c r="S750" s="3"/>
      <c r="T750" s="3"/>
      <c r="U750" s="3"/>
      <c r="V750" s="3"/>
      <c r="W750" s="3"/>
      <c r="X750" s="3"/>
      <c r="Y750" s="3"/>
    </row>
    <row r="751">
      <c r="A751" s="7"/>
      <c r="B751" s="6"/>
      <c r="C751" s="6"/>
      <c r="D751" s="3"/>
      <c r="E751" s="3"/>
      <c r="F751" s="3"/>
      <c r="G751" s="3"/>
      <c r="H751" s="3"/>
      <c r="I751" s="3"/>
      <c r="J751" s="3"/>
      <c r="K751" s="3"/>
      <c r="L751" s="3"/>
      <c r="M751" s="3"/>
      <c r="N751" s="3"/>
      <c r="O751" s="3"/>
      <c r="P751" s="3"/>
      <c r="Q751" s="3"/>
      <c r="R751" s="3"/>
      <c r="S751" s="3"/>
      <c r="T751" s="3"/>
      <c r="U751" s="3"/>
      <c r="V751" s="3"/>
      <c r="W751" s="3"/>
      <c r="X751" s="3"/>
      <c r="Y751" s="3"/>
    </row>
    <row r="752">
      <c r="A752" s="7"/>
      <c r="B752" s="6"/>
      <c r="C752" s="6"/>
      <c r="D752" s="3"/>
      <c r="E752" s="3"/>
      <c r="F752" s="3"/>
      <c r="G752" s="3"/>
      <c r="H752" s="3"/>
      <c r="I752" s="3"/>
      <c r="J752" s="3"/>
      <c r="K752" s="3"/>
      <c r="L752" s="3"/>
      <c r="M752" s="3"/>
      <c r="N752" s="3"/>
      <c r="O752" s="3"/>
      <c r="P752" s="3"/>
      <c r="Q752" s="3"/>
      <c r="R752" s="3"/>
      <c r="S752" s="3"/>
      <c r="T752" s="3"/>
      <c r="U752" s="3"/>
      <c r="V752" s="3"/>
      <c r="W752" s="3"/>
      <c r="X752" s="3"/>
      <c r="Y752" s="3"/>
    </row>
    <row r="753">
      <c r="A753" s="7"/>
      <c r="B753" s="6"/>
      <c r="C753" s="6"/>
      <c r="D753" s="3"/>
      <c r="E753" s="3"/>
      <c r="F753" s="3"/>
      <c r="G753" s="3"/>
      <c r="H753" s="3"/>
      <c r="I753" s="3"/>
      <c r="J753" s="3"/>
      <c r="K753" s="3"/>
      <c r="L753" s="3"/>
      <c r="M753" s="3"/>
      <c r="N753" s="3"/>
      <c r="O753" s="3"/>
      <c r="P753" s="3"/>
      <c r="Q753" s="3"/>
      <c r="R753" s="3"/>
      <c r="S753" s="3"/>
      <c r="T753" s="3"/>
      <c r="U753" s="3"/>
      <c r="V753" s="3"/>
      <c r="W753" s="3"/>
      <c r="X753" s="3"/>
      <c r="Y753" s="3"/>
    </row>
    <row r="754">
      <c r="A754" s="7"/>
      <c r="B754" s="6"/>
      <c r="C754" s="6"/>
      <c r="D754" s="3"/>
      <c r="E754" s="3"/>
      <c r="F754" s="3"/>
      <c r="G754" s="3"/>
      <c r="H754" s="3"/>
      <c r="I754" s="3"/>
      <c r="J754" s="3"/>
      <c r="K754" s="3"/>
      <c r="L754" s="3"/>
      <c r="M754" s="3"/>
      <c r="N754" s="3"/>
      <c r="O754" s="3"/>
      <c r="P754" s="3"/>
      <c r="Q754" s="3"/>
      <c r="R754" s="3"/>
      <c r="S754" s="3"/>
      <c r="T754" s="3"/>
      <c r="U754" s="3"/>
      <c r="V754" s="3"/>
      <c r="W754" s="3"/>
      <c r="X754" s="3"/>
      <c r="Y754" s="3"/>
    </row>
    <row r="755">
      <c r="A755" s="7"/>
      <c r="B755" s="6"/>
      <c r="C755" s="6"/>
      <c r="D755" s="3"/>
      <c r="E755" s="3"/>
      <c r="F755" s="3"/>
      <c r="G755" s="3"/>
      <c r="H755" s="3"/>
      <c r="I755" s="3"/>
      <c r="J755" s="3"/>
      <c r="K755" s="3"/>
      <c r="L755" s="3"/>
      <c r="M755" s="3"/>
      <c r="N755" s="3"/>
      <c r="O755" s="3"/>
      <c r="P755" s="3"/>
      <c r="Q755" s="3"/>
      <c r="R755" s="3"/>
      <c r="S755" s="3"/>
      <c r="T755" s="3"/>
      <c r="U755" s="3"/>
      <c r="V755" s="3"/>
      <c r="W755" s="3"/>
      <c r="X755" s="3"/>
      <c r="Y755" s="3"/>
    </row>
    <row r="756">
      <c r="A756" s="7"/>
      <c r="B756" s="6"/>
      <c r="C756" s="6"/>
      <c r="D756" s="3"/>
      <c r="E756" s="3"/>
      <c r="F756" s="3"/>
      <c r="G756" s="3"/>
      <c r="H756" s="3"/>
      <c r="I756" s="3"/>
      <c r="J756" s="3"/>
      <c r="K756" s="3"/>
      <c r="L756" s="3"/>
      <c r="M756" s="3"/>
      <c r="N756" s="3"/>
      <c r="O756" s="3"/>
      <c r="P756" s="3"/>
      <c r="Q756" s="3"/>
      <c r="R756" s="3"/>
      <c r="S756" s="3"/>
      <c r="T756" s="3"/>
      <c r="U756" s="3"/>
      <c r="V756" s="3"/>
      <c r="W756" s="3"/>
      <c r="X756" s="3"/>
      <c r="Y756" s="3"/>
    </row>
    <row r="757">
      <c r="A757" s="7"/>
      <c r="B757" s="6"/>
      <c r="C757" s="6"/>
      <c r="D757" s="3"/>
      <c r="E757" s="3"/>
      <c r="F757" s="3"/>
      <c r="G757" s="3"/>
      <c r="H757" s="3"/>
      <c r="I757" s="3"/>
      <c r="J757" s="3"/>
      <c r="K757" s="3"/>
      <c r="L757" s="3"/>
      <c r="M757" s="3"/>
      <c r="N757" s="3"/>
      <c r="O757" s="3"/>
      <c r="P757" s="3"/>
      <c r="Q757" s="3"/>
      <c r="R757" s="3"/>
      <c r="S757" s="3"/>
      <c r="T757" s="3"/>
      <c r="U757" s="3"/>
      <c r="V757" s="3"/>
      <c r="W757" s="3"/>
      <c r="X757" s="3"/>
      <c r="Y757" s="3"/>
    </row>
    <row r="758">
      <c r="A758" s="7"/>
      <c r="B758" s="6"/>
      <c r="C758" s="6"/>
      <c r="D758" s="3"/>
      <c r="E758" s="3"/>
      <c r="F758" s="3"/>
      <c r="G758" s="3"/>
      <c r="H758" s="3"/>
      <c r="I758" s="3"/>
      <c r="J758" s="3"/>
      <c r="K758" s="3"/>
      <c r="L758" s="3"/>
      <c r="M758" s="3"/>
      <c r="N758" s="3"/>
      <c r="O758" s="3"/>
      <c r="P758" s="3"/>
      <c r="Q758" s="3"/>
      <c r="R758" s="3"/>
      <c r="S758" s="3"/>
      <c r="T758" s="3"/>
      <c r="U758" s="3"/>
      <c r="V758" s="3"/>
      <c r="W758" s="3"/>
      <c r="X758" s="3"/>
      <c r="Y758" s="3"/>
    </row>
    <row r="759">
      <c r="A759" s="7"/>
      <c r="B759" s="6"/>
      <c r="C759" s="6"/>
      <c r="D759" s="3"/>
      <c r="E759" s="3"/>
      <c r="F759" s="3"/>
      <c r="G759" s="3"/>
      <c r="H759" s="3"/>
      <c r="I759" s="3"/>
      <c r="J759" s="3"/>
      <c r="K759" s="3"/>
      <c r="L759" s="3"/>
      <c r="M759" s="3"/>
      <c r="N759" s="3"/>
      <c r="O759" s="3"/>
      <c r="P759" s="3"/>
      <c r="Q759" s="3"/>
      <c r="R759" s="3"/>
      <c r="S759" s="3"/>
      <c r="T759" s="3"/>
      <c r="U759" s="3"/>
      <c r="V759" s="3"/>
      <c r="W759" s="3"/>
      <c r="X759" s="3"/>
      <c r="Y759" s="3"/>
    </row>
    <row r="760">
      <c r="A760" s="7"/>
      <c r="B760" s="6"/>
      <c r="C760" s="6"/>
      <c r="D760" s="3"/>
      <c r="E760" s="3"/>
      <c r="F760" s="3"/>
      <c r="G760" s="3"/>
      <c r="H760" s="3"/>
      <c r="I760" s="3"/>
      <c r="J760" s="3"/>
      <c r="K760" s="3"/>
      <c r="L760" s="3"/>
      <c r="M760" s="3"/>
      <c r="N760" s="3"/>
      <c r="O760" s="3"/>
      <c r="P760" s="3"/>
      <c r="Q760" s="3"/>
      <c r="R760" s="3"/>
      <c r="S760" s="3"/>
      <c r="T760" s="3"/>
      <c r="U760" s="3"/>
      <c r="V760" s="3"/>
      <c r="W760" s="3"/>
      <c r="X760" s="3"/>
      <c r="Y760" s="3"/>
    </row>
    <row r="761">
      <c r="A761" s="7"/>
      <c r="B761" s="6"/>
      <c r="C761" s="6"/>
      <c r="D761" s="3"/>
      <c r="E761" s="3"/>
      <c r="F761" s="3"/>
      <c r="G761" s="3"/>
      <c r="H761" s="3"/>
      <c r="I761" s="3"/>
      <c r="J761" s="3"/>
      <c r="K761" s="3"/>
      <c r="L761" s="3"/>
      <c r="M761" s="3"/>
      <c r="N761" s="3"/>
      <c r="O761" s="3"/>
      <c r="P761" s="3"/>
      <c r="Q761" s="3"/>
      <c r="R761" s="3"/>
      <c r="S761" s="3"/>
      <c r="T761" s="3"/>
      <c r="U761" s="3"/>
      <c r="V761" s="3"/>
      <c r="W761" s="3"/>
      <c r="X761" s="3"/>
      <c r="Y761" s="3"/>
    </row>
    <row r="762">
      <c r="A762" s="7"/>
      <c r="B762" s="6"/>
      <c r="C762" s="6"/>
      <c r="D762" s="3"/>
      <c r="E762" s="3"/>
      <c r="F762" s="3"/>
      <c r="G762" s="3"/>
      <c r="H762" s="3"/>
      <c r="I762" s="3"/>
      <c r="J762" s="3"/>
      <c r="K762" s="3"/>
      <c r="L762" s="3"/>
      <c r="M762" s="3"/>
      <c r="N762" s="3"/>
      <c r="O762" s="3"/>
      <c r="P762" s="3"/>
      <c r="Q762" s="3"/>
      <c r="R762" s="3"/>
      <c r="S762" s="3"/>
      <c r="T762" s="3"/>
      <c r="U762" s="3"/>
      <c r="V762" s="3"/>
      <c r="W762" s="3"/>
      <c r="X762" s="3"/>
      <c r="Y762" s="3"/>
    </row>
    <row r="763">
      <c r="A763" s="7"/>
      <c r="B763" s="6"/>
      <c r="C763" s="6"/>
      <c r="D763" s="3"/>
      <c r="E763" s="3"/>
      <c r="F763" s="3"/>
      <c r="G763" s="3"/>
      <c r="H763" s="3"/>
      <c r="I763" s="3"/>
      <c r="J763" s="3"/>
      <c r="K763" s="3"/>
      <c r="L763" s="3"/>
      <c r="M763" s="3"/>
      <c r="N763" s="3"/>
      <c r="O763" s="3"/>
      <c r="P763" s="3"/>
      <c r="Q763" s="3"/>
      <c r="R763" s="3"/>
      <c r="S763" s="3"/>
      <c r="T763" s="3"/>
      <c r="U763" s="3"/>
      <c r="V763" s="3"/>
      <c r="W763" s="3"/>
      <c r="X763" s="3"/>
      <c r="Y763" s="3"/>
    </row>
    <row r="764">
      <c r="A764" s="7"/>
      <c r="B764" s="6"/>
      <c r="C764" s="6"/>
      <c r="D764" s="3"/>
      <c r="E764" s="3"/>
      <c r="F764" s="3"/>
      <c r="G764" s="3"/>
      <c r="H764" s="3"/>
      <c r="I764" s="3"/>
      <c r="J764" s="3"/>
      <c r="K764" s="3"/>
      <c r="L764" s="3"/>
      <c r="M764" s="3"/>
      <c r="N764" s="3"/>
      <c r="O764" s="3"/>
      <c r="P764" s="3"/>
      <c r="Q764" s="3"/>
      <c r="R764" s="3"/>
      <c r="S764" s="3"/>
      <c r="T764" s="3"/>
      <c r="U764" s="3"/>
      <c r="V764" s="3"/>
      <c r="W764" s="3"/>
      <c r="X764" s="3"/>
      <c r="Y764" s="3"/>
    </row>
    <row r="765">
      <c r="A765" s="7"/>
      <c r="B765" s="6"/>
      <c r="C765" s="6"/>
      <c r="D765" s="3"/>
      <c r="E765" s="3"/>
      <c r="F765" s="3"/>
      <c r="G765" s="3"/>
      <c r="H765" s="3"/>
      <c r="I765" s="3"/>
      <c r="J765" s="3"/>
      <c r="K765" s="3"/>
      <c r="L765" s="3"/>
      <c r="M765" s="3"/>
      <c r="N765" s="3"/>
      <c r="O765" s="3"/>
      <c r="P765" s="3"/>
      <c r="Q765" s="3"/>
      <c r="R765" s="3"/>
      <c r="S765" s="3"/>
      <c r="T765" s="3"/>
      <c r="U765" s="3"/>
      <c r="V765" s="3"/>
      <c r="W765" s="3"/>
      <c r="X765" s="3"/>
      <c r="Y765" s="3"/>
    </row>
    <row r="766">
      <c r="A766" s="7"/>
      <c r="B766" s="6"/>
      <c r="C766" s="6"/>
      <c r="D766" s="3"/>
      <c r="E766" s="3"/>
      <c r="F766" s="3"/>
      <c r="G766" s="3"/>
      <c r="H766" s="3"/>
      <c r="I766" s="3"/>
      <c r="J766" s="3"/>
      <c r="K766" s="3"/>
      <c r="L766" s="3"/>
      <c r="M766" s="3"/>
      <c r="N766" s="3"/>
      <c r="O766" s="3"/>
      <c r="P766" s="3"/>
      <c r="Q766" s="3"/>
      <c r="R766" s="3"/>
      <c r="S766" s="3"/>
      <c r="T766" s="3"/>
      <c r="U766" s="3"/>
      <c r="V766" s="3"/>
      <c r="W766" s="3"/>
      <c r="X766" s="3"/>
      <c r="Y766" s="3"/>
    </row>
    <row r="767">
      <c r="A767" s="7"/>
      <c r="B767" s="6"/>
      <c r="C767" s="6"/>
      <c r="D767" s="3"/>
      <c r="E767" s="3"/>
      <c r="F767" s="3"/>
      <c r="G767" s="3"/>
      <c r="H767" s="3"/>
      <c r="I767" s="3"/>
      <c r="J767" s="3"/>
      <c r="K767" s="3"/>
      <c r="L767" s="3"/>
      <c r="M767" s="3"/>
      <c r="N767" s="3"/>
      <c r="O767" s="3"/>
      <c r="P767" s="3"/>
      <c r="Q767" s="3"/>
      <c r="R767" s="3"/>
      <c r="S767" s="3"/>
      <c r="T767" s="3"/>
      <c r="U767" s="3"/>
      <c r="V767" s="3"/>
      <c r="W767" s="3"/>
      <c r="X767" s="3"/>
      <c r="Y767" s="3"/>
    </row>
    <row r="768">
      <c r="A768" s="7"/>
      <c r="B768" s="6"/>
      <c r="C768" s="6"/>
      <c r="D768" s="3"/>
      <c r="E768" s="3"/>
      <c r="F768" s="3"/>
      <c r="G768" s="3"/>
      <c r="H768" s="3"/>
      <c r="I768" s="3"/>
      <c r="J768" s="3"/>
      <c r="K768" s="3"/>
      <c r="L768" s="3"/>
      <c r="M768" s="3"/>
      <c r="N768" s="3"/>
      <c r="O768" s="3"/>
      <c r="P768" s="3"/>
      <c r="Q768" s="3"/>
      <c r="R768" s="3"/>
      <c r="S768" s="3"/>
      <c r="T768" s="3"/>
      <c r="U768" s="3"/>
      <c r="V768" s="3"/>
      <c r="W768" s="3"/>
      <c r="X768" s="3"/>
      <c r="Y768" s="3"/>
    </row>
    <row r="769">
      <c r="A769" s="7"/>
      <c r="B769" s="6"/>
      <c r="C769" s="6"/>
      <c r="D769" s="3"/>
      <c r="E769" s="3"/>
      <c r="F769" s="3"/>
      <c r="G769" s="3"/>
      <c r="H769" s="3"/>
      <c r="I769" s="3"/>
      <c r="J769" s="3"/>
      <c r="K769" s="3"/>
      <c r="L769" s="3"/>
      <c r="M769" s="3"/>
      <c r="N769" s="3"/>
      <c r="O769" s="3"/>
      <c r="P769" s="3"/>
      <c r="Q769" s="3"/>
      <c r="R769" s="3"/>
      <c r="S769" s="3"/>
      <c r="T769" s="3"/>
      <c r="U769" s="3"/>
      <c r="V769" s="3"/>
      <c r="W769" s="3"/>
      <c r="X769" s="3"/>
      <c r="Y769" s="3"/>
    </row>
    <row r="770">
      <c r="A770" s="7"/>
      <c r="B770" s="6"/>
      <c r="C770" s="6"/>
      <c r="D770" s="3"/>
      <c r="E770" s="3"/>
      <c r="F770" s="3"/>
      <c r="G770" s="3"/>
      <c r="H770" s="3"/>
      <c r="I770" s="3"/>
      <c r="J770" s="3"/>
      <c r="K770" s="3"/>
      <c r="L770" s="3"/>
      <c r="M770" s="3"/>
      <c r="N770" s="3"/>
      <c r="O770" s="3"/>
      <c r="P770" s="3"/>
      <c r="Q770" s="3"/>
      <c r="R770" s="3"/>
      <c r="S770" s="3"/>
      <c r="T770" s="3"/>
      <c r="U770" s="3"/>
      <c r="V770" s="3"/>
      <c r="W770" s="3"/>
      <c r="X770" s="3"/>
      <c r="Y770" s="3"/>
    </row>
    <row r="771">
      <c r="A771" s="7"/>
      <c r="B771" s="6"/>
      <c r="C771" s="6"/>
      <c r="D771" s="3"/>
      <c r="E771" s="3"/>
      <c r="F771" s="3"/>
      <c r="G771" s="3"/>
      <c r="H771" s="3"/>
      <c r="I771" s="3"/>
      <c r="J771" s="3"/>
      <c r="K771" s="3"/>
      <c r="L771" s="3"/>
      <c r="M771" s="3"/>
      <c r="N771" s="3"/>
      <c r="O771" s="3"/>
      <c r="P771" s="3"/>
      <c r="Q771" s="3"/>
      <c r="R771" s="3"/>
      <c r="S771" s="3"/>
      <c r="T771" s="3"/>
      <c r="U771" s="3"/>
      <c r="V771" s="3"/>
      <c r="W771" s="3"/>
      <c r="X771" s="3"/>
      <c r="Y771" s="3"/>
    </row>
    <row r="772">
      <c r="A772" s="7"/>
      <c r="B772" s="6"/>
      <c r="C772" s="6"/>
      <c r="D772" s="3"/>
      <c r="E772" s="3"/>
      <c r="F772" s="3"/>
      <c r="G772" s="3"/>
      <c r="H772" s="3"/>
      <c r="I772" s="3"/>
      <c r="J772" s="3"/>
      <c r="K772" s="3"/>
      <c r="L772" s="3"/>
      <c r="M772" s="3"/>
      <c r="N772" s="3"/>
      <c r="O772" s="3"/>
      <c r="P772" s="3"/>
      <c r="Q772" s="3"/>
      <c r="R772" s="3"/>
      <c r="S772" s="3"/>
      <c r="T772" s="3"/>
      <c r="U772" s="3"/>
      <c r="V772" s="3"/>
      <c r="W772" s="3"/>
      <c r="X772" s="3"/>
      <c r="Y772" s="3"/>
    </row>
    <row r="773">
      <c r="A773" s="7"/>
      <c r="B773" s="6"/>
      <c r="C773" s="6"/>
      <c r="D773" s="3"/>
      <c r="E773" s="3"/>
      <c r="F773" s="3"/>
      <c r="G773" s="3"/>
      <c r="H773" s="3"/>
      <c r="I773" s="3"/>
      <c r="J773" s="3"/>
      <c r="K773" s="3"/>
      <c r="L773" s="3"/>
      <c r="M773" s="3"/>
      <c r="N773" s="3"/>
      <c r="O773" s="3"/>
      <c r="P773" s="3"/>
      <c r="Q773" s="3"/>
      <c r="R773" s="3"/>
      <c r="S773" s="3"/>
      <c r="T773" s="3"/>
      <c r="U773" s="3"/>
      <c r="V773" s="3"/>
      <c r="W773" s="3"/>
      <c r="X773" s="3"/>
      <c r="Y773" s="3"/>
    </row>
    <row r="774">
      <c r="A774" s="7"/>
      <c r="B774" s="6"/>
      <c r="C774" s="6"/>
      <c r="D774" s="3"/>
      <c r="E774" s="3"/>
      <c r="F774" s="3"/>
      <c r="G774" s="3"/>
      <c r="H774" s="3"/>
      <c r="I774" s="3"/>
      <c r="J774" s="3"/>
      <c r="K774" s="3"/>
      <c r="L774" s="3"/>
      <c r="M774" s="3"/>
      <c r="N774" s="3"/>
      <c r="O774" s="3"/>
      <c r="P774" s="3"/>
      <c r="Q774" s="3"/>
      <c r="R774" s="3"/>
      <c r="S774" s="3"/>
      <c r="T774" s="3"/>
      <c r="U774" s="3"/>
      <c r="V774" s="3"/>
      <c r="W774" s="3"/>
      <c r="X774" s="3"/>
      <c r="Y774" s="3"/>
    </row>
    <row r="775">
      <c r="A775" s="7"/>
      <c r="B775" s="6"/>
      <c r="C775" s="6"/>
      <c r="D775" s="3"/>
      <c r="E775" s="3"/>
      <c r="F775" s="3"/>
      <c r="G775" s="3"/>
      <c r="H775" s="3"/>
      <c r="I775" s="3"/>
      <c r="J775" s="3"/>
      <c r="K775" s="3"/>
      <c r="L775" s="3"/>
      <c r="M775" s="3"/>
      <c r="N775" s="3"/>
      <c r="O775" s="3"/>
      <c r="P775" s="3"/>
      <c r="Q775" s="3"/>
      <c r="R775" s="3"/>
      <c r="S775" s="3"/>
      <c r="T775" s="3"/>
      <c r="U775" s="3"/>
      <c r="V775" s="3"/>
      <c r="W775" s="3"/>
      <c r="X775" s="3"/>
      <c r="Y775" s="3"/>
    </row>
    <row r="776">
      <c r="A776" s="7"/>
      <c r="B776" s="6"/>
      <c r="C776" s="6"/>
      <c r="D776" s="3"/>
      <c r="E776" s="3"/>
      <c r="F776" s="3"/>
      <c r="G776" s="3"/>
      <c r="H776" s="3"/>
      <c r="I776" s="3"/>
      <c r="J776" s="3"/>
      <c r="K776" s="3"/>
      <c r="L776" s="3"/>
      <c r="M776" s="3"/>
      <c r="N776" s="3"/>
      <c r="O776" s="3"/>
      <c r="P776" s="3"/>
      <c r="Q776" s="3"/>
      <c r="R776" s="3"/>
      <c r="S776" s="3"/>
      <c r="T776" s="3"/>
      <c r="U776" s="3"/>
      <c r="V776" s="3"/>
      <c r="W776" s="3"/>
      <c r="X776" s="3"/>
      <c r="Y776" s="3"/>
    </row>
    <row r="777">
      <c r="A777" s="7"/>
      <c r="B777" s="6"/>
      <c r="C777" s="6"/>
      <c r="D777" s="3"/>
      <c r="E777" s="3"/>
      <c r="F777" s="3"/>
      <c r="G777" s="3"/>
      <c r="H777" s="3"/>
      <c r="I777" s="3"/>
      <c r="J777" s="3"/>
      <c r="K777" s="3"/>
      <c r="L777" s="3"/>
      <c r="M777" s="3"/>
      <c r="N777" s="3"/>
      <c r="O777" s="3"/>
      <c r="P777" s="3"/>
      <c r="Q777" s="3"/>
      <c r="R777" s="3"/>
      <c r="S777" s="3"/>
      <c r="T777" s="3"/>
      <c r="U777" s="3"/>
      <c r="V777" s="3"/>
      <c r="W777" s="3"/>
      <c r="X777" s="3"/>
      <c r="Y777" s="3"/>
    </row>
    <row r="778">
      <c r="A778" s="7"/>
      <c r="B778" s="6"/>
      <c r="C778" s="6"/>
      <c r="D778" s="3"/>
      <c r="E778" s="3"/>
      <c r="F778" s="3"/>
      <c r="G778" s="3"/>
      <c r="H778" s="3"/>
      <c r="I778" s="3"/>
      <c r="J778" s="3"/>
      <c r="K778" s="3"/>
      <c r="L778" s="3"/>
      <c r="M778" s="3"/>
      <c r="N778" s="3"/>
      <c r="O778" s="3"/>
      <c r="P778" s="3"/>
      <c r="Q778" s="3"/>
      <c r="R778" s="3"/>
      <c r="S778" s="3"/>
      <c r="T778" s="3"/>
      <c r="U778" s="3"/>
      <c r="V778" s="3"/>
      <c r="W778" s="3"/>
      <c r="X778" s="3"/>
      <c r="Y778" s="3"/>
    </row>
    <row r="779">
      <c r="A779" s="7"/>
      <c r="B779" s="6"/>
      <c r="C779" s="6"/>
      <c r="D779" s="3"/>
      <c r="E779" s="3"/>
      <c r="F779" s="3"/>
      <c r="G779" s="3"/>
      <c r="H779" s="3"/>
      <c r="I779" s="3"/>
      <c r="J779" s="3"/>
      <c r="K779" s="3"/>
      <c r="L779" s="3"/>
      <c r="M779" s="3"/>
      <c r="N779" s="3"/>
      <c r="O779" s="3"/>
      <c r="P779" s="3"/>
      <c r="Q779" s="3"/>
      <c r="R779" s="3"/>
      <c r="S779" s="3"/>
      <c r="T779" s="3"/>
      <c r="U779" s="3"/>
      <c r="V779" s="3"/>
      <c r="W779" s="3"/>
      <c r="X779" s="3"/>
      <c r="Y779" s="3"/>
    </row>
    <row r="780">
      <c r="A780" s="7"/>
      <c r="B780" s="6"/>
      <c r="C780" s="6"/>
      <c r="D780" s="3"/>
      <c r="E780" s="3"/>
      <c r="F780" s="3"/>
      <c r="G780" s="3"/>
      <c r="H780" s="3"/>
      <c r="I780" s="3"/>
      <c r="J780" s="3"/>
      <c r="K780" s="3"/>
      <c r="L780" s="3"/>
      <c r="M780" s="3"/>
      <c r="N780" s="3"/>
      <c r="O780" s="3"/>
      <c r="P780" s="3"/>
      <c r="Q780" s="3"/>
      <c r="R780" s="3"/>
      <c r="S780" s="3"/>
      <c r="T780" s="3"/>
      <c r="U780" s="3"/>
      <c r="V780" s="3"/>
      <c r="W780" s="3"/>
      <c r="X780" s="3"/>
      <c r="Y780" s="3"/>
    </row>
    <row r="781">
      <c r="A781" s="7"/>
      <c r="B781" s="6"/>
      <c r="C781" s="6"/>
      <c r="D781" s="3"/>
      <c r="E781" s="3"/>
      <c r="F781" s="3"/>
      <c r="G781" s="3"/>
      <c r="H781" s="3"/>
      <c r="I781" s="3"/>
      <c r="J781" s="3"/>
      <c r="K781" s="3"/>
      <c r="L781" s="3"/>
      <c r="M781" s="3"/>
      <c r="N781" s="3"/>
      <c r="O781" s="3"/>
      <c r="P781" s="3"/>
      <c r="Q781" s="3"/>
      <c r="R781" s="3"/>
      <c r="S781" s="3"/>
      <c r="T781" s="3"/>
      <c r="U781" s="3"/>
      <c r="V781" s="3"/>
      <c r="W781" s="3"/>
      <c r="X781" s="3"/>
      <c r="Y781" s="3"/>
    </row>
    <row r="782">
      <c r="A782" s="7"/>
      <c r="B782" s="6"/>
      <c r="C782" s="6"/>
      <c r="D782" s="3"/>
      <c r="E782" s="3"/>
      <c r="F782" s="3"/>
      <c r="G782" s="3"/>
      <c r="H782" s="3"/>
      <c r="I782" s="3"/>
      <c r="J782" s="3"/>
      <c r="K782" s="3"/>
      <c r="L782" s="3"/>
      <c r="M782" s="3"/>
      <c r="N782" s="3"/>
      <c r="O782" s="3"/>
      <c r="P782" s="3"/>
      <c r="Q782" s="3"/>
      <c r="R782" s="3"/>
      <c r="S782" s="3"/>
      <c r="T782" s="3"/>
      <c r="U782" s="3"/>
      <c r="V782" s="3"/>
      <c r="W782" s="3"/>
      <c r="X782" s="3"/>
      <c r="Y782" s="3"/>
    </row>
    <row r="783">
      <c r="A783" s="7"/>
      <c r="B783" s="6"/>
      <c r="C783" s="6"/>
      <c r="D783" s="3"/>
      <c r="E783" s="3"/>
      <c r="F783" s="3"/>
      <c r="G783" s="3"/>
      <c r="H783" s="3"/>
      <c r="I783" s="3"/>
      <c r="J783" s="3"/>
      <c r="K783" s="3"/>
      <c r="L783" s="3"/>
      <c r="M783" s="3"/>
      <c r="N783" s="3"/>
      <c r="O783" s="3"/>
      <c r="P783" s="3"/>
      <c r="Q783" s="3"/>
      <c r="R783" s="3"/>
      <c r="S783" s="3"/>
      <c r="T783" s="3"/>
      <c r="U783" s="3"/>
      <c r="V783" s="3"/>
      <c r="W783" s="3"/>
      <c r="X783" s="3"/>
      <c r="Y783" s="3"/>
    </row>
    <row r="784">
      <c r="A784" s="7"/>
      <c r="B784" s="6"/>
      <c r="C784" s="6"/>
      <c r="D784" s="3"/>
      <c r="E784" s="3"/>
      <c r="F784" s="3"/>
      <c r="G784" s="3"/>
      <c r="H784" s="3"/>
      <c r="I784" s="3"/>
      <c r="J784" s="3"/>
      <c r="K784" s="3"/>
      <c r="L784" s="3"/>
      <c r="M784" s="3"/>
      <c r="N784" s="3"/>
      <c r="O784" s="3"/>
      <c r="P784" s="3"/>
      <c r="Q784" s="3"/>
      <c r="R784" s="3"/>
      <c r="S784" s="3"/>
      <c r="T784" s="3"/>
      <c r="U784" s="3"/>
      <c r="V784" s="3"/>
      <c r="W784" s="3"/>
      <c r="X784" s="3"/>
      <c r="Y784" s="3"/>
    </row>
    <row r="785">
      <c r="A785" s="7"/>
      <c r="B785" s="6"/>
      <c r="C785" s="6"/>
      <c r="D785" s="3"/>
      <c r="E785" s="3"/>
      <c r="F785" s="3"/>
      <c r="G785" s="3"/>
      <c r="H785" s="3"/>
      <c r="I785" s="3"/>
      <c r="J785" s="3"/>
      <c r="K785" s="3"/>
      <c r="L785" s="3"/>
      <c r="M785" s="3"/>
      <c r="N785" s="3"/>
      <c r="O785" s="3"/>
      <c r="P785" s="3"/>
      <c r="Q785" s="3"/>
      <c r="R785" s="3"/>
      <c r="S785" s="3"/>
      <c r="T785" s="3"/>
      <c r="U785" s="3"/>
      <c r="V785" s="3"/>
      <c r="W785" s="3"/>
      <c r="X785" s="3"/>
      <c r="Y785" s="3"/>
    </row>
    <row r="786">
      <c r="A786" s="7"/>
      <c r="B786" s="6"/>
      <c r="C786" s="6"/>
      <c r="D786" s="3"/>
      <c r="E786" s="3"/>
      <c r="F786" s="3"/>
      <c r="G786" s="3"/>
      <c r="H786" s="3"/>
      <c r="I786" s="3"/>
      <c r="J786" s="3"/>
      <c r="K786" s="3"/>
      <c r="L786" s="3"/>
      <c r="M786" s="3"/>
      <c r="N786" s="3"/>
      <c r="O786" s="3"/>
      <c r="P786" s="3"/>
      <c r="Q786" s="3"/>
      <c r="R786" s="3"/>
      <c r="S786" s="3"/>
      <c r="T786" s="3"/>
      <c r="U786" s="3"/>
      <c r="V786" s="3"/>
      <c r="W786" s="3"/>
      <c r="X786" s="3"/>
      <c r="Y786" s="3"/>
    </row>
    <row r="787">
      <c r="A787" s="7"/>
      <c r="B787" s="6"/>
      <c r="C787" s="6"/>
      <c r="D787" s="3"/>
      <c r="E787" s="3"/>
      <c r="F787" s="3"/>
      <c r="G787" s="3"/>
      <c r="H787" s="3"/>
      <c r="I787" s="3"/>
      <c r="J787" s="3"/>
      <c r="K787" s="3"/>
      <c r="L787" s="3"/>
      <c r="M787" s="3"/>
      <c r="N787" s="3"/>
      <c r="O787" s="3"/>
      <c r="P787" s="3"/>
      <c r="Q787" s="3"/>
      <c r="R787" s="3"/>
      <c r="S787" s="3"/>
      <c r="T787" s="3"/>
      <c r="U787" s="3"/>
      <c r="V787" s="3"/>
      <c r="W787" s="3"/>
      <c r="X787" s="3"/>
      <c r="Y787" s="3"/>
    </row>
    <row r="788">
      <c r="A788" s="7"/>
      <c r="B788" s="6"/>
      <c r="C788" s="6"/>
      <c r="D788" s="3"/>
      <c r="E788" s="3"/>
      <c r="F788" s="3"/>
      <c r="G788" s="3"/>
      <c r="H788" s="3"/>
      <c r="I788" s="3"/>
      <c r="J788" s="3"/>
      <c r="K788" s="3"/>
      <c r="L788" s="3"/>
      <c r="M788" s="3"/>
      <c r="N788" s="3"/>
      <c r="O788" s="3"/>
      <c r="P788" s="3"/>
      <c r="Q788" s="3"/>
      <c r="R788" s="3"/>
      <c r="S788" s="3"/>
      <c r="T788" s="3"/>
      <c r="U788" s="3"/>
      <c r="V788" s="3"/>
      <c r="W788" s="3"/>
      <c r="X788" s="3"/>
      <c r="Y788" s="3"/>
    </row>
    <row r="789">
      <c r="A789" s="7"/>
      <c r="B789" s="6"/>
      <c r="C789" s="6"/>
      <c r="D789" s="3"/>
      <c r="E789" s="3"/>
      <c r="F789" s="3"/>
      <c r="G789" s="3"/>
      <c r="H789" s="3"/>
      <c r="I789" s="3"/>
      <c r="J789" s="3"/>
      <c r="K789" s="3"/>
      <c r="L789" s="3"/>
      <c r="M789" s="3"/>
      <c r="N789" s="3"/>
      <c r="O789" s="3"/>
      <c r="P789" s="3"/>
      <c r="Q789" s="3"/>
      <c r="R789" s="3"/>
      <c r="S789" s="3"/>
      <c r="T789" s="3"/>
      <c r="U789" s="3"/>
      <c r="V789" s="3"/>
      <c r="W789" s="3"/>
      <c r="X789" s="3"/>
      <c r="Y789" s="3"/>
    </row>
    <row r="790">
      <c r="A790" s="7"/>
      <c r="B790" s="6"/>
      <c r="C790" s="6"/>
      <c r="D790" s="3"/>
      <c r="E790" s="3"/>
      <c r="F790" s="3"/>
      <c r="G790" s="3"/>
      <c r="H790" s="3"/>
      <c r="I790" s="3"/>
      <c r="J790" s="3"/>
      <c r="K790" s="3"/>
      <c r="L790" s="3"/>
      <c r="M790" s="3"/>
      <c r="N790" s="3"/>
      <c r="O790" s="3"/>
      <c r="P790" s="3"/>
      <c r="Q790" s="3"/>
      <c r="R790" s="3"/>
      <c r="S790" s="3"/>
      <c r="T790" s="3"/>
      <c r="U790" s="3"/>
      <c r="V790" s="3"/>
      <c r="W790" s="3"/>
      <c r="X790" s="3"/>
      <c r="Y790" s="3"/>
    </row>
    <row r="791">
      <c r="A791" s="7"/>
      <c r="B791" s="6"/>
      <c r="C791" s="6"/>
      <c r="D791" s="3"/>
      <c r="E791" s="3"/>
      <c r="F791" s="3"/>
      <c r="G791" s="3"/>
      <c r="H791" s="3"/>
      <c r="I791" s="3"/>
      <c r="J791" s="3"/>
      <c r="K791" s="3"/>
      <c r="L791" s="3"/>
      <c r="M791" s="3"/>
      <c r="N791" s="3"/>
      <c r="O791" s="3"/>
      <c r="P791" s="3"/>
      <c r="Q791" s="3"/>
      <c r="R791" s="3"/>
      <c r="S791" s="3"/>
      <c r="T791" s="3"/>
      <c r="U791" s="3"/>
      <c r="V791" s="3"/>
      <c r="W791" s="3"/>
      <c r="X791" s="3"/>
      <c r="Y791" s="3"/>
    </row>
    <row r="792">
      <c r="A792" s="7"/>
      <c r="B792" s="6"/>
      <c r="C792" s="6"/>
      <c r="D792" s="3"/>
      <c r="E792" s="3"/>
      <c r="F792" s="3"/>
      <c r="G792" s="3"/>
      <c r="H792" s="3"/>
      <c r="I792" s="3"/>
      <c r="J792" s="3"/>
      <c r="K792" s="3"/>
      <c r="L792" s="3"/>
      <c r="M792" s="3"/>
      <c r="N792" s="3"/>
      <c r="O792" s="3"/>
      <c r="P792" s="3"/>
      <c r="Q792" s="3"/>
      <c r="R792" s="3"/>
      <c r="S792" s="3"/>
      <c r="T792" s="3"/>
      <c r="U792" s="3"/>
      <c r="V792" s="3"/>
      <c r="W792" s="3"/>
      <c r="X792" s="3"/>
      <c r="Y792" s="3"/>
    </row>
    <row r="793">
      <c r="A793" s="7"/>
      <c r="B793" s="6"/>
      <c r="C793" s="6"/>
      <c r="D793" s="3"/>
      <c r="E793" s="3"/>
      <c r="F793" s="3"/>
      <c r="G793" s="3"/>
      <c r="H793" s="3"/>
      <c r="I793" s="3"/>
      <c r="J793" s="3"/>
      <c r="K793" s="3"/>
      <c r="L793" s="3"/>
      <c r="M793" s="3"/>
      <c r="N793" s="3"/>
      <c r="O793" s="3"/>
      <c r="P793" s="3"/>
      <c r="Q793" s="3"/>
      <c r="R793" s="3"/>
      <c r="S793" s="3"/>
      <c r="T793" s="3"/>
      <c r="U793" s="3"/>
      <c r="V793" s="3"/>
      <c r="W793" s="3"/>
      <c r="X793" s="3"/>
      <c r="Y793" s="3"/>
    </row>
    <row r="794">
      <c r="A794" s="7"/>
      <c r="B794" s="6"/>
      <c r="C794" s="6"/>
      <c r="D794" s="3"/>
      <c r="E794" s="3"/>
      <c r="F794" s="3"/>
      <c r="G794" s="3"/>
      <c r="H794" s="3"/>
      <c r="I794" s="3"/>
      <c r="J794" s="3"/>
      <c r="K794" s="3"/>
      <c r="L794" s="3"/>
      <c r="M794" s="3"/>
      <c r="N794" s="3"/>
      <c r="O794" s="3"/>
      <c r="P794" s="3"/>
      <c r="Q794" s="3"/>
      <c r="R794" s="3"/>
      <c r="S794" s="3"/>
      <c r="T794" s="3"/>
      <c r="U794" s="3"/>
      <c r="V794" s="3"/>
      <c r="W794" s="3"/>
      <c r="X794" s="3"/>
      <c r="Y794" s="3"/>
    </row>
    <row r="795">
      <c r="A795" s="7"/>
      <c r="B795" s="6"/>
      <c r="C795" s="6"/>
      <c r="D795" s="3"/>
      <c r="E795" s="3"/>
      <c r="F795" s="3"/>
      <c r="G795" s="3"/>
      <c r="H795" s="3"/>
      <c r="I795" s="3"/>
      <c r="J795" s="3"/>
      <c r="K795" s="3"/>
      <c r="L795" s="3"/>
      <c r="M795" s="3"/>
      <c r="N795" s="3"/>
      <c r="O795" s="3"/>
      <c r="P795" s="3"/>
      <c r="Q795" s="3"/>
      <c r="R795" s="3"/>
      <c r="S795" s="3"/>
      <c r="T795" s="3"/>
      <c r="U795" s="3"/>
      <c r="V795" s="3"/>
      <c r="W795" s="3"/>
      <c r="X795" s="3"/>
      <c r="Y795" s="3"/>
    </row>
    <row r="796">
      <c r="A796" s="7"/>
      <c r="B796" s="6"/>
      <c r="C796" s="6"/>
      <c r="D796" s="3"/>
      <c r="E796" s="3"/>
      <c r="F796" s="3"/>
      <c r="G796" s="3"/>
      <c r="H796" s="3"/>
      <c r="I796" s="3"/>
      <c r="J796" s="3"/>
      <c r="K796" s="3"/>
      <c r="L796" s="3"/>
      <c r="M796" s="3"/>
      <c r="N796" s="3"/>
      <c r="O796" s="3"/>
      <c r="P796" s="3"/>
      <c r="Q796" s="3"/>
      <c r="R796" s="3"/>
      <c r="S796" s="3"/>
      <c r="T796" s="3"/>
      <c r="U796" s="3"/>
      <c r="V796" s="3"/>
      <c r="W796" s="3"/>
      <c r="X796" s="3"/>
      <c r="Y796" s="3"/>
    </row>
    <row r="797">
      <c r="A797" s="7"/>
      <c r="B797" s="6"/>
      <c r="C797" s="6"/>
      <c r="D797" s="3"/>
      <c r="E797" s="3"/>
      <c r="F797" s="3"/>
      <c r="G797" s="3"/>
      <c r="H797" s="3"/>
      <c r="I797" s="3"/>
      <c r="J797" s="3"/>
      <c r="K797" s="3"/>
      <c r="L797" s="3"/>
      <c r="M797" s="3"/>
      <c r="N797" s="3"/>
      <c r="O797" s="3"/>
      <c r="P797" s="3"/>
      <c r="Q797" s="3"/>
      <c r="R797" s="3"/>
      <c r="S797" s="3"/>
      <c r="T797" s="3"/>
      <c r="U797" s="3"/>
      <c r="V797" s="3"/>
      <c r="W797" s="3"/>
      <c r="X797" s="3"/>
      <c r="Y797" s="3"/>
    </row>
    <row r="798">
      <c r="A798" s="7"/>
      <c r="B798" s="6"/>
      <c r="C798" s="6"/>
      <c r="D798" s="3"/>
      <c r="E798" s="3"/>
      <c r="F798" s="3"/>
      <c r="G798" s="3"/>
      <c r="H798" s="3"/>
      <c r="I798" s="3"/>
      <c r="J798" s="3"/>
      <c r="K798" s="3"/>
      <c r="L798" s="3"/>
      <c r="M798" s="3"/>
      <c r="N798" s="3"/>
      <c r="O798" s="3"/>
      <c r="P798" s="3"/>
      <c r="Q798" s="3"/>
      <c r="R798" s="3"/>
      <c r="S798" s="3"/>
      <c r="T798" s="3"/>
      <c r="U798" s="3"/>
      <c r="V798" s="3"/>
      <c r="W798" s="3"/>
      <c r="X798" s="3"/>
      <c r="Y798" s="3"/>
    </row>
    <row r="799">
      <c r="A799" s="7"/>
      <c r="B799" s="6"/>
      <c r="C799" s="6"/>
      <c r="D799" s="3"/>
      <c r="E799" s="3"/>
      <c r="F799" s="3"/>
      <c r="G799" s="3"/>
      <c r="H799" s="3"/>
      <c r="I799" s="3"/>
      <c r="J799" s="3"/>
      <c r="K799" s="3"/>
      <c r="L799" s="3"/>
      <c r="M799" s="3"/>
      <c r="N799" s="3"/>
      <c r="O799" s="3"/>
      <c r="P799" s="3"/>
      <c r="Q799" s="3"/>
      <c r="R799" s="3"/>
      <c r="S799" s="3"/>
      <c r="T799" s="3"/>
      <c r="U799" s="3"/>
      <c r="V799" s="3"/>
      <c r="W799" s="3"/>
      <c r="X799" s="3"/>
      <c r="Y799" s="3"/>
    </row>
    <row r="800">
      <c r="A800" s="7"/>
      <c r="B800" s="6"/>
      <c r="C800" s="6"/>
      <c r="D800" s="3"/>
      <c r="E800" s="3"/>
      <c r="F800" s="3"/>
      <c r="G800" s="3"/>
      <c r="H800" s="3"/>
      <c r="I800" s="3"/>
      <c r="J800" s="3"/>
      <c r="K800" s="3"/>
      <c r="L800" s="3"/>
      <c r="M800" s="3"/>
      <c r="N800" s="3"/>
      <c r="O800" s="3"/>
      <c r="P800" s="3"/>
      <c r="Q800" s="3"/>
      <c r="R800" s="3"/>
      <c r="S800" s="3"/>
      <c r="T800" s="3"/>
      <c r="U800" s="3"/>
      <c r="V800" s="3"/>
      <c r="W800" s="3"/>
      <c r="X800" s="3"/>
      <c r="Y800" s="3"/>
    </row>
    <row r="801">
      <c r="A801" s="7"/>
      <c r="B801" s="6"/>
      <c r="C801" s="6"/>
      <c r="D801" s="3"/>
      <c r="E801" s="3"/>
      <c r="F801" s="3"/>
      <c r="G801" s="3"/>
      <c r="H801" s="3"/>
      <c r="I801" s="3"/>
      <c r="J801" s="3"/>
      <c r="K801" s="3"/>
      <c r="L801" s="3"/>
      <c r="M801" s="3"/>
      <c r="N801" s="3"/>
      <c r="O801" s="3"/>
      <c r="P801" s="3"/>
      <c r="Q801" s="3"/>
      <c r="R801" s="3"/>
      <c r="S801" s="3"/>
      <c r="T801" s="3"/>
      <c r="U801" s="3"/>
      <c r="V801" s="3"/>
      <c r="W801" s="3"/>
      <c r="X801" s="3"/>
      <c r="Y801" s="3"/>
    </row>
    <row r="802">
      <c r="A802" s="7"/>
      <c r="B802" s="6"/>
      <c r="C802" s="6"/>
      <c r="D802" s="3"/>
      <c r="E802" s="3"/>
      <c r="F802" s="3"/>
      <c r="G802" s="3"/>
      <c r="H802" s="3"/>
      <c r="I802" s="3"/>
      <c r="J802" s="3"/>
      <c r="K802" s="3"/>
      <c r="L802" s="3"/>
      <c r="M802" s="3"/>
      <c r="N802" s="3"/>
      <c r="O802" s="3"/>
      <c r="P802" s="3"/>
      <c r="Q802" s="3"/>
      <c r="R802" s="3"/>
      <c r="S802" s="3"/>
      <c r="T802" s="3"/>
      <c r="U802" s="3"/>
      <c r="V802" s="3"/>
      <c r="W802" s="3"/>
      <c r="X802" s="3"/>
      <c r="Y802" s="3"/>
    </row>
    <row r="803">
      <c r="A803" s="7"/>
      <c r="B803" s="6"/>
      <c r="C803" s="6"/>
      <c r="D803" s="3"/>
      <c r="E803" s="3"/>
      <c r="F803" s="3"/>
      <c r="G803" s="3"/>
      <c r="H803" s="3"/>
      <c r="I803" s="3"/>
      <c r="J803" s="3"/>
      <c r="K803" s="3"/>
      <c r="L803" s="3"/>
      <c r="M803" s="3"/>
      <c r="N803" s="3"/>
      <c r="O803" s="3"/>
      <c r="P803" s="3"/>
      <c r="Q803" s="3"/>
      <c r="R803" s="3"/>
      <c r="S803" s="3"/>
      <c r="T803" s="3"/>
      <c r="U803" s="3"/>
      <c r="V803" s="3"/>
      <c r="W803" s="3"/>
      <c r="X803" s="3"/>
      <c r="Y803" s="3"/>
    </row>
    <row r="804">
      <c r="A804" s="7"/>
      <c r="B804" s="6"/>
      <c r="C804" s="6"/>
      <c r="D804" s="3"/>
      <c r="E804" s="3"/>
      <c r="F804" s="3"/>
      <c r="G804" s="3"/>
      <c r="H804" s="3"/>
      <c r="I804" s="3"/>
      <c r="J804" s="3"/>
      <c r="K804" s="3"/>
      <c r="L804" s="3"/>
      <c r="M804" s="3"/>
      <c r="N804" s="3"/>
      <c r="O804" s="3"/>
      <c r="P804" s="3"/>
      <c r="Q804" s="3"/>
      <c r="R804" s="3"/>
      <c r="S804" s="3"/>
      <c r="T804" s="3"/>
      <c r="U804" s="3"/>
      <c r="V804" s="3"/>
      <c r="W804" s="3"/>
      <c r="X804" s="3"/>
      <c r="Y804" s="3"/>
    </row>
    <row r="805">
      <c r="A805" s="7"/>
      <c r="B805" s="6"/>
      <c r="C805" s="6"/>
      <c r="D805" s="3"/>
      <c r="E805" s="3"/>
      <c r="F805" s="3"/>
      <c r="G805" s="3"/>
      <c r="H805" s="3"/>
      <c r="I805" s="3"/>
      <c r="J805" s="3"/>
      <c r="K805" s="3"/>
      <c r="L805" s="3"/>
      <c r="M805" s="3"/>
      <c r="N805" s="3"/>
      <c r="O805" s="3"/>
      <c r="P805" s="3"/>
      <c r="Q805" s="3"/>
      <c r="R805" s="3"/>
      <c r="S805" s="3"/>
      <c r="T805" s="3"/>
      <c r="U805" s="3"/>
      <c r="V805" s="3"/>
      <c r="W805" s="3"/>
      <c r="X805" s="3"/>
      <c r="Y805" s="3"/>
    </row>
    <row r="806">
      <c r="A806" s="7"/>
      <c r="B806" s="6"/>
      <c r="C806" s="6"/>
      <c r="D806" s="3"/>
      <c r="E806" s="3"/>
      <c r="F806" s="3"/>
      <c r="G806" s="3"/>
      <c r="H806" s="3"/>
      <c r="I806" s="3"/>
      <c r="J806" s="3"/>
      <c r="K806" s="3"/>
      <c r="L806" s="3"/>
      <c r="M806" s="3"/>
      <c r="N806" s="3"/>
      <c r="O806" s="3"/>
      <c r="P806" s="3"/>
      <c r="Q806" s="3"/>
      <c r="R806" s="3"/>
      <c r="S806" s="3"/>
      <c r="T806" s="3"/>
      <c r="U806" s="3"/>
      <c r="V806" s="3"/>
      <c r="W806" s="3"/>
      <c r="X806" s="3"/>
      <c r="Y806" s="3"/>
    </row>
    <row r="807">
      <c r="A807" s="7"/>
      <c r="B807" s="6"/>
      <c r="C807" s="6"/>
      <c r="D807" s="3"/>
      <c r="E807" s="3"/>
      <c r="F807" s="3"/>
      <c r="G807" s="3"/>
      <c r="H807" s="3"/>
      <c r="I807" s="3"/>
      <c r="J807" s="3"/>
      <c r="K807" s="3"/>
      <c r="L807" s="3"/>
      <c r="M807" s="3"/>
      <c r="N807" s="3"/>
      <c r="O807" s="3"/>
      <c r="P807" s="3"/>
      <c r="Q807" s="3"/>
      <c r="R807" s="3"/>
      <c r="S807" s="3"/>
      <c r="T807" s="3"/>
      <c r="U807" s="3"/>
      <c r="V807" s="3"/>
      <c r="W807" s="3"/>
      <c r="X807" s="3"/>
      <c r="Y807" s="3"/>
    </row>
    <row r="808">
      <c r="A808" s="7"/>
      <c r="B808" s="6"/>
      <c r="C808" s="6"/>
      <c r="D808" s="3"/>
      <c r="E808" s="3"/>
      <c r="F808" s="3"/>
      <c r="G808" s="3"/>
      <c r="H808" s="3"/>
      <c r="I808" s="3"/>
      <c r="J808" s="3"/>
      <c r="K808" s="3"/>
      <c r="L808" s="3"/>
      <c r="M808" s="3"/>
      <c r="N808" s="3"/>
      <c r="O808" s="3"/>
      <c r="P808" s="3"/>
      <c r="Q808" s="3"/>
      <c r="R808" s="3"/>
      <c r="S808" s="3"/>
      <c r="T808" s="3"/>
      <c r="U808" s="3"/>
      <c r="V808" s="3"/>
      <c r="W808" s="3"/>
      <c r="X808" s="3"/>
      <c r="Y808" s="3"/>
    </row>
    <row r="809">
      <c r="A809" s="7"/>
      <c r="B809" s="6"/>
      <c r="C809" s="6"/>
      <c r="D809" s="3"/>
      <c r="E809" s="3"/>
      <c r="F809" s="3"/>
      <c r="G809" s="3"/>
      <c r="H809" s="3"/>
      <c r="I809" s="3"/>
      <c r="J809" s="3"/>
      <c r="K809" s="3"/>
      <c r="L809" s="3"/>
      <c r="M809" s="3"/>
      <c r="N809" s="3"/>
      <c r="O809" s="3"/>
      <c r="P809" s="3"/>
      <c r="Q809" s="3"/>
      <c r="R809" s="3"/>
      <c r="S809" s="3"/>
      <c r="T809" s="3"/>
      <c r="U809" s="3"/>
      <c r="V809" s="3"/>
      <c r="W809" s="3"/>
      <c r="X809" s="3"/>
      <c r="Y809" s="3"/>
    </row>
    <row r="810">
      <c r="A810" s="7"/>
      <c r="B810" s="6"/>
      <c r="C810" s="6"/>
      <c r="D810" s="3"/>
      <c r="E810" s="3"/>
      <c r="F810" s="3"/>
      <c r="G810" s="3"/>
      <c r="H810" s="3"/>
      <c r="I810" s="3"/>
      <c r="J810" s="3"/>
      <c r="K810" s="3"/>
      <c r="L810" s="3"/>
      <c r="M810" s="3"/>
      <c r="N810" s="3"/>
      <c r="O810" s="3"/>
      <c r="P810" s="3"/>
      <c r="Q810" s="3"/>
      <c r="R810" s="3"/>
      <c r="S810" s="3"/>
      <c r="T810" s="3"/>
      <c r="U810" s="3"/>
      <c r="V810" s="3"/>
      <c r="W810" s="3"/>
      <c r="X810" s="3"/>
      <c r="Y810" s="3"/>
    </row>
    <row r="811">
      <c r="A811" s="7"/>
      <c r="B811" s="6"/>
      <c r="C811" s="6"/>
      <c r="D811" s="3"/>
      <c r="E811" s="3"/>
      <c r="F811" s="3"/>
      <c r="G811" s="3"/>
      <c r="H811" s="3"/>
      <c r="I811" s="3"/>
      <c r="J811" s="3"/>
      <c r="K811" s="3"/>
      <c r="L811" s="3"/>
      <c r="M811" s="3"/>
      <c r="N811" s="3"/>
      <c r="O811" s="3"/>
      <c r="P811" s="3"/>
      <c r="Q811" s="3"/>
      <c r="R811" s="3"/>
      <c r="S811" s="3"/>
      <c r="T811" s="3"/>
      <c r="U811" s="3"/>
      <c r="V811" s="3"/>
      <c r="W811" s="3"/>
      <c r="X811" s="3"/>
      <c r="Y811" s="3"/>
    </row>
    <row r="812">
      <c r="A812" s="7"/>
      <c r="B812" s="6"/>
      <c r="C812" s="6"/>
      <c r="D812" s="3"/>
      <c r="E812" s="3"/>
      <c r="F812" s="3"/>
      <c r="G812" s="3"/>
      <c r="H812" s="3"/>
      <c r="I812" s="3"/>
      <c r="J812" s="3"/>
      <c r="K812" s="3"/>
      <c r="L812" s="3"/>
      <c r="M812" s="3"/>
      <c r="N812" s="3"/>
      <c r="O812" s="3"/>
      <c r="P812" s="3"/>
      <c r="Q812" s="3"/>
      <c r="R812" s="3"/>
      <c r="S812" s="3"/>
      <c r="T812" s="3"/>
      <c r="U812" s="3"/>
      <c r="V812" s="3"/>
      <c r="W812" s="3"/>
      <c r="X812" s="3"/>
      <c r="Y812" s="3"/>
    </row>
    <row r="813">
      <c r="A813" s="7"/>
      <c r="B813" s="6"/>
      <c r="C813" s="6"/>
      <c r="D813" s="3"/>
      <c r="E813" s="3"/>
      <c r="F813" s="3"/>
      <c r="G813" s="3"/>
      <c r="H813" s="3"/>
      <c r="I813" s="3"/>
      <c r="J813" s="3"/>
      <c r="K813" s="3"/>
      <c r="L813" s="3"/>
      <c r="M813" s="3"/>
      <c r="N813" s="3"/>
      <c r="O813" s="3"/>
      <c r="P813" s="3"/>
      <c r="Q813" s="3"/>
      <c r="R813" s="3"/>
      <c r="S813" s="3"/>
      <c r="T813" s="3"/>
      <c r="U813" s="3"/>
      <c r="V813" s="3"/>
      <c r="W813" s="3"/>
      <c r="X813" s="3"/>
      <c r="Y813" s="3"/>
    </row>
    <row r="814">
      <c r="A814" s="7"/>
      <c r="B814" s="6"/>
      <c r="C814" s="6"/>
      <c r="D814" s="3"/>
      <c r="E814" s="3"/>
      <c r="F814" s="3"/>
      <c r="G814" s="3"/>
      <c r="H814" s="3"/>
      <c r="I814" s="3"/>
      <c r="J814" s="3"/>
      <c r="K814" s="3"/>
      <c r="L814" s="3"/>
      <c r="M814" s="3"/>
      <c r="N814" s="3"/>
      <c r="O814" s="3"/>
      <c r="P814" s="3"/>
      <c r="Q814" s="3"/>
      <c r="R814" s="3"/>
      <c r="S814" s="3"/>
      <c r="T814" s="3"/>
      <c r="U814" s="3"/>
      <c r="V814" s="3"/>
      <c r="W814" s="3"/>
      <c r="X814" s="3"/>
      <c r="Y814" s="3"/>
    </row>
    <row r="815">
      <c r="A815" s="7"/>
      <c r="B815" s="6"/>
      <c r="C815" s="6"/>
      <c r="D815" s="3"/>
      <c r="E815" s="3"/>
      <c r="F815" s="3"/>
      <c r="G815" s="3"/>
      <c r="H815" s="3"/>
      <c r="I815" s="3"/>
      <c r="J815" s="3"/>
      <c r="K815" s="3"/>
      <c r="L815" s="3"/>
      <c r="M815" s="3"/>
      <c r="N815" s="3"/>
      <c r="O815" s="3"/>
      <c r="P815" s="3"/>
      <c r="Q815" s="3"/>
      <c r="R815" s="3"/>
      <c r="S815" s="3"/>
      <c r="T815" s="3"/>
      <c r="U815" s="3"/>
      <c r="V815" s="3"/>
      <c r="W815" s="3"/>
      <c r="X815" s="3"/>
      <c r="Y815" s="3"/>
    </row>
    <row r="816">
      <c r="A816" s="7"/>
      <c r="B816" s="6"/>
      <c r="C816" s="6"/>
      <c r="D816" s="3"/>
      <c r="E816" s="3"/>
      <c r="F816" s="3"/>
      <c r="G816" s="3"/>
      <c r="H816" s="3"/>
      <c r="I816" s="3"/>
      <c r="J816" s="3"/>
      <c r="K816" s="3"/>
      <c r="L816" s="3"/>
      <c r="M816" s="3"/>
      <c r="N816" s="3"/>
      <c r="O816" s="3"/>
      <c r="P816" s="3"/>
      <c r="Q816" s="3"/>
      <c r="R816" s="3"/>
      <c r="S816" s="3"/>
      <c r="T816" s="3"/>
      <c r="U816" s="3"/>
      <c r="V816" s="3"/>
      <c r="W816" s="3"/>
      <c r="X816" s="3"/>
      <c r="Y816" s="3"/>
    </row>
    <row r="817">
      <c r="A817" s="7"/>
      <c r="B817" s="6"/>
      <c r="C817" s="6"/>
      <c r="D817" s="3"/>
      <c r="E817" s="3"/>
      <c r="F817" s="3"/>
      <c r="G817" s="3"/>
      <c r="H817" s="3"/>
      <c r="I817" s="3"/>
      <c r="J817" s="3"/>
      <c r="K817" s="3"/>
      <c r="L817" s="3"/>
      <c r="M817" s="3"/>
      <c r="N817" s="3"/>
      <c r="O817" s="3"/>
      <c r="P817" s="3"/>
      <c r="Q817" s="3"/>
      <c r="R817" s="3"/>
      <c r="S817" s="3"/>
      <c r="T817" s="3"/>
      <c r="U817" s="3"/>
      <c r="V817" s="3"/>
      <c r="W817" s="3"/>
      <c r="X817" s="3"/>
      <c r="Y817" s="3"/>
    </row>
    <row r="818">
      <c r="A818" s="7"/>
      <c r="B818" s="6"/>
      <c r="C818" s="6"/>
      <c r="D818" s="3"/>
      <c r="E818" s="3"/>
      <c r="F818" s="3"/>
      <c r="G818" s="3"/>
      <c r="H818" s="3"/>
      <c r="I818" s="3"/>
      <c r="J818" s="3"/>
      <c r="K818" s="3"/>
      <c r="L818" s="3"/>
      <c r="M818" s="3"/>
      <c r="N818" s="3"/>
      <c r="O818" s="3"/>
      <c r="P818" s="3"/>
      <c r="Q818" s="3"/>
      <c r="R818" s="3"/>
      <c r="S818" s="3"/>
      <c r="T818" s="3"/>
      <c r="U818" s="3"/>
      <c r="V818" s="3"/>
      <c r="W818" s="3"/>
      <c r="X818" s="3"/>
      <c r="Y818" s="3"/>
    </row>
    <row r="819">
      <c r="A819" s="7"/>
      <c r="B819" s="6"/>
      <c r="C819" s="6"/>
      <c r="D819" s="3"/>
      <c r="E819" s="3"/>
      <c r="F819" s="3"/>
      <c r="G819" s="3"/>
      <c r="H819" s="3"/>
      <c r="I819" s="3"/>
      <c r="J819" s="3"/>
      <c r="K819" s="3"/>
      <c r="L819" s="3"/>
      <c r="M819" s="3"/>
      <c r="N819" s="3"/>
      <c r="O819" s="3"/>
      <c r="P819" s="3"/>
      <c r="Q819" s="3"/>
      <c r="R819" s="3"/>
      <c r="S819" s="3"/>
      <c r="T819" s="3"/>
      <c r="U819" s="3"/>
      <c r="V819" s="3"/>
      <c r="W819" s="3"/>
      <c r="X819" s="3"/>
      <c r="Y819" s="3"/>
    </row>
    <row r="820">
      <c r="A820" s="7"/>
      <c r="B820" s="6"/>
      <c r="C820" s="6"/>
      <c r="D820" s="3"/>
      <c r="E820" s="3"/>
      <c r="F820" s="3"/>
      <c r="G820" s="3"/>
      <c r="H820" s="3"/>
      <c r="I820" s="3"/>
      <c r="J820" s="3"/>
      <c r="K820" s="3"/>
      <c r="L820" s="3"/>
      <c r="M820" s="3"/>
      <c r="N820" s="3"/>
      <c r="O820" s="3"/>
      <c r="P820" s="3"/>
      <c r="Q820" s="3"/>
      <c r="R820" s="3"/>
      <c r="S820" s="3"/>
      <c r="T820" s="3"/>
      <c r="U820" s="3"/>
      <c r="V820" s="3"/>
      <c r="W820" s="3"/>
      <c r="X820" s="3"/>
      <c r="Y820" s="3"/>
    </row>
    <row r="821">
      <c r="A821" s="7"/>
      <c r="B821" s="6"/>
      <c r="C821" s="6"/>
      <c r="D821" s="3"/>
      <c r="E821" s="3"/>
      <c r="F821" s="3"/>
      <c r="G821" s="3"/>
      <c r="H821" s="3"/>
      <c r="I821" s="3"/>
      <c r="J821" s="3"/>
      <c r="K821" s="3"/>
      <c r="L821" s="3"/>
      <c r="M821" s="3"/>
      <c r="N821" s="3"/>
      <c r="O821" s="3"/>
      <c r="P821" s="3"/>
      <c r="Q821" s="3"/>
      <c r="R821" s="3"/>
      <c r="S821" s="3"/>
      <c r="T821" s="3"/>
      <c r="U821" s="3"/>
      <c r="V821" s="3"/>
      <c r="W821" s="3"/>
      <c r="X821" s="3"/>
      <c r="Y821" s="3"/>
    </row>
    <row r="822">
      <c r="A822" s="7"/>
      <c r="B822" s="6"/>
      <c r="C822" s="6"/>
      <c r="D822" s="3"/>
      <c r="E822" s="3"/>
      <c r="F822" s="3"/>
      <c r="G822" s="3"/>
      <c r="H822" s="3"/>
      <c r="I822" s="3"/>
      <c r="J822" s="3"/>
      <c r="K822" s="3"/>
      <c r="L822" s="3"/>
      <c r="M822" s="3"/>
      <c r="N822" s="3"/>
      <c r="O822" s="3"/>
      <c r="P822" s="3"/>
      <c r="Q822" s="3"/>
      <c r="R822" s="3"/>
      <c r="S822" s="3"/>
      <c r="T822" s="3"/>
      <c r="U822" s="3"/>
      <c r="V822" s="3"/>
      <c r="W822" s="3"/>
      <c r="X822" s="3"/>
      <c r="Y822" s="3"/>
    </row>
    <row r="823">
      <c r="A823" s="7"/>
      <c r="B823" s="6"/>
      <c r="C823" s="6"/>
      <c r="D823" s="3"/>
      <c r="E823" s="3"/>
      <c r="F823" s="3"/>
      <c r="G823" s="3"/>
      <c r="H823" s="3"/>
      <c r="I823" s="3"/>
      <c r="J823" s="3"/>
      <c r="K823" s="3"/>
      <c r="L823" s="3"/>
      <c r="M823" s="3"/>
      <c r="N823" s="3"/>
      <c r="O823" s="3"/>
      <c r="P823" s="3"/>
      <c r="Q823" s="3"/>
      <c r="R823" s="3"/>
      <c r="S823" s="3"/>
      <c r="T823" s="3"/>
      <c r="U823" s="3"/>
      <c r="V823" s="3"/>
      <c r="W823" s="3"/>
      <c r="X823" s="3"/>
      <c r="Y823" s="3"/>
    </row>
    <row r="824">
      <c r="A824" s="7"/>
      <c r="B824" s="6"/>
      <c r="C824" s="6"/>
      <c r="D824" s="3"/>
      <c r="E824" s="3"/>
      <c r="F824" s="3"/>
      <c r="G824" s="3"/>
      <c r="H824" s="3"/>
      <c r="I824" s="3"/>
      <c r="J824" s="3"/>
      <c r="K824" s="3"/>
      <c r="L824" s="3"/>
      <c r="M824" s="3"/>
      <c r="N824" s="3"/>
      <c r="O824" s="3"/>
      <c r="P824" s="3"/>
      <c r="Q824" s="3"/>
      <c r="R824" s="3"/>
      <c r="S824" s="3"/>
      <c r="T824" s="3"/>
      <c r="U824" s="3"/>
      <c r="V824" s="3"/>
      <c r="W824" s="3"/>
      <c r="X824" s="3"/>
      <c r="Y824" s="3"/>
    </row>
    <row r="825">
      <c r="A825" s="7"/>
      <c r="B825" s="6"/>
      <c r="C825" s="6"/>
      <c r="D825" s="3"/>
      <c r="E825" s="3"/>
      <c r="F825" s="3"/>
      <c r="G825" s="3"/>
      <c r="H825" s="3"/>
      <c r="I825" s="3"/>
      <c r="J825" s="3"/>
      <c r="K825" s="3"/>
      <c r="L825" s="3"/>
      <c r="M825" s="3"/>
      <c r="N825" s="3"/>
      <c r="O825" s="3"/>
      <c r="P825" s="3"/>
      <c r="Q825" s="3"/>
      <c r="R825" s="3"/>
      <c r="S825" s="3"/>
      <c r="T825" s="3"/>
      <c r="U825" s="3"/>
      <c r="V825" s="3"/>
      <c r="W825" s="3"/>
      <c r="X825" s="3"/>
      <c r="Y825" s="3"/>
    </row>
    <row r="826">
      <c r="A826" s="7"/>
      <c r="B826" s="6"/>
      <c r="C826" s="6"/>
      <c r="D826" s="3"/>
      <c r="E826" s="3"/>
      <c r="F826" s="3"/>
      <c r="G826" s="3"/>
      <c r="H826" s="3"/>
      <c r="I826" s="3"/>
      <c r="J826" s="3"/>
      <c r="K826" s="3"/>
      <c r="L826" s="3"/>
      <c r="M826" s="3"/>
      <c r="N826" s="3"/>
      <c r="O826" s="3"/>
      <c r="P826" s="3"/>
      <c r="Q826" s="3"/>
      <c r="R826" s="3"/>
      <c r="S826" s="3"/>
      <c r="T826" s="3"/>
      <c r="U826" s="3"/>
      <c r="V826" s="3"/>
      <c r="W826" s="3"/>
      <c r="X826" s="3"/>
      <c r="Y826" s="3"/>
    </row>
    <row r="827">
      <c r="A827" s="7"/>
      <c r="B827" s="6"/>
      <c r="C827" s="6"/>
      <c r="D827" s="3"/>
      <c r="E827" s="3"/>
      <c r="F827" s="3"/>
      <c r="G827" s="3"/>
      <c r="H827" s="3"/>
      <c r="I827" s="3"/>
      <c r="J827" s="3"/>
      <c r="K827" s="3"/>
      <c r="L827" s="3"/>
      <c r="M827" s="3"/>
      <c r="N827" s="3"/>
      <c r="O827" s="3"/>
      <c r="P827" s="3"/>
      <c r="Q827" s="3"/>
      <c r="R827" s="3"/>
      <c r="S827" s="3"/>
      <c r="T827" s="3"/>
      <c r="U827" s="3"/>
      <c r="V827" s="3"/>
      <c r="W827" s="3"/>
      <c r="X827" s="3"/>
      <c r="Y827" s="3"/>
    </row>
    <row r="828">
      <c r="A828" s="7"/>
      <c r="B828" s="6"/>
      <c r="C828" s="6"/>
      <c r="D828" s="3"/>
      <c r="E828" s="3"/>
      <c r="F828" s="3"/>
      <c r="G828" s="3"/>
      <c r="H828" s="3"/>
      <c r="I828" s="3"/>
      <c r="J828" s="3"/>
      <c r="K828" s="3"/>
      <c r="L828" s="3"/>
      <c r="M828" s="3"/>
      <c r="N828" s="3"/>
      <c r="O828" s="3"/>
      <c r="P828" s="3"/>
      <c r="Q828" s="3"/>
      <c r="R828" s="3"/>
      <c r="S828" s="3"/>
      <c r="T828" s="3"/>
      <c r="U828" s="3"/>
      <c r="V828" s="3"/>
      <c r="W828" s="3"/>
      <c r="X828" s="3"/>
      <c r="Y828" s="3"/>
    </row>
    <row r="829">
      <c r="A829" s="7"/>
      <c r="B829" s="6"/>
      <c r="C829" s="6"/>
      <c r="D829" s="3"/>
      <c r="E829" s="3"/>
      <c r="F829" s="3"/>
      <c r="G829" s="3"/>
      <c r="H829" s="3"/>
      <c r="I829" s="3"/>
      <c r="J829" s="3"/>
      <c r="K829" s="3"/>
      <c r="L829" s="3"/>
      <c r="M829" s="3"/>
      <c r="N829" s="3"/>
      <c r="O829" s="3"/>
      <c r="P829" s="3"/>
      <c r="Q829" s="3"/>
      <c r="R829" s="3"/>
      <c r="S829" s="3"/>
      <c r="T829" s="3"/>
      <c r="U829" s="3"/>
      <c r="V829" s="3"/>
      <c r="W829" s="3"/>
      <c r="X829" s="3"/>
      <c r="Y829" s="3"/>
    </row>
    <row r="830">
      <c r="A830" s="7"/>
      <c r="B830" s="6"/>
      <c r="C830" s="6"/>
      <c r="D830" s="3"/>
      <c r="E830" s="3"/>
      <c r="F830" s="3"/>
      <c r="G830" s="3"/>
      <c r="H830" s="3"/>
      <c r="I830" s="3"/>
      <c r="J830" s="3"/>
      <c r="K830" s="3"/>
      <c r="L830" s="3"/>
      <c r="M830" s="3"/>
      <c r="N830" s="3"/>
      <c r="O830" s="3"/>
      <c r="P830" s="3"/>
      <c r="Q830" s="3"/>
      <c r="R830" s="3"/>
      <c r="S830" s="3"/>
      <c r="T830" s="3"/>
      <c r="U830" s="3"/>
      <c r="V830" s="3"/>
      <c r="W830" s="3"/>
      <c r="X830" s="3"/>
      <c r="Y830" s="3"/>
    </row>
    <row r="831">
      <c r="A831" s="7"/>
      <c r="B831" s="6"/>
      <c r="C831" s="6"/>
      <c r="D831" s="3"/>
      <c r="E831" s="3"/>
      <c r="F831" s="3"/>
      <c r="G831" s="3"/>
      <c r="H831" s="3"/>
      <c r="I831" s="3"/>
      <c r="J831" s="3"/>
      <c r="K831" s="3"/>
      <c r="L831" s="3"/>
      <c r="M831" s="3"/>
      <c r="N831" s="3"/>
      <c r="O831" s="3"/>
      <c r="P831" s="3"/>
      <c r="Q831" s="3"/>
      <c r="R831" s="3"/>
      <c r="S831" s="3"/>
      <c r="T831" s="3"/>
      <c r="U831" s="3"/>
      <c r="V831" s="3"/>
      <c r="W831" s="3"/>
      <c r="X831" s="3"/>
      <c r="Y831" s="3"/>
    </row>
    <row r="832">
      <c r="A832" s="7"/>
      <c r="B832" s="6"/>
      <c r="C832" s="6"/>
      <c r="D832" s="3"/>
      <c r="E832" s="3"/>
      <c r="F832" s="3"/>
      <c r="G832" s="3"/>
      <c r="H832" s="3"/>
      <c r="I832" s="3"/>
      <c r="J832" s="3"/>
      <c r="K832" s="3"/>
      <c r="L832" s="3"/>
      <c r="M832" s="3"/>
      <c r="N832" s="3"/>
      <c r="O832" s="3"/>
      <c r="P832" s="3"/>
      <c r="Q832" s="3"/>
      <c r="R832" s="3"/>
      <c r="S832" s="3"/>
      <c r="T832" s="3"/>
      <c r="U832" s="3"/>
      <c r="V832" s="3"/>
      <c r="W832" s="3"/>
      <c r="X832" s="3"/>
      <c r="Y832" s="3"/>
    </row>
    <row r="833">
      <c r="A833" s="7"/>
      <c r="B833" s="6"/>
      <c r="C833" s="6"/>
      <c r="D833" s="3"/>
      <c r="E833" s="3"/>
      <c r="F833" s="3"/>
      <c r="G833" s="3"/>
      <c r="H833" s="3"/>
      <c r="I833" s="3"/>
      <c r="J833" s="3"/>
      <c r="K833" s="3"/>
      <c r="L833" s="3"/>
      <c r="M833" s="3"/>
      <c r="N833" s="3"/>
      <c r="O833" s="3"/>
      <c r="P833" s="3"/>
      <c r="Q833" s="3"/>
      <c r="R833" s="3"/>
      <c r="S833" s="3"/>
      <c r="T833" s="3"/>
      <c r="U833" s="3"/>
      <c r="V833" s="3"/>
      <c r="W833" s="3"/>
      <c r="X833" s="3"/>
      <c r="Y833" s="3"/>
    </row>
    <row r="834">
      <c r="A834" s="7"/>
      <c r="B834" s="6"/>
      <c r="C834" s="6"/>
      <c r="D834" s="3"/>
      <c r="E834" s="3"/>
      <c r="F834" s="3"/>
      <c r="G834" s="3"/>
      <c r="H834" s="3"/>
      <c r="I834" s="3"/>
      <c r="J834" s="3"/>
      <c r="K834" s="3"/>
      <c r="L834" s="3"/>
      <c r="M834" s="3"/>
      <c r="N834" s="3"/>
      <c r="O834" s="3"/>
      <c r="P834" s="3"/>
      <c r="Q834" s="3"/>
      <c r="R834" s="3"/>
      <c r="S834" s="3"/>
      <c r="T834" s="3"/>
      <c r="U834" s="3"/>
      <c r="V834" s="3"/>
      <c r="W834" s="3"/>
      <c r="X834" s="3"/>
      <c r="Y834" s="3"/>
    </row>
    <row r="835">
      <c r="A835" s="7"/>
      <c r="B835" s="6"/>
      <c r="C835" s="6"/>
      <c r="D835" s="3"/>
      <c r="E835" s="3"/>
      <c r="F835" s="3"/>
      <c r="G835" s="3"/>
      <c r="H835" s="3"/>
      <c r="I835" s="3"/>
      <c r="J835" s="3"/>
      <c r="K835" s="3"/>
      <c r="L835" s="3"/>
      <c r="M835" s="3"/>
      <c r="N835" s="3"/>
      <c r="O835" s="3"/>
      <c r="P835" s="3"/>
      <c r="Q835" s="3"/>
      <c r="R835" s="3"/>
      <c r="S835" s="3"/>
      <c r="T835" s="3"/>
      <c r="U835" s="3"/>
      <c r="V835" s="3"/>
      <c r="W835" s="3"/>
      <c r="X835" s="3"/>
      <c r="Y835" s="3"/>
    </row>
    <row r="836">
      <c r="A836" s="7"/>
      <c r="B836" s="6"/>
      <c r="C836" s="6"/>
      <c r="D836" s="3"/>
      <c r="E836" s="3"/>
      <c r="F836" s="3"/>
      <c r="G836" s="3"/>
      <c r="H836" s="3"/>
      <c r="I836" s="3"/>
      <c r="J836" s="3"/>
      <c r="K836" s="3"/>
      <c r="L836" s="3"/>
      <c r="M836" s="3"/>
      <c r="N836" s="3"/>
      <c r="O836" s="3"/>
      <c r="P836" s="3"/>
      <c r="Q836" s="3"/>
      <c r="R836" s="3"/>
      <c r="S836" s="3"/>
      <c r="T836" s="3"/>
      <c r="U836" s="3"/>
      <c r="V836" s="3"/>
      <c r="W836" s="3"/>
      <c r="X836" s="3"/>
      <c r="Y836" s="3"/>
    </row>
    <row r="837">
      <c r="A837" s="7"/>
      <c r="B837" s="6"/>
      <c r="C837" s="6"/>
      <c r="D837" s="3"/>
      <c r="E837" s="3"/>
      <c r="F837" s="3"/>
      <c r="G837" s="3"/>
      <c r="H837" s="3"/>
      <c r="I837" s="3"/>
      <c r="J837" s="3"/>
      <c r="K837" s="3"/>
      <c r="L837" s="3"/>
      <c r="M837" s="3"/>
      <c r="N837" s="3"/>
      <c r="O837" s="3"/>
      <c r="P837" s="3"/>
      <c r="Q837" s="3"/>
      <c r="R837" s="3"/>
      <c r="S837" s="3"/>
      <c r="T837" s="3"/>
      <c r="U837" s="3"/>
      <c r="V837" s="3"/>
      <c r="W837" s="3"/>
      <c r="X837" s="3"/>
      <c r="Y837" s="3"/>
    </row>
    <row r="838">
      <c r="A838" s="7"/>
      <c r="B838" s="6"/>
      <c r="C838" s="6"/>
      <c r="D838" s="3"/>
      <c r="E838" s="3"/>
      <c r="F838" s="3"/>
      <c r="G838" s="3"/>
      <c r="H838" s="3"/>
      <c r="I838" s="3"/>
      <c r="J838" s="3"/>
      <c r="K838" s="3"/>
      <c r="L838" s="3"/>
      <c r="M838" s="3"/>
      <c r="N838" s="3"/>
      <c r="O838" s="3"/>
      <c r="P838" s="3"/>
      <c r="Q838" s="3"/>
      <c r="R838" s="3"/>
      <c r="S838" s="3"/>
      <c r="T838" s="3"/>
      <c r="U838" s="3"/>
      <c r="V838" s="3"/>
      <c r="W838" s="3"/>
      <c r="X838" s="3"/>
      <c r="Y838" s="3"/>
    </row>
    <row r="839">
      <c r="A839" s="7"/>
      <c r="B839" s="6"/>
      <c r="C839" s="6"/>
      <c r="D839" s="3"/>
      <c r="E839" s="3"/>
      <c r="F839" s="3"/>
      <c r="G839" s="3"/>
      <c r="H839" s="3"/>
      <c r="I839" s="3"/>
      <c r="J839" s="3"/>
      <c r="K839" s="3"/>
      <c r="L839" s="3"/>
      <c r="M839" s="3"/>
      <c r="N839" s="3"/>
      <c r="O839" s="3"/>
      <c r="P839" s="3"/>
      <c r="Q839" s="3"/>
      <c r="R839" s="3"/>
      <c r="S839" s="3"/>
      <c r="T839" s="3"/>
      <c r="U839" s="3"/>
      <c r="V839" s="3"/>
      <c r="W839" s="3"/>
      <c r="X839" s="3"/>
      <c r="Y839" s="3"/>
    </row>
    <row r="840">
      <c r="A840" s="7"/>
      <c r="B840" s="6"/>
      <c r="C840" s="6"/>
      <c r="D840" s="3"/>
      <c r="E840" s="3"/>
      <c r="F840" s="3"/>
      <c r="G840" s="3"/>
      <c r="H840" s="3"/>
      <c r="I840" s="3"/>
      <c r="J840" s="3"/>
      <c r="K840" s="3"/>
      <c r="L840" s="3"/>
      <c r="M840" s="3"/>
      <c r="N840" s="3"/>
      <c r="O840" s="3"/>
      <c r="P840" s="3"/>
      <c r="Q840" s="3"/>
      <c r="R840" s="3"/>
      <c r="S840" s="3"/>
      <c r="T840" s="3"/>
      <c r="U840" s="3"/>
      <c r="V840" s="3"/>
      <c r="W840" s="3"/>
      <c r="X840" s="3"/>
      <c r="Y840" s="3"/>
    </row>
    <row r="841">
      <c r="A841" s="7"/>
      <c r="B841" s="6"/>
      <c r="C841" s="6"/>
      <c r="D841" s="3"/>
      <c r="E841" s="3"/>
      <c r="F841" s="3"/>
      <c r="G841" s="3"/>
      <c r="H841" s="3"/>
      <c r="I841" s="3"/>
      <c r="J841" s="3"/>
      <c r="K841" s="3"/>
      <c r="L841" s="3"/>
      <c r="M841" s="3"/>
      <c r="N841" s="3"/>
      <c r="O841" s="3"/>
      <c r="P841" s="3"/>
      <c r="Q841" s="3"/>
      <c r="R841" s="3"/>
      <c r="S841" s="3"/>
      <c r="T841" s="3"/>
      <c r="U841" s="3"/>
      <c r="V841" s="3"/>
      <c r="W841" s="3"/>
      <c r="X841" s="3"/>
      <c r="Y841" s="3"/>
    </row>
    <row r="842">
      <c r="A842" s="7"/>
      <c r="B842" s="6"/>
      <c r="C842" s="6"/>
      <c r="D842" s="3"/>
      <c r="E842" s="3"/>
      <c r="F842" s="3"/>
      <c r="G842" s="3"/>
      <c r="H842" s="3"/>
      <c r="I842" s="3"/>
      <c r="J842" s="3"/>
      <c r="K842" s="3"/>
      <c r="L842" s="3"/>
      <c r="M842" s="3"/>
      <c r="N842" s="3"/>
      <c r="O842" s="3"/>
      <c r="P842" s="3"/>
      <c r="Q842" s="3"/>
      <c r="R842" s="3"/>
      <c r="S842" s="3"/>
      <c r="T842" s="3"/>
      <c r="U842" s="3"/>
      <c r="V842" s="3"/>
      <c r="W842" s="3"/>
      <c r="X842" s="3"/>
      <c r="Y842" s="3"/>
    </row>
    <row r="843">
      <c r="A843" s="7"/>
      <c r="B843" s="6"/>
      <c r="C843" s="6"/>
      <c r="D843" s="3"/>
      <c r="E843" s="3"/>
      <c r="F843" s="3"/>
      <c r="G843" s="3"/>
      <c r="H843" s="3"/>
      <c r="I843" s="3"/>
      <c r="J843" s="3"/>
      <c r="K843" s="3"/>
      <c r="L843" s="3"/>
      <c r="M843" s="3"/>
      <c r="N843" s="3"/>
      <c r="O843" s="3"/>
      <c r="P843" s="3"/>
      <c r="Q843" s="3"/>
      <c r="R843" s="3"/>
      <c r="S843" s="3"/>
      <c r="T843" s="3"/>
      <c r="U843" s="3"/>
      <c r="V843" s="3"/>
      <c r="W843" s="3"/>
      <c r="X843" s="3"/>
      <c r="Y843" s="3"/>
    </row>
    <row r="844">
      <c r="A844" s="7"/>
      <c r="B844" s="6"/>
      <c r="C844" s="6"/>
      <c r="D844" s="3"/>
      <c r="E844" s="3"/>
      <c r="F844" s="3"/>
      <c r="G844" s="3"/>
      <c r="H844" s="3"/>
      <c r="I844" s="3"/>
      <c r="J844" s="3"/>
      <c r="K844" s="3"/>
      <c r="L844" s="3"/>
      <c r="M844" s="3"/>
      <c r="N844" s="3"/>
      <c r="O844" s="3"/>
      <c r="P844" s="3"/>
      <c r="Q844" s="3"/>
      <c r="R844" s="3"/>
      <c r="S844" s="3"/>
      <c r="T844" s="3"/>
      <c r="U844" s="3"/>
      <c r="V844" s="3"/>
      <c r="W844" s="3"/>
      <c r="X844" s="3"/>
      <c r="Y844" s="3"/>
    </row>
    <row r="845">
      <c r="A845" s="7"/>
      <c r="B845" s="6"/>
      <c r="C845" s="6"/>
      <c r="D845" s="3"/>
      <c r="E845" s="3"/>
      <c r="F845" s="3"/>
      <c r="G845" s="3"/>
      <c r="H845" s="3"/>
      <c r="I845" s="3"/>
      <c r="J845" s="3"/>
      <c r="K845" s="3"/>
      <c r="L845" s="3"/>
      <c r="M845" s="3"/>
      <c r="N845" s="3"/>
      <c r="O845" s="3"/>
      <c r="P845" s="3"/>
      <c r="Q845" s="3"/>
      <c r="R845" s="3"/>
      <c r="S845" s="3"/>
      <c r="T845" s="3"/>
      <c r="U845" s="3"/>
      <c r="V845" s="3"/>
      <c r="W845" s="3"/>
      <c r="X845" s="3"/>
      <c r="Y845" s="3"/>
    </row>
    <row r="846">
      <c r="A846" s="7"/>
      <c r="B846" s="6"/>
      <c r="C846" s="6"/>
      <c r="D846" s="3"/>
      <c r="E846" s="3"/>
      <c r="F846" s="3"/>
      <c r="G846" s="3"/>
      <c r="H846" s="3"/>
      <c r="I846" s="3"/>
      <c r="J846" s="3"/>
      <c r="K846" s="3"/>
      <c r="L846" s="3"/>
      <c r="M846" s="3"/>
      <c r="N846" s="3"/>
      <c r="O846" s="3"/>
      <c r="P846" s="3"/>
      <c r="Q846" s="3"/>
      <c r="R846" s="3"/>
      <c r="S846" s="3"/>
      <c r="T846" s="3"/>
      <c r="U846" s="3"/>
      <c r="V846" s="3"/>
      <c r="W846" s="3"/>
      <c r="X846" s="3"/>
      <c r="Y846" s="3"/>
    </row>
    <row r="847">
      <c r="A847" s="7"/>
      <c r="B847" s="6"/>
      <c r="C847" s="6"/>
      <c r="D847" s="3"/>
      <c r="E847" s="3"/>
      <c r="F847" s="3"/>
      <c r="G847" s="3"/>
      <c r="H847" s="3"/>
      <c r="I847" s="3"/>
      <c r="J847" s="3"/>
      <c r="K847" s="3"/>
      <c r="L847" s="3"/>
      <c r="M847" s="3"/>
      <c r="N847" s="3"/>
      <c r="O847" s="3"/>
      <c r="P847" s="3"/>
      <c r="Q847" s="3"/>
      <c r="R847" s="3"/>
      <c r="S847" s="3"/>
      <c r="T847" s="3"/>
      <c r="U847" s="3"/>
      <c r="V847" s="3"/>
      <c r="W847" s="3"/>
      <c r="X847" s="3"/>
      <c r="Y847" s="3"/>
    </row>
    <row r="848">
      <c r="A848" s="7"/>
      <c r="B848" s="6"/>
      <c r="C848" s="6"/>
      <c r="D848" s="3"/>
      <c r="E848" s="3"/>
      <c r="F848" s="3"/>
      <c r="G848" s="3"/>
      <c r="H848" s="3"/>
      <c r="I848" s="3"/>
      <c r="J848" s="3"/>
      <c r="K848" s="3"/>
      <c r="L848" s="3"/>
      <c r="M848" s="3"/>
      <c r="N848" s="3"/>
      <c r="O848" s="3"/>
      <c r="P848" s="3"/>
      <c r="Q848" s="3"/>
      <c r="R848" s="3"/>
      <c r="S848" s="3"/>
      <c r="T848" s="3"/>
      <c r="U848" s="3"/>
      <c r="V848" s="3"/>
      <c r="W848" s="3"/>
      <c r="X848" s="3"/>
      <c r="Y848" s="3"/>
    </row>
    <row r="849">
      <c r="A849" s="7"/>
      <c r="B849" s="6"/>
      <c r="C849" s="6"/>
      <c r="D849" s="3"/>
      <c r="E849" s="3"/>
      <c r="F849" s="3"/>
      <c r="G849" s="3"/>
      <c r="H849" s="3"/>
      <c r="I849" s="3"/>
      <c r="J849" s="3"/>
      <c r="K849" s="3"/>
      <c r="L849" s="3"/>
      <c r="M849" s="3"/>
      <c r="N849" s="3"/>
      <c r="O849" s="3"/>
      <c r="P849" s="3"/>
      <c r="Q849" s="3"/>
      <c r="R849" s="3"/>
      <c r="S849" s="3"/>
      <c r="T849" s="3"/>
      <c r="U849" s="3"/>
      <c r="V849" s="3"/>
      <c r="W849" s="3"/>
      <c r="X849" s="3"/>
      <c r="Y849" s="3"/>
    </row>
    <row r="850">
      <c r="A850" s="7"/>
      <c r="B850" s="6"/>
      <c r="C850" s="6"/>
      <c r="D850" s="3"/>
      <c r="E850" s="3"/>
      <c r="F850" s="3"/>
      <c r="G850" s="3"/>
      <c r="H850" s="3"/>
      <c r="I850" s="3"/>
      <c r="J850" s="3"/>
      <c r="K850" s="3"/>
      <c r="L850" s="3"/>
      <c r="M850" s="3"/>
      <c r="N850" s="3"/>
      <c r="O850" s="3"/>
      <c r="P850" s="3"/>
      <c r="Q850" s="3"/>
      <c r="R850" s="3"/>
      <c r="S850" s="3"/>
      <c r="T850" s="3"/>
      <c r="U850" s="3"/>
      <c r="V850" s="3"/>
      <c r="W850" s="3"/>
      <c r="X850" s="3"/>
      <c r="Y850" s="3"/>
    </row>
    <row r="851">
      <c r="A851" s="7"/>
      <c r="B851" s="6"/>
      <c r="C851" s="6"/>
      <c r="D851" s="3"/>
      <c r="E851" s="3"/>
      <c r="F851" s="3"/>
      <c r="G851" s="3"/>
      <c r="H851" s="3"/>
      <c r="I851" s="3"/>
      <c r="J851" s="3"/>
      <c r="K851" s="3"/>
      <c r="L851" s="3"/>
      <c r="M851" s="3"/>
      <c r="N851" s="3"/>
      <c r="O851" s="3"/>
      <c r="P851" s="3"/>
      <c r="Q851" s="3"/>
      <c r="R851" s="3"/>
      <c r="S851" s="3"/>
      <c r="T851" s="3"/>
      <c r="U851" s="3"/>
      <c r="V851" s="3"/>
      <c r="W851" s="3"/>
      <c r="X851" s="3"/>
      <c r="Y851" s="3"/>
    </row>
    <row r="852">
      <c r="A852" s="7"/>
      <c r="B852" s="6"/>
      <c r="C852" s="6"/>
      <c r="D852" s="3"/>
      <c r="E852" s="3"/>
      <c r="F852" s="3"/>
      <c r="G852" s="3"/>
      <c r="H852" s="3"/>
      <c r="I852" s="3"/>
      <c r="J852" s="3"/>
      <c r="K852" s="3"/>
      <c r="L852" s="3"/>
      <c r="M852" s="3"/>
      <c r="N852" s="3"/>
      <c r="O852" s="3"/>
      <c r="P852" s="3"/>
      <c r="Q852" s="3"/>
      <c r="R852" s="3"/>
      <c r="S852" s="3"/>
      <c r="T852" s="3"/>
      <c r="U852" s="3"/>
      <c r="V852" s="3"/>
      <c r="W852" s="3"/>
      <c r="X852" s="3"/>
      <c r="Y852" s="3"/>
    </row>
    <row r="853">
      <c r="A853" s="7"/>
      <c r="B853" s="6"/>
      <c r="C853" s="6"/>
      <c r="D853" s="3"/>
      <c r="E853" s="3"/>
      <c r="F853" s="3"/>
      <c r="G853" s="3"/>
      <c r="H853" s="3"/>
      <c r="I853" s="3"/>
      <c r="J853" s="3"/>
      <c r="K853" s="3"/>
      <c r="L853" s="3"/>
      <c r="M853" s="3"/>
      <c r="N853" s="3"/>
      <c r="O853" s="3"/>
      <c r="P853" s="3"/>
      <c r="Q853" s="3"/>
      <c r="R853" s="3"/>
      <c r="S853" s="3"/>
      <c r="T853" s="3"/>
      <c r="U853" s="3"/>
      <c r="V853" s="3"/>
      <c r="W853" s="3"/>
      <c r="X853" s="3"/>
      <c r="Y853" s="3"/>
    </row>
    <row r="854">
      <c r="A854" s="7"/>
      <c r="B854" s="6"/>
      <c r="C854" s="6"/>
      <c r="D854" s="3"/>
      <c r="E854" s="3"/>
      <c r="F854" s="3"/>
      <c r="G854" s="3"/>
      <c r="H854" s="3"/>
      <c r="I854" s="3"/>
      <c r="J854" s="3"/>
      <c r="K854" s="3"/>
      <c r="L854" s="3"/>
      <c r="M854" s="3"/>
      <c r="N854" s="3"/>
      <c r="O854" s="3"/>
      <c r="P854" s="3"/>
      <c r="Q854" s="3"/>
      <c r="R854" s="3"/>
      <c r="S854" s="3"/>
      <c r="T854" s="3"/>
      <c r="U854" s="3"/>
      <c r="V854" s="3"/>
      <c r="W854" s="3"/>
      <c r="X854" s="3"/>
      <c r="Y854" s="3"/>
    </row>
    <row r="855">
      <c r="A855" s="7"/>
      <c r="B855" s="6"/>
      <c r="C855" s="6"/>
      <c r="D855" s="3"/>
      <c r="E855" s="3"/>
      <c r="F855" s="3"/>
      <c r="G855" s="3"/>
      <c r="H855" s="3"/>
      <c r="I855" s="3"/>
      <c r="J855" s="3"/>
      <c r="K855" s="3"/>
      <c r="L855" s="3"/>
      <c r="M855" s="3"/>
      <c r="N855" s="3"/>
      <c r="O855" s="3"/>
      <c r="P855" s="3"/>
      <c r="Q855" s="3"/>
      <c r="R855" s="3"/>
      <c r="S855" s="3"/>
      <c r="T855" s="3"/>
      <c r="U855" s="3"/>
      <c r="V855" s="3"/>
      <c r="W855" s="3"/>
      <c r="X855" s="3"/>
      <c r="Y855" s="3"/>
    </row>
    <row r="856">
      <c r="A856" s="7"/>
      <c r="B856" s="6"/>
      <c r="C856" s="6"/>
      <c r="D856" s="3"/>
      <c r="E856" s="3"/>
      <c r="F856" s="3"/>
      <c r="G856" s="3"/>
      <c r="H856" s="3"/>
      <c r="I856" s="3"/>
      <c r="J856" s="3"/>
      <c r="K856" s="3"/>
      <c r="L856" s="3"/>
      <c r="M856" s="3"/>
      <c r="N856" s="3"/>
      <c r="O856" s="3"/>
      <c r="P856" s="3"/>
      <c r="Q856" s="3"/>
      <c r="R856" s="3"/>
      <c r="S856" s="3"/>
      <c r="T856" s="3"/>
      <c r="U856" s="3"/>
      <c r="V856" s="3"/>
      <c r="W856" s="3"/>
      <c r="X856" s="3"/>
      <c r="Y856" s="3"/>
    </row>
    <row r="857">
      <c r="A857" s="7"/>
      <c r="B857" s="6"/>
      <c r="C857" s="6"/>
      <c r="D857" s="3"/>
      <c r="E857" s="3"/>
      <c r="F857" s="3"/>
      <c r="G857" s="3"/>
      <c r="H857" s="3"/>
      <c r="I857" s="3"/>
      <c r="J857" s="3"/>
      <c r="K857" s="3"/>
      <c r="L857" s="3"/>
      <c r="M857" s="3"/>
      <c r="N857" s="3"/>
      <c r="O857" s="3"/>
      <c r="P857" s="3"/>
      <c r="Q857" s="3"/>
      <c r="R857" s="3"/>
      <c r="S857" s="3"/>
      <c r="T857" s="3"/>
      <c r="U857" s="3"/>
      <c r="V857" s="3"/>
      <c r="W857" s="3"/>
      <c r="X857" s="3"/>
      <c r="Y857" s="3"/>
    </row>
    <row r="858">
      <c r="A858" s="7"/>
      <c r="B858" s="6"/>
      <c r="C858" s="6"/>
      <c r="D858" s="3"/>
      <c r="E858" s="3"/>
      <c r="F858" s="3"/>
      <c r="G858" s="3"/>
      <c r="H858" s="3"/>
      <c r="I858" s="3"/>
      <c r="J858" s="3"/>
      <c r="K858" s="3"/>
      <c r="L858" s="3"/>
      <c r="M858" s="3"/>
      <c r="N858" s="3"/>
      <c r="O858" s="3"/>
      <c r="P858" s="3"/>
      <c r="Q858" s="3"/>
      <c r="R858" s="3"/>
      <c r="S858" s="3"/>
      <c r="T858" s="3"/>
      <c r="U858" s="3"/>
      <c r="V858" s="3"/>
      <c r="W858" s="3"/>
      <c r="X858" s="3"/>
      <c r="Y858" s="3"/>
    </row>
    <row r="859">
      <c r="A859" s="7"/>
      <c r="B859" s="6"/>
      <c r="C859" s="6"/>
      <c r="D859" s="3"/>
      <c r="E859" s="3"/>
      <c r="F859" s="3"/>
      <c r="G859" s="3"/>
      <c r="H859" s="3"/>
      <c r="I859" s="3"/>
      <c r="J859" s="3"/>
      <c r="K859" s="3"/>
      <c r="L859" s="3"/>
      <c r="M859" s="3"/>
      <c r="N859" s="3"/>
      <c r="O859" s="3"/>
      <c r="P859" s="3"/>
      <c r="Q859" s="3"/>
      <c r="R859" s="3"/>
      <c r="S859" s="3"/>
      <c r="T859" s="3"/>
      <c r="U859" s="3"/>
      <c r="V859" s="3"/>
      <c r="W859" s="3"/>
      <c r="X859" s="3"/>
      <c r="Y859" s="3"/>
    </row>
    <row r="860">
      <c r="A860" s="7"/>
      <c r="B860" s="6"/>
      <c r="C860" s="6"/>
      <c r="D860" s="3"/>
      <c r="E860" s="3"/>
      <c r="F860" s="3"/>
      <c r="G860" s="3"/>
      <c r="H860" s="3"/>
      <c r="I860" s="3"/>
      <c r="J860" s="3"/>
      <c r="K860" s="3"/>
      <c r="L860" s="3"/>
      <c r="M860" s="3"/>
      <c r="N860" s="3"/>
      <c r="O860" s="3"/>
      <c r="P860" s="3"/>
      <c r="Q860" s="3"/>
      <c r="R860" s="3"/>
      <c r="S860" s="3"/>
      <c r="T860" s="3"/>
      <c r="U860" s="3"/>
      <c r="V860" s="3"/>
      <c r="W860" s="3"/>
      <c r="X860" s="3"/>
      <c r="Y860" s="3"/>
    </row>
    <row r="861">
      <c r="A861" s="7"/>
      <c r="B861" s="6"/>
      <c r="C861" s="6"/>
      <c r="D861" s="3"/>
      <c r="E861" s="3"/>
      <c r="F861" s="3"/>
      <c r="G861" s="3"/>
      <c r="H861" s="3"/>
      <c r="I861" s="3"/>
      <c r="J861" s="3"/>
      <c r="K861" s="3"/>
      <c r="L861" s="3"/>
      <c r="M861" s="3"/>
      <c r="N861" s="3"/>
      <c r="O861" s="3"/>
      <c r="P861" s="3"/>
      <c r="Q861" s="3"/>
      <c r="R861" s="3"/>
      <c r="S861" s="3"/>
      <c r="T861" s="3"/>
      <c r="U861" s="3"/>
      <c r="V861" s="3"/>
      <c r="W861" s="3"/>
      <c r="X861" s="3"/>
      <c r="Y861" s="3"/>
    </row>
    <row r="862">
      <c r="A862" s="7"/>
      <c r="B862" s="6"/>
      <c r="C862" s="6"/>
      <c r="D862" s="3"/>
      <c r="E862" s="3"/>
      <c r="F862" s="3"/>
      <c r="G862" s="3"/>
      <c r="H862" s="3"/>
      <c r="I862" s="3"/>
      <c r="J862" s="3"/>
      <c r="K862" s="3"/>
      <c r="L862" s="3"/>
      <c r="M862" s="3"/>
      <c r="N862" s="3"/>
      <c r="O862" s="3"/>
      <c r="P862" s="3"/>
      <c r="Q862" s="3"/>
      <c r="R862" s="3"/>
      <c r="S862" s="3"/>
      <c r="T862" s="3"/>
      <c r="U862" s="3"/>
      <c r="V862" s="3"/>
      <c r="W862" s="3"/>
      <c r="X862" s="3"/>
      <c r="Y862" s="3"/>
    </row>
    <row r="863">
      <c r="A863" s="7"/>
      <c r="B863" s="6"/>
      <c r="C863" s="6"/>
      <c r="D863" s="3"/>
      <c r="E863" s="3"/>
      <c r="F863" s="3"/>
      <c r="G863" s="3"/>
      <c r="H863" s="3"/>
      <c r="I863" s="3"/>
      <c r="J863" s="3"/>
      <c r="K863" s="3"/>
      <c r="L863" s="3"/>
      <c r="M863" s="3"/>
      <c r="N863" s="3"/>
      <c r="O863" s="3"/>
      <c r="P863" s="3"/>
      <c r="Q863" s="3"/>
      <c r="R863" s="3"/>
      <c r="S863" s="3"/>
      <c r="T863" s="3"/>
      <c r="U863" s="3"/>
      <c r="V863" s="3"/>
      <c r="W863" s="3"/>
      <c r="X863" s="3"/>
      <c r="Y863" s="3"/>
    </row>
    <row r="864">
      <c r="A864" s="7"/>
      <c r="B864" s="6"/>
      <c r="C864" s="6"/>
      <c r="D864" s="3"/>
      <c r="E864" s="3"/>
      <c r="F864" s="3"/>
      <c r="G864" s="3"/>
      <c r="H864" s="3"/>
      <c r="I864" s="3"/>
      <c r="J864" s="3"/>
      <c r="K864" s="3"/>
      <c r="L864" s="3"/>
      <c r="M864" s="3"/>
      <c r="N864" s="3"/>
      <c r="O864" s="3"/>
      <c r="P864" s="3"/>
      <c r="Q864" s="3"/>
      <c r="R864" s="3"/>
      <c r="S864" s="3"/>
      <c r="T864" s="3"/>
      <c r="U864" s="3"/>
      <c r="V864" s="3"/>
      <c r="W864" s="3"/>
      <c r="X864" s="3"/>
      <c r="Y864" s="3"/>
    </row>
    <row r="865">
      <c r="A865" s="7"/>
      <c r="B865" s="6"/>
      <c r="C865" s="6"/>
      <c r="D865" s="3"/>
      <c r="E865" s="3"/>
      <c r="F865" s="3"/>
      <c r="G865" s="3"/>
      <c r="H865" s="3"/>
      <c r="I865" s="3"/>
      <c r="J865" s="3"/>
      <c r="K865" s="3"/>
      <c r="L865" s="3"/>
      <c r="M865" s="3"/>
      <c r="N865" s="3"/>
      <c r="O865" s="3"/>
      <c r="P865" s="3"/>
      <c r="Q865" s="3"/>
      <c r="R865" s="3"/>
      <c r="S865" s="3"/>
      <c r="T865" s="3"/>
      <c r="U865" s="3"/>
      <c r="V865" s="3"/>
      <c r="W865" s="3"/>
      <c r="X865" s="3"/>
      <c r="Y865" s="3"/>
    </row>
    <row r="866">
      <c r="A866" s="7"/>
      <c r="B866" s="6"/>
      <c r="C866" s="6"/>
      <c r="D866" s="3"/>
      <c r="E866" s="3"/>
      <c r="F866" s="3"/>
      <c r="G866" s="3"/>
      <c r="H866" s="3"/>
      <c r="I866" s="3"/>
      <c r="J866" s="3"/>
      <c r="K866" s="3"/>
      <c r="L866" s="3"/>
      <c r="M866" s="3"/>
      <c r="N866" s="3"/>
      <c r="O866" s="3"/>
      <c r="P866" s="3"/>
      <c r="Q866" s="3"/>
      <c r="R866" s="3"/>
      <c r="S866" s="3"/>
      <c r="T866" s="3"/>
      <c r="U866" s="3"/>
      <c r="V866" s="3"/>
      <c r="W866" s="3"/>
      <c r="X866" s="3"/>
      <c r="Y866" s="3"/>
    </row>
    <row r="867">
      <c r="A867" s="7"/>
      <c r="B867" s="6"/>
      <c r="C867" s="6"/>
      <c r="D867" s="3"/>
      <c r="E867" s="3"/>
      <c r="F867" s="3"/>
      <c r="G867" s="3"/>
      <c r="H867" s="3"/>
      <c r="I867" s="3"/>
      <c r="J867" s="3"/>
      <c r="K867" s="3"/>
      <c r="L867" s="3"/>
      <c r="M867" s="3"/>
      <c r="N867" s="3"/>
      <c r="O867" s="3"/>
      <c r="P867" s="3"/>
      <c r="Q867" s="3"/>
      <c r="R867" s="3"/>
      <c r="S867" s="3"/>
      <c r="T867" s="3"/>
      <c r="U867" s="3"/>
      <c r="V867" s="3"/>
      <c r="W867" s="3"/>
      <c r="X867" s="3"/>
      <c r="Y867" s="3"/>
    </row>
    <row r="868">
      <c r="A868" s="7"/>
      <c r="B868" s="6"/>
      <c r="C868" s="6"/>
      <c r="D868" s="3"/>
      <c r="E868" s="3"/>
      <c r="F868" s="3"/>
      <c r="G868" s="3"/>
      <c r="H868" s="3"/>
      <c r="I868" s="3"/>
      <c r="J868" s="3"/>
      <c r="K868" s="3"/>
      <c r="L868" s="3"/>
      <c r="M868" s="3"/>
      <c r="N868" s="3"/>
      <c r="O868" s="3"/>
      <c r="P868" s="3"/>
      <c r="Q868" s="3"/>
      <c r="R868" s="3"/>
      <c r="S868" s="3"/>
      <c r="T868" s="3"/>
      <c r="U868" s="3"/>
      <c r="V868" s="3"/>
      <c r="W868" s="3"/>
      <c r="X868" s="3"/>
      <c r="Y868" s="3"/>
    </row>
    <row r="869">
      <c r="A869" s="7"/>
      <c r="B869" s="6"/>
      <c r="C869" s="6"/>
      <c r="D869" s="3"/>
      <c r="E869" s="3"/>
      <c r="F869" s="3"/>
      <c r="G869" s="3"/>
      <c r="H869" s="3"/>
      <c r="I869" s="3"/>
      <c r="J869" s="3"/>
      <c r="K869" s="3"/>
      <c r="L869" s="3"/>
      <c r="M869" s="3"/>
      <c r="N869" s="3"/>
      <c r="O869" s="3"/>
      <c r="P869" s="3"/>
      <c r="Q869" s="3"/>
      <c r="R869" s="3"/>
      <c r="S869" s="3"/>
      <c r="T869" s="3"/>
      <c r="U869" s="3"/>
      <c r="V869" s="3"/>
      <c r="W869" s="3"/>
      <c r="X869" s="3"/>
      <c r="Y869" s="3"/>
    </row>
    <row r="870">
      <c r="A870" s="7"/>
      <c r="B870" s="6"/>
      <c r="C870" s="6"/>
      <c r="D870" s="3"/>
      <c r="E870" s="3"/>
      <c r="F870" s="3"/>
      <c r="G870" s="3"/>
      <c r="H870" s="3"/>
      <c r="I870" s="3"/>
      <c r="J870" s="3"/>
      <c r="K870" s="3"/>
      <c r="L870" s="3"/>
      <c r="M870" s="3"/>
      <c r="N870" s="3"/>
      <c r="O870" s="3"/>
      <c r="P870" s="3"/>
      <c r="Q870" s="3"/>
      <c r="R870" s="3"/>
      <c r="S870" s="3"/>
      <c r="T870" s="3"/>
      <c r="U870" s="3"/>
      <c r="V870" s="3"/>
      <c r="W870" s="3"/>
      <c r="X870" s="3"/>
      <c r="Y870" s="3"/>
    </row>
    <row r="871">
      <c r="A871" s="7"/>
      <c r="B871" s="6"/>
      <c r="C871" s="6"/>
      <c r="D871" s="3"/>
      <c r="E871" s="3"/>
      <c r="F871" s="3"/>
      <c r="G871" s="3"/>
      <c r="H871" s="3"/>
      <c r="I871" s="3"/>
      <c r="J871" s="3"/>
      <c r="K871" s="3"/>
      <c r="L871" s="3"/>
      <c r="M871" s="3"/>
      <c r="N871" s="3"/>
      <c r="O871" s="3"/>
      <c r="P871" s="3"/>
      <c r="Q871" s="3"/>
      <c r="R871" s="3"/>
      <c r="S871" s="3"/>
      <c r="T871" s="3"/>
      <c r="U871" s="3"/>
      <c r="V871" s="3"/>
      <c r="W871" s="3"/>
      <c r="X871" s="3"/>
      <c r="Y871" s="3"/>
    </row>
    <row r="872">
      <c r="A872" s="7"/>
      <c r="B872" s="6"/>
      <c r="C872" s="6"/>
      <c r="D872" s="3"/>
      <c r="E872" s="3"/>
      <c r="F872" s="3"/>
      <c r="G872" s="3"/>
      <c r="H872" s="3"/>
      <c r="I872" s="3"/>
      <c r="J872" s="3"/>
      <c r="K872" s="3"/>
      <c r="L872" s="3"/>
      <c r="M872" s="3"/>
      <c r="N872" s="3"/>
      <c r="O872" s="3"/>
      <c r="P872" s="3"/>
      <c r="Q872" s="3"/>
      <c r="R872" s="3"/>
      <c r="S872" s="3"/>
      <c r="T872" s="3"/>
      <c r="U872" s="3"/>
      <c r="V872" s="3"/>
      <c r="W872" s="3"/>
      <c r="X872" s="3"/>
      <c r="Y872" s="3"/>
    </row>
    <row r="873">
      <c r="A873" s="7"/>
      <c r="B873" s="6"/>
      <c r="C873" s="6"/>
      <c r="D873" s="3"/>
      <c r="E873" s="3"/>
      <c r="F873" s="3"/>
      <c r="G873" s="3"/>
      <c r="H873" s="3"/>
      <c r="I873" s="3"/>
      <c r="J873" s="3"/>
      <c r="K873" s="3"/>
      <c r="L873" s="3"/>
      <c r="M873" s="3"/>
      <c r="N873" s="3"/>
      <c r="O873" s="3"/>
      <c r="P873" s="3"/>
      <c r="Q873" s="3"/>
      <c r="R873" s="3"/>
      <c r="S873" s="3"/>
      <c r="T873" s="3"/>
      <c r="U873" s="3"/>
      <c r="V873" s="3"/>
      <c r="W873" s="3"/>
      <c r="X873" s="3"/>
      <c r="Y873" s="3"/>
    </row>
    <row r="874">
      <c r="A874" s="7"/>
      <c r="B874" s="6"/>
      <c r="C874" s="6"/>
      <c r="D874" s="3"/>
      <c r="E874" s="3"/>
      <c r="F874" s="3"/>
      <c r="G874" s="3"/>
      <c r="H874" s="3"/>
      <c r="I874" s="3"/>
      <c r="J874" s="3"/>
      <c r="K874" s="3"/>
      <c r="L874" s="3"/>
      <c r="M874" s="3"/>
      <c r="N874" s="3"/>
      <c r="O874" s="3"/>
      <c r="P874" s="3"/>
      <c r="Q874" s="3"/>
      <c r="R874" s="3"/>
      <c r="S874" s="3"/>
      <c r="T874" s="3"/>
      <c r="U874" s="3"/>
      <c r="V874" s="3"/>
      <c r="W874" s="3"/>
      <c r="X874" s="3"/>
      <c r="Y874" s="3"/>
    </row>
    <row r="875">
      <c r="A875" s="7"/>
      <c r="B875" s="6"/>
      <c r="C875" s="6"/>
      <c r="D875" s="3"/>
      <c r="E875" s="3"/>
      <c r="F875" s="3"/>
      <c r="G875" s="3"/>
      <c r="H875" s="3"/>
      <c r="I875" s="3"/>
      <c r="J875" s="3"/>
      <c r="K875" s="3"/>
      <c r="L875" s="3"/>
      <c r="M875" s="3"/>
      <c r="N875" s="3"/>
      <c r="O875" s="3"/>
      <c r="P875" s="3"/>
      <c r="Q875" s="3"/>
      <c r="R875" s="3"/>
      <c r="S875" s="3"/>
      <c r="T875" s="3"/>
      <c r="U875" s="3"/>
      <c r="V875" s="3"/>
      <c r="W875" s="3"/>
      <c r="X875" s="3"/>
      <c r="Y875" s="3"/>
    </row>
    <row r="876">
      <c r="A876" s="7"/>
      <c r="B876" s="6"/>
      <c r="C876" s="6"/>
      <c r="D876" s="3"/>
      <c r="E876" s="3"/>
      <c r="F876" s="3"/>
      <c r="G876" s="3"/>
      <c r="H876" s="3"/>
      <c r="I876" s="3"/>
      <c r="J876" s="3"/>
      <c r="K876" s="3"/>
      <c r="L876" s="3"/>
      <c r="M876" s="3"/>
      <c r="N876" s="3"/>
      <c r="O876" s="3"/>
      <c r="P876" s="3"/>
      <c r="Q876" s="3"/>
      <c r="R876" s="3"/>
      <c r="S876" s="3"/>
      <c r="T876" s="3"/>
      <c r="U876" s="3"/>
      <c r="V876" s="3"/>
      <c r="W876" s="3"/>
      <c r="X876" s="3"/>
      <c r="Y876" s="3"/>
    </row>
    <row r="877">
      <c r="A877" s="7"/>
      <c r="B877" s="6"/>
      <c r="C877" s="6"/>
      <c r="D877" s="3"/>
      <c r="E877" s="3"/>
      <c r="F877" s="3"/>
      <c r="G877" s="3"/>
      <c r="H877" s="3"/>
      <c r="I877" s="3"/>
      <c r="J877" s="3"/>
      <c r="K877" s="3"/>
      <c r="L877" s="3"/>
      <c r="M877" s="3"/>
      <c r="N877" s="3"/>
      <c r="O877" s="3"/>
      <c r="P877" s="3"/>
      <c r="Q877" s="3"/>
      <c r="R877" s="3"/>
      <c r="S877" s="3"/>
      <c r="T877" s="3"/>
      <c r="U877" s="3"/>
      <c r="V877" s="3"/>
      <c r="W877" s="3"/>
      <c r="X877" s="3"/>
      <c r="Y877" s="3"/>
    </row>
    <row r="878">
      <c r="A878" s="7"/>
      <c r="B878" s="6"/>
      <c r="C878" s="6"/>
      <c r="D878" s="3"/>
      <c r="E878" s="3"/>
      <c r="F878" s="3"/>
      <c r="G878" s="3"/>
      <c r="H878" s="3"/>
      <c r="I878" s="3"/>
      <c r="J878" s="3"/>
      <c r="K878" s="3"/>
      <c r="L878" s="3"/>
      <c r="M878" s="3"/>
      <c r="N878" s="3"/>
      <c r="O878" s="3"/>
      <c r="P878" s="3"/>
      <c r="Q878" s="3"/>
      <c r="R878" s="3"/>
      <c r="S878" s="3"/>
      <c r="T878" s="3"/>
      <c r="U878" s="3"/>
      <c r="V878" s="3"/>
      <c r="W878" s="3"/>
      <c r="X878" s="3"/>
      <c r="Y878" s="3"/>
    </row>
    <row r="879">
      <c r="A879" s="7"/>
      <c r="B879" s="6"/>
      <c r="C879" s="6"/>
      <c r="D879" s="3"/>
      <c r="E879" s="3"/>
      <c r="F879" s="3"/>
      <c r="G879" s="3"/>
      <c r="H879" s="3"/>
      <c r="I879" s="3"/>
      <c r="J879" s="3"/>
      <c r="K879" s="3"/>
      <c r="L879" s="3"/>
      <c r="M879" s="3"/>
      <c r="N879" s="3"/>
      <c r="O879" s="3"/>
      <c r="P879" s="3"/>
      <c r="Q879" s="3"/>
      <c r="R879" s="3"/>
      <c r="S879" s="3"/>
      <c r="T879" s="3"/>
      <c r="U879" s="3"/>
      <c r="V879" s="3"/>
      <c r="W879" s="3"/>
      <c r="X879" s="3"/>
      <c r="Y879" s="3"/>
    </row>
    <row r="880">
      <c r="A880" s="7"/>
      <c r="B880" s="6"/>
      <c r="C880" s="6"/>
      <c r="D880" s="3"/>
      <c r="E880" s="3"/>
      <c r="F880" s="3"/>
      <c r="G880" s="3"/>
      <c r="H880" s="3"/>
      <c r="I880" s="3"/>
      <c r="J880" s="3"/>
      <c r="K880" s="3"/>
      <c r="L880" s="3"/>
      <c r="M880" s="3"/>
      <c r="N880" s="3"/>
      <c r="O880" s="3"/>
      <c r="P880" s="3"/>
      <c r="Q880" s="3"/>
      <c r="R880" s="3"/>
      <c r="S880" s="3"/>
      <c r="T880" s="3"/>
      <c r="U880" s="3"/>
      <c r="V880" s="3"/>
      <c r="W880" s="3"/>
      <c r="X880" s="3"/>
      <c r="Y880" s="3"/>
    </row>
    <row r="881">
      <c r="A881" s="7"/>
      <c r="B881" s="6"/>
      <c r="C881" s="6"/>
      <c r="D881" s="3"/>
      <c r="E881" s="3"/>
      <c r="F881" s="3"/>
      <c r="G881" s="3"/>
      <c r="H881" s="3"/>
      <c r="I881" s="3"/>
      <c r="J881" s="3"/>
      <c r="K881" s="3"/>
      <c r="L881" s="3"/>
      <c r="M881" s="3"/>
      <c r="N881" s="3"/>
      <c r="O881" s="3"/>
      <c r="P881" s="3"/>
      <c r="Q881" s="3"/>
      <c r="R881" s="3"/>
      <c r="S881" s="3"/>
      <c r="T881" s="3"/>
      <c r="U881" s="3"/>
      <c r="V881" s="3"/>
      <c r="W881" s="3"/>
      <c r="X881" s="3"/>
      <c r="Y881" s="3"/>
    </row>
    <row r="882">
      <c r="A882" s="7"/>
      <c r="B882" s="6"/>
      <c r="C882" s="6"/>
      <c r="D882" s="3"/>
      <c r="E882" s="3"/>
      <c r="F882" s="3"/>
      <c r="G882" s="3"/>
      <c r="H882" s="3"/>
      <c r="I882" s="3"/>
      <c r="J882" s="3"/>
      <c r="K882" s="3"/>
      <c r="L882" s="3"/>
      <c r="M882" s="3"/>
      <c r="N882" s="3"/>
      <c r="O882" s="3"/>
      <c r="P882" s="3"/>
      <c r="Q882" s="3"/>
      <c r="R882" s="3"/>
      <c r="S882" s="3"/>
      <c r="T882" s="3"/>
      <c r="U882" s="3"/>
      <c r="V882" s="3"/>
      <c r="W882" s="3"/>
      <c r="X882" s="3"/>
      <c r="Y882" s="3"/>
    </row>
    <row r="883">
      <c r="A883" s="7"/>
      <c r="B883" s="6"/>
      <c r="C883" s="6"/>
      <c r="D883" s="3"/>
      <c r="E883" s="3"/>
      <c r="F883" s="3"/>
      <c r="G883" s="3"/>
      <c r="H883" s="3"/>
      <c r="I883" s="3"/>
      <c r="J883" s="3"/>
      <c r="K883" s="3"/>
      <c r="L883" s="3"/>
      <c r="M883" s="3"/>
      <c r="N883" s="3"/>
      <c r="O883" s="3"/>
      <c r="P883" s="3"/>
      <c r="Q883" s="3"/>
      <c r="R883" s="3"/>
      <c r="S883" s="3"/>
      <c r="T883" s="3"/>
      <c r="U883" s="3"/>
      <c r="V883" s="3"/>
      <c r="W883" s="3"/>
      <c r="X883" s="3"/>
      <c r="Y883" s="3"/>
    </row>
    <row r="884">
      <c r="A884" s="7"/>
      <c r="B884" s="6"/>
      <c r="C884" s="6"/>
      <c r="D884" s="3"/>
      <c r="E884" s="3"/>
      <c r="F884" s="3"/>
      <c r="G884" s="3"/>
      <c r="H884" s="3"/>
      <c r="I884" s="3"/>
      <c r="J884" s="3"/>
      <c r="K884" s="3"/>
      <c r="L884" s="3"/>
      <c r="M884" s="3"/>
      <c r="N884" s="3"/>
      <c r="O884" s="3"/>
      <c r="P884" s="3"/>
      <c r="Q884" s="3"/>
      <c r="R884" s="3"/>
      <c r="S884" s="3"/>
      <c r="T884" s="3"/>
      <c r="U884" s="3"/>
      <c r="V884" s="3"/>
      <c r="W884" s="3"/>
      <c r="X884" s="3"/>
      <c r="Y884" s="3"/>
    </row>
    <row r="885">
      <c r="A885" s="7"/>
      <c r="B885" s="6"/>
      <c r="C885" s="6"/>
      <c r="D885" s="3"/>
      <c r="E885" s="3"/>
      <c r="F885" s="3"/>
      <c r="G885" s="3"/>
      <c r="H885" s="3"/>
      <c r="I885" s="3"/>
      <c r="J885" s="3"/>
      <c r="K885" s="3"/>
      <c r="L885" s="3"/>
      <c r="M885" s="3"/>
      <c r="N885" s="3"/>
      <c r="O885" s="3"/>
      <c r="P885" s="3"/>
      <c r="Q885" s="3"/>
      <c r="R885" s="3"/>
      <c r="S885" s="3"/>
      <c r="T885" s="3"/>
      <c r="U885" s="3"/>
      <c r="V885" s="3"/>
      <c r="W885" s="3"/>
      <c r="X885" s="3"/>
      <c r="Y885" s="3"/>
    </row>
    <row r="886">
      <c r="A886" s="7"/>
      <c r="B886" s="6"/>
      <c r="C886" s="6"/>
      <c r="D886" s="3"/>
      <c r="E886" s="3"/>
      <c r="F886" s="3"/>
      <c r="G886" s="3"/>
      <c r="H886" s="3"/>
      <c r="I886" s="3"/>
      <c r="J886" s="3"/>
      <c r="K886" s="3"/>
      <c r="L886" s="3"/>
      <c r="M886" s="3"/>
      <c r="N886" s="3"/>
      <c r="O886" s="3"/>
      <c r="P886" s="3"/>
      <c r="Q886" s="3"/>
      <c r="R886" s="3"/>
      <c r="S886" s="3"/>
      <c r="T886" s="3"/>
      <c r="U886" s="3"/>
      <c r="V886" s="3"/>
      <c r="W886" s="3"/>
      <c r="X886" s="3"/>
      <c r="Y886" s="3"/>
    </row>
    <row r="887">
      <c r="A887" s="7"/>
      <c r="B887" s="6"/>
      <c r="C887" s="6"/>
      <c r="D887" s="3"/>
      <c r="E887" s="3"/>
      <c r="F887" s="3"/>
      <c r="G887" s="3"/>
      <c r="H887" s="3"/>
      <c r="I887" s="3"/>
      <c r="J887" s="3"/>
      <c r="K887" s="3"/>
      <c r="L887" s="3"/>
      <c r="M887" s="3"/>
      <c r="N887" s="3"/>
      <c r="O887" s="3"/>
      <c r="P887" s="3"/>
      <c r="Q887" s="3"/>
      <c r="R887" s="3"/>
      <c r="S887" s="3"/>
      <c r="T887" s="3"/>
      <c r="U887" s="3"/>
      <c r="V887" s="3"/>
      <c r="W887" s="3"/>
      <c r="X887" s="3"/>
      <c r="Y887" s="3"/>
    </row>
    <row r="888">
      <c r="A888" s="7"/>
      <c r="B888" s="6"/>
      <c r="C888" s="6"/>
      <c r="D888" s="3"/>
      <c r="E888" s="3"/>
      <c r="F888" s="3"/>
      <c r="G888" s="3"/>
      <c r="H888" s="3"/>
      <c r="I888" s="3"/>
      <c r="J888" s="3"/>
      <c r="K888" s="3"/>
      <c r="L888" s="3"/>
      <c r="M888" s="3"/>
      <c r="N888" s="3"/>
      <c r="O888" s="3"/>
      <c r="P888" s="3"/>
      <c r="Q888" s="3"/>
      <c r="R888" s="3"/>
      <c r="S888" s="3"/>
      <c r="T888" s="3"/>
      <c r="U888" s="3"/>
      <c r="V888" s="3"/>
      <c r="W888" s="3"/>
      <c r="X888" s="3"/>
      <c r="Y888" s="3"/>
    </row>
    <row r="889">
      <c r="A889" s="7"/>
      <c r="B889" s="6"/>
      <c r="C889" s="6"/>
      <c r="D889" s="3"/>
      <c r="E889" s="3"/>
      <c r="F889" s="3"/>
      <c r="G889" s="3"/>
      <c r="H889" s="3"/>
      <c r="I889" s="3"/>
      <c r="J889" s="3"/>
      <c r="K889" s="3"/>
      <c r="L889" s="3"/>
      <c r="M889" s="3"/>
      <c r="N889" s="3"/>
      <c r="O889" s="3"/>
      <c r="P889" s="3"/>
      <c r="Q889" s="3"/>
      <c r="R889" s="3"/>
      <c r="S889" s="3"/>
      <c r="T889" s="3"/>
      <c r="U889" s="3"/>
      <c r="V889" s="3"/>
      <c r="W889" s="3"/>
      <c r="X889" s="3"/>
      <c r="Y889" s="3"/>
    </row>
    <row r="890">
      <c r="A890" s="7"/>
      <c r="B890" s="6"/>
      <c r="C890" s="6"/>
      <c r="D890" s="3"/>
      <c r="E890" s="3"/>
      <c r="F890" s="3"/>
      <c r="G890" s="3"/>
      <c r="H890" s="3"/>
      <c r="I890" s="3"/>
      <c r="J890" s="3"/>
      <c r="K890" s="3"/>
      <c r="L890" s="3"/>
      <c r="M890" s="3"/>
      <c r="N890" s="3"/>
      <c r="O890" s="3"/>
      <c r="P890" s="3"/>
      <c r="Q890" s="3"/>
      <c r="R890" s="3"/>
      <c r="S890" s="3"/>
      <c r="T890" s="3"/>
      <c r="U890" s="3"/>
      <c r="V890" s="3"/>
      <c r="W890" s="3"/>
      <c r="X890" s="3"/>
      <c r="Y890" s="3"/>
    </row>
    <row r="891">
      <c r="A891" s="7"/>
      <c r="B891" s="6"/>
      <c r="C891" s="6"/>
      <c r="D891" s="3"/>
      <c r="E891" s="3"/>
      <c r="F891" s="3"/>
      <c r="G891" s="3"/>
      <c r="H891" s="3"/>
      <c r="I891" s="3"/>
      <c r="J891" s="3"/>
      <c r="K891" s="3"/>
      <c r="L891" s="3"/>
      <c r="M891" s="3"/>
      <c r="N891" s="3"/>
      <c r="O891" s="3"/>
      <c r="P891" s="3"/>
      <c r="Q891" s="3"/>
      <c r="R891" s="3"/>
      <c r="S891" s="3"/>
      <c r="T891" s="3"/>
      <c r="U891" s="3"/>
      <c r="V891" s="3"/>
      <c r="W891" s="3"/>
      <c r="X891" s="3"/>
      <c r="Y891" s="3"/>
    </row>
    <row r="892">
      <c r="A892" s="7"/>
      <c r="B892" s="6"/>
      <c r="C892" s="6"/>
      <c r="D892" s="3"/>
      <c r="E892" s="3"/>
      <c r="F892" s="3"/>
      <c r="G892" s="3"/>
      <c r="H892" s="3"/>
      <c r="I892" s="3"/>
      <c r="J892" s="3"/>
      <c r="K892" s="3"/>
      <c r="L892" s="3"/>
      <c r="M892" s="3"/>
      <c r="N892" s="3"/>
      <c r="O892" s="3"/>
      <c r="P892" s="3"/>
      <c r="Q892" s="3"/>
      <c r="R892" s="3"/>
      <c r="S892" s="3"/>
      <c r="T892" s="3"/>
      <c r="U892" s="3"/>
      <c r="V892" s="3"/>
      <c r="W892" s="3"/>
      <c r="X892" s="3"/>
      <c r="Y892" s="3"/>
    </row>
    <row r="893">
      <c r="A893" s="7"/>
      <c r="B893" s="6"/>
      <c r="C893" s="6"/>
      <c r="D893" s="3"/>
      <c r="E893" s="3"/>
      <c r="F893" s="3"/>
      <c r="G893" s="3"/>
      <c r="H893" s="3"/>
      <c r="I893" s="3"/>
      <c r="J893" s="3"/>
      <c r="K893" s="3"/>
      <c r="L893" s="3"/>
      <c r="M893" s="3"/>
      <c r="N893" s="3"/>
      <c r="O893" s="3"/>
      <c r="P893" s="3"/>
      <c r="Q893" s="3"/>
      <c r="R893" s="3"/>
      <c r="S893" s="3"/>
      <c r="T893" s="3"/>
      <c r="U893" s="3"/>
      <c r="V893" s="3"/>
      <c r="W893" s="3"/>
      <c r="X893" s="3"/>
      <c r="Y893" s="3"/>
    </row>
    <row r="894">
      <c r="A894" s="7"/>
      <c r="B894" s="6"/>
      <c r="C894" s="6"/>
      <c r="D894" s="3"/>
      <c r="E894" s="3"/>
      <c r="F894" s="3"/>
      <c r="G894" s="3"/>
      <c r="H894" s="3"/>
      <c r="I894" s="3"/>
      <c r="J894" s="3"/>
      <c r="K894" s="3"/>
      <c r="L894" s="3"/>
      <c r="M894" s="3"/>
      <c r="N894" s="3"/>
      <c r="O894" s="3"/>
      <c r="P894" s="3"/>
      <c r="Q894" s="3"/>
      <c r="R894" s="3"/>
      <c r="S894" s="3"/>
      <c r="T894" s="3"/>
      <c r="U894" s="3"/>
      <c r="V894" s="3"/>
      <c r="W894" s="3"/>
      <c r="X894" s="3"/>
      <c r="Y894" s="3"/>
    </row>
    <row r="895">
      <c r="A895" s="7"/>
      <c r="B895" s="6"/>
      <c r="C895" s="6"/>
      <c r="D895" s="3"/>
      <c r="E895" s="3"/>
      <c r="F895" s="3"/>
      <c r="G895" s="3"/>
      <c r="H895" s="3"/>
      <c r="I895" s="3"/>
      <c r="J895" s="3"/>
      <c r="K895" s="3"/>
      <c r="L895" s="3"/>
      <c r="M895" s="3"/>
      <c r="N895" s="3"/>
      <c r="O895" s="3"/>
      <c r="P895" s="3"/>
      <c r="Q895" s="3"/>
      <c r="R895" s="3"/>
      <c r="S895" s="3"/>
      <c r="T895" s="3"/>
      <c r="U895" s="3"/>
      <c r="V895" s="3"/>
      <c r="W895" s="3"/>
      <c r="X895" s="3"/>
      <c r="Y895" s="3"/>
    </row>
    <row r="896">
      <c r="A896" s="7"/>
      <c r="B896" s="6"/>
      <c r="C896" s="6"/>
      <c r="D896" s="3"/>
      <c r="E896" s="3"/>
      <c r="F896" s="3"/>
      <c r="G896" s="3"/>
      <c r="H896" s="3"/>
      <c r="I896" s="3"/>
      <c r="J896" s="3"/>
      <c r="K896" s="3"/>
      <c r="L896" s="3"/>
      <c r="M896" s="3"/>
      <c r="N896" s="3"/>
      <c r="O896" s="3"/>
      <c r="P896" s="3"/>
      <c r="Q896" s="3"/>
      <c r="R896" s="3"/>
      <c r="S896" s="3"/>
      <c r="T896" s="3"/>
      <c r="U896" s="3"/>
      <c r="V896" s="3"/>
      <c r="W896" s="3"/>
      <c r="X896" s="3"/>
      <c r="Y896" s="3"/>
    </row>
    <row r="897">
      <c r="A897" s="7"/>
      <c r="B897" s="6"/>
      <c r="C897" s="6"/>
      <c r="D897" s="3"/>
      <c r="E897" s="3"/>
      <c r="F897" s="3"/>
      <c r="G897" s="3"/>
      <c r="H897" s="3"/>
      <c r="I897" s="3"/>
      <c r="J897" s="3"/>
      <c r="K897" s="3"/>
      <c r="L897" s="3"/>
      <c r="M897" s="3"/>
      <c r="N897" s="3"/>
      <c r="O897" s="3"/>
      <c r="P897" s="3"/>
      <c r="Q897" s="3"/>
      <c r="R897" s="3"/>
      <c r="S897" s="3"/>
      <c r="T897" s="3"/>
      <c r="U897" s="3"/>
      <c r="V897" s="3"/>
      <c r="W897" s="3"/>
      <c r="X897" s="3"/>
      <c r="Y897" s="3"/>
    </row>
    <row r="898">
      <c r="A898" s="7"/>
      <c r="B898" s="6"/>
      <c r="C898" s="6"/>
      <c r="D898" s="3"/>
      <c r="E898" s="3"/>
      <c r="F898" s="3"/>
      <c r="G898" s="3"/>
      <c r="H898" s="3"/>
      <c r="I898" s="3"/>
      <c r="J898" s="3"/>
      <c r="K898" s="3"/>
      <c r="L898" s="3"/>
      <c r="M898" s="3"/>
      <c r="N898" s="3"/>
      <c r="O898" s="3"/>
      <c r="P898" s="3"/>
      <c r="Q898" s="3"/>
      <c r="R898" s="3"/>
      <c r="S898" s="3"/>
      <c r="T898" s="3"/>
      <c r="U898" s="3"/>
      <c r="V898" s="3"/>
      <c r="W898" s="3"/>
      <c r="X898" s="3"/>
      <c r="Y898" s="3"/>
    </row>
    <row r="899">
      <c r="A899" s="7"/>
      <c r="B899" s="6"/>
      <c r="C899" s="6"/>
      <c r="D899" s="3"/>
      <c r="E899" s="3"/>
      <c r="F899" s="3"/>
      <c r="G899" s="3"/>
      <c r="H899" s="3"/>
      <c r="I899" s="3"/>
      <c r="J899" s="3"/>
      <c r="K899" s="3"/>
      <c r="L899" s="3"/>
      <c r="M899" s="3"/>
      <c r="N899" s="3"/>
      <c r="O899" s="3"/>
      <c r="P899" s="3"/>
      <c r="Q899" s="3"/>
      <c r="R899" s="3"/>
      <c r="S899" s="3"/>
      <c r="T899" s="3"/>
      <c r="U899" s="3"/>
      <c r="V899" s="3"/>
      <c r="W899" s="3"/>
      <c r="X899" s="3"/>
      <c r="Y899" s="3"/>
    </row>
    <row r="900">
      <c r="A900" s="7"/>
      <c r="B900" s="6"/>
      <c r="C900" s="6"/>
      <c r="D900" s="3"/>
      <c r="E900" s="3"/>
      <c r="F900" s="3"/>
      <c r="G900" s="3"/>
      <c r="H900" s="3"/>
      <c r="I900" s="3"/>
      <c r="J900" s="3"/>
      <c r="K900" s="3"/>
      <c r="L900" s="3"/>
      <c r="M900" s="3"/>
      <c r="N900" s="3"/>
      <c r="O900" s="3"/>
      <c r="P900" s="3"/>
      <c r="Q900" s="3"/>
      <c r="R900" s="3"/>
      <c r="S900" s="3"/>
      <c r="T900" s="3"/>
      <c r="U900" s="3"/>
      <c r="V900" s="3"/>
      <c r="W900" s="3"/>
      <c r="X900" s="3"/>
      <c r="Y900" s="3"/>
    </row>
    <row r="901">
      <c r="A901" s="7"/>
      <c r="B901" s="6"/>
      <c r="C901" s="6"/>
      <c r="D901" s="3"/>
      <c r="E901" s="3"/>
      <c r="F901" s="3"/>
      <c r="G901" s="3"/>
      <c r="H901" s="3"/>
      <c r="I901" s="3"/>
      <c r="J901" s="3"/>
      <c r="K901" s="3"/>
      <c r="L901" s="3"/>
      <c r="M901" s="3"/>
      <c r="N901" s="3"/>
      <c r="O901" s="3"/>
      <c r="P901" s="3"/>
      <c r="Q901" s="3"/>
      <c r="R901" s="3"/>
      <c r="S901" s="3"/>
      <c r="T901" s="3"/>
      <c r="U901" s="3"/>
      <c r="V901" s="3"/>
      <c r="W901" s="3"/>
      <c r="X901" s="3"/>
      <c r="Y901" s="3"/>
    </row>
    <row r="902">
      <c r="A902" s="7"/>
      <c r="B902" s="6"/>
      <c r="C902" s="6"/>
      <c r="D902" s="3"/>
      <c r="E902" s="3"/>
      <c r="F902" s="3"/>
      <c r="G902" s="3"/>
      <c r="H902" s="3"/>
      <c r="I902" s="3"/>
      <c r="J902" s="3"/>
      <c r="K902" s="3"/>
      <c r="L902" s="3"/>
      <c r="M902" s="3"/>
      <c r="N902" s="3"/>
      <c r="O902" s="3"/>
      <c r="P902" s="3"/>
      <c r="Q902" s="3"/>
      <c r="R902" s="3"/>
      <c r="S902" s="3"/>
      <c r="T902" s="3"/>
      <c r="U902" s="3"/>
      <c r="V902" s="3"/>
      <c r="W902" s="3"/>
      <c r="X902" s="3"/>
      <c r="Y902" s="3"/>
    </row>
    <row r="903">
      <c r="A903" s="7"/>
      <c r="B903" s="6"/>
      <c r="C903" s="6"/>
      <c r="D903" s="3"/>
      <c r="E903" s="3"/>
      <c r="F903" s="3"/>
      <c r="G903" s="3"/>
      <c r="H903" s="3"/>
      <c r="I903" s="3"/>
      <c r="J903" s="3"/>
      <c r="K903" s="3"/>
      <c r="L903" s="3"/>
      <c r="M903" s="3"/>
      <c r="N903" s="3"/>
      <c r="O903" s="3"/>
      <c r="P903" s="3"/>
      <c r="Q903" s="3"/>
      <c r="R903" s="3"/>
      <c r="S903" s="3"/>
      <c r="T903" s="3"/>
      <c r="U903" s="3"/>
      <c r="V903" s="3"/>
      <c r="W903" s="3"/>
      <c r="X903" s="3"/>
      <c r="Y903" s="3"/>
    </row>
    <row r="904">
      <c r="A904" s="7"/>
      <c r="B904" s="6"/>
      <c r="C904" s="6"/>
      <c r="D904" s="3"/>
      <c r="E904" s="3"/>
      <c r="F904" s="3"/>
      <c r="G904" s="3"/>
      <c r="H904" s="3"/>
      <c r="I904" s="3"/>
      <c r="J904" s="3"/>
      <c r="K904" s="3"/>
      <c r="L904" s="3"/>
      <c r="M904" s="3"/>
      <c r="N904" s="3"/>
      <c r="O904" s="3"/>
      <c r="P904" s="3"/>
      <c r="Q904" s="3"/>
      <c r="R904" s="3"/>
      <c r="S904" s="3"/>
      <c r="T904" s="3"/>
      <c r="U904" s="3"/>
      <c r="V904" s="3"/>
      <c r="W904" s="3"/>
      <c r="X904" s="3"/>
      <c r="Y904" s="3"/>
    </row>
    <row r="905">
      <c r="A905" s="7"/>
      <c r="B905" s="6"/>
      <c r="C905" s="6"/>
      <c r="D905" s="3"/>
      <c r="E905" s="3"/>
      <c r="F905" s="3"/>
      <c r="G905" s="3"/>
      <c r="H905" s="3"/>
      <c r="I905" s="3"/>
      <c r="J905" s="3"/>
      <c r="K905" s="3"/>
      <c r="L905" s="3"/>
      <c r="M905" s="3"/>
      <c r="N905" s="3"/>
      <c r="O905" s="3"/>
      <c r="P905" s="3"/>
      <c r="Q905" s="3"/>
      <c r="R905" s="3"/>
      <c r="S905" s="3"/>
      <c r="T905" s="3"/>
      <c r="U905" s="3"/>
      <c r="V905" s="3"/>
      <c r="W905" s="3"/>
      <c r="X905" s="3"/>
      <c r="Y905" s="3"/>
    </row>
    <row r="906">
      <c r="A906" s="7"/>
      <c r="B906" s="6"/>
      <c r="C906" s="6"/>
      <c r="D906" s="3"/>
      <c r="E906" s="3"/>
      <c r="F906" s="3"/>
      <c r="G906" s="3"/>
      <c r="H906" s="3"/>
      <c r="I906" s="3"/>
      <c r="J906" s="3"/>
      <c r="K906" s="3"/>
      <c r="L906" s="3"/>
      <c r="M906" s="3"/>
      <c r="N906" s="3"/>
      <c r="O906" s="3"/>
      <c r="P906" s="3"/>
      <c r="Q906" s="3"/>
      <c r="R906" s="3"/>
      <c r="S906" s="3"/>
      <c r="T906" s="3"/>
      <c r="U906" s="3"/>
      <c r="V906" s="3"/>
      <c r="W906" s="3"/>
      <c r="X906" s="3"/>
      <c r="Y906" s="3"/>
    </row>
    <row r="907">
      <c r="A907" s="7"/>
      <c r="B907" s="6"/>
      <c r="C907" s="6"/>
      <c r="D907" s="3"/>
      <c r="E907" s="3"/>
      <c r="F907" s="3"/>
      <c r="G907" s="3"/>
      <c r="H907" s="3"/>
      <c r="I907" s="3"/>
      <c r="J907" s="3"/>
      <c r="K907" s="3"/>
      <c r="L907" s="3"/>
      <c r="M907" s="3"/>
      <c r="N907" s="3"/>
      <c r="O907" s="3"/>
      <c r="P907" s="3"/>
      <c r="Q907" s="3"/>
      <c r="R907" s="3"/>
      <c r="S907" s="3"/>
      <c r="T907" s="3"/>
      <c r="U907" s="3"/>
      <c r="V907" s="3"/>
      <c r="W907" s="3"/>
      <c r="X907" s="3"/>
      <c r="Y907" s="3"/>
    </row>
    <row r="908">
      <c r="A908" s="7"/>
      <c r="B908" s="6"/>
      <c r="C908" s="6"/>
      <c r="D908" s="3"/>
      <c r="E908" s="3"/>
      <c r="F908" s="3"/>
      <c r="G908" s="3"/>
      <c r="H908" s="3"/>
      <c r="I908" s="3"/>
      <c r="J908" s="3"/>
      <c r="K908" s="3"/>
      <c r="L908" s="3"/>
      <c r="M908" s="3"/>
      <c r="N908" s="3"/>
      <c r="O908" s="3"/>
      <c r="P908" s="3"/>
      <c r="Q908" s="3"/>
      <c r="R908" s="3"/>
      <c r="S908" s="3"/>
      <c r="T908" s="3"/>
      <c r="U908" s="3"/>
      <c r="V908" s="3"/>
      <c r="W908" s="3"/>
      <c r="X908" s="3"/>
      <c r="Y908" s="3"/>
    </row>
    <row r="909">
      <c r="A909" s="7"/>
      <c r="B909" s="6"/>
      <c r="C909" s="6"/>
      <c r="D909" s="3"/>
      <c r="E909" s="3"/>
      <c r="F909" s="3"/>
      <c r="G909" s="3"/>
      <c r="H909" s="3"/>
      <c r="I909" s="3"/>
      <c r="J909" s="3"/>
      <c r="K909" s="3"/>
      <c r="L909" s="3"/>
      <c r="M909" s="3"/>
      <c r="N909" s="3"/>
      <c r="O909" s="3"/>
      <c r="P909" s="3"/>
      <c r="Q909" s="3"/>
      <c r="R909" s="3"/>
      <c r="S909" s="3"/>
      <c r="T909" s="3"/>
      <c r="U909" s="3"/>
      <c r="V909" s="3"/>
      <c r="W909" s="3"/>
      <c r="X909" s="3"/>
      <c r="Y909" s="3"/>
    </row>
    <row r="910">
      <c r="A910" s="7"/>
      <c r="B910" s="6"/>
      <c r="C910" s="6"/>
      <c r="D910" s="3"/>
      <c r="E910" s="3"/>
      <c r="F910" s="3"/>
      <c r="G910" s="3"/>
      <c r="H910" s="3"/>
      <c r="I910" s="3"/>
      <c r="J910" s="3"/>
      <c r="K910" s="3"/>
      <c r="L910" s="3"/>
      <c r="M910" s="3"/>
      <c r="N910" s="3"/>
      <c r="O910" s="3"/>
      <c r="P910" s="3"/>
      <c r="Q910" s="3"/>
      <c r="R910" s="3"/>
      <c r="S910" s="3"/>
      <c r="T910" s="3"/>
      <c r="U910" s="3"/>
      <c r="V910" s="3"/>
      <c r="W910" s="3"/>
      <c r="X910" s="3"/>
      <c r="Y910" s="3"/>
    </row>
    <row r="911">
      <c r="A911" s="7"/>
      <c r="B911" s="6"/>
      <c r="C911" s="6"/>
      <c r="D911" s="3"/>
      <c r="E911" s="3"/>
      <c r="F911" s="3"/>
      <c r="G911" s="3"/>
      <c r="H911" s="3"/>
      <c r="I911" s="3"/>
      <c r="J911" s="3"/>
      <c r="K911" s="3"/>
      <c r="L911" s="3"/>
      <c r="M911" s="3"/>
      <c r="N911" s="3"/>
      <c r="O911" s="3"/>
      <c r="P911" s="3"/>
      <c r="Q911" s="3"/>
      <c r="R911" s="3"/>
      <c r="S911" s="3"/>
      <c r="T911" s="3"/>
      <c r="U911" s="3"/>
      <c r="V911" s="3"/>
      <c r="W911" s="3"/>
      <c r="X911" s="3"/>
      <c r="Y911" s="3"/>
    </row>
    <row r="912">
      <c r="A912" s="7"/>
      <c r="B912" s="6"/>
      <c r="C912" s="6"/>
      <c r="D912" s="3"/>
      <c r="E912" s="3"/>
      <c r="F912" s="3"/>
      <c r="G912" s="3"/>
      <c r="H912" s="3"/>
      <c r="I912" s="3"/>
      <c r="J912" s="3"/>
      <c r="K912" s="3"/>
      <c r="L912" s="3"/>
      <c r="M912" s="3"/>
      <c r="N912" s="3"/>
      <c r="O912" s="3"/>
      <c r="P912" s="3"/>
      <c r="Q912" s="3"/>
      <c r="R912" s="3"/>
      <c r="S912" s="3"/>
      <c r="T912" s="3"/>
      <c r="U912" s="3"/>
      <c r="V912" s="3"/>
      <c r="W912" s="3"/>
      <c r="X912" s="3"/>
      <c r="Y912" s="3"/>
    </row>
    <row r="913">
      <c r="A913" s="7"/>
      <c r="B913" s="6"/>
      <c r="C913" s="6"/>
      <c r="D913" s="3"/>
      <c r="E913" s="3"/>
      <c r="F913" s="3"/>
      <c r="G913" s="3"/>
      <c r="H913" s="3"/>
      <c r="I913" s="3"/>
      <c r="J913" s="3"/>
      <c r="K913" s="3"/>
      <c r="L913" s="3"/>
      <c r="M913" s="3"/>
      <c r="N913" s="3"/>
      <c r="O913" s="3"/>
      <c r="P913" s="3"/>
      <c r="Q913" s="3"/>
      <c r="R913" s="3"/>
      <c r="S913" s="3"/>
      <c r="T913" s="3"/>
      <c r="U913" s="3"/>
      <c r="V913" s="3"/>
      <c r="W913" s="3"/>
      <c r="X913" s="3"/>
      <c r="Y913" s="3"/>
    </row>
    <row r="914">
      <c r="A914" s="7"/>
      <c r="B914" s="6"/>
      <c r="C914" s="6"/>
      <c r="D914" s="3"/>
      <c r="E914" s="3"/>
      <c r="F914" s="3"/>
      <c r="G914" s="3"/>
      <c r="H914" s="3"/>
      <c r="I914" s="3"/>
      <c r="J914" s="3"/>
      <c r="K914" s="3"/>
      <c r="L914" s="3"/>
      <c r="M914" s="3"/>
      <c r="N914" s="3"/>
      <c r="O914" s="3"/>
      <c r="P914" s="3"/>
      <c r="Q914" s="3"/>
      <c r="R914" s="3"/>
      <c r="S914" s="3"/>
      <c r="T914" s="3"/>
      <c r="U914" s="3"/>
      <c r="V914" s="3"/>
      <c r="W914" s="3"/>
      <c r="X914" s="3"/>
      <c r="Y914" s="3"/>
    </row>
    <row r="915">
      <c r="A915" s="7"/>
      <c r="B915" s="6"/>
      <c r="C915" s="6"/>
      <c r="D915" s="3"/>
      <c r="E915" s="3"/>
      <c r="F915" s="3"/>
      <c r="G915" s="3"/>
      <c r="H915" s="3"/>
      <c r="I915" s="3"/>
      <c r="J915" s="3"/>
      <c r="K915" s="3"/>
      <c r="L915" s="3"/>
      <c r="M915" s="3"/>
      <c r="N915" s="3"/>
      <c r="O915" s="3"/>
      <c r="P915" s="3"/>
      <c r="Q915" s="3"/>
      <c r="R915" s="3"/>
      <c r="S915" s="3"/>
      <c r="T915" s="3"/>
      <c r="U915" s="3"/>
      <c r="V915" s="3"/>
      <c r="W915" s="3"/>
      <c r="X915" s="3"/>
      <c r="Y915" s="3"/>
    </row>
    <row r="916">
      <c r="A916" s="7"/>
      <c r="B916" s="6"/>
      <c r="C916" s="6"/>
      <c r="D916" s="3"/>
      <c r="E916" s="3"/>
      <c r="F916" s="3"/>
      <c r="G916" s="3"/>
      <c r="H916" s="3"/>
      <c r="I916" s="3"/>
      <c r="J916" s="3"/>
      <c r="K916" s="3"/>
      <c r="L916" s="3"/>
      <c r="M916" s="3"/>
      <c r="N916" s="3"/>
      <c r="O916" s="3"/>
      <c r="P916" s="3"/>
      <c r="Q916" s="3"/>
      <c r="R916" s="3"/>
      <c r="S916" s="3"/>
      <c r="T916" s="3"/>
      <c r="U916" s="3"/>
      <c r="V916" s="3"/>
      <c r="W916" s="3"/>
      <c r="X916" s="3"/>
      <c r="Y916" s="3"/>
    </row>
    <row r="917">
      <c r="A917" s="7"/>
      <c r="B917" s="6"/>
      <c r="C917" s="6"/>
      <c r="D917" s="3"/>
      <c r="E917" s="3"/>
      <c r="F917" s="3"/>
      <c r="G917" s="3"/>
      <c r="H917" s="3"/>
      <c r="I917" s="3"/>
      <c r="J917" s="3"/>
      <c r="K917" s="3"/>
      <c r="L917" s="3"/>
      <c r="M917" s="3"/>
      <c r="N917" s="3"/>
      <c r="O917" s="3"/>
      <c r="P917" s="3"/>
      <c r="Q917" s="3"/>
      <c r="R917" s="3"/>
      <c r="S917" s="3"/>
      <c r="T917" s="3"/>
      <c r="U917" s="3"/>
      <c r="V917" s="3"/>
      <c r="W917" s="3"/>
      <c r="X917" s="3"/>
      <c r="Y917" s="3"/>
    </row>
    <row r="918">
      <c r="A918" s="7"/>
      <c r="B918" s="6"/>
      <c r="C918" s="6"/>
      <c r="D918" s="3"/>
      <c r="E918" s="3"/>
      <c r="F918" s="3"/>
      <c r="G918" s="3"/>
      <c r="H918" s="3"/>
      <c r="I918" s="3"/>
      <c r="J918" s="3"/>
      <c r="K918" s="3"/>
      <c r="L918" s="3"/>
      <c r="M918" s="3"/>
      <c r="N918" s="3"/>
      <c r="O918" s="3"/>
      <c r="P918" s="3"/>
      <c r="Q918" s="3"/>
      <c r="R918" s="3"/>
      <c r="S918" s="3"/>
      <c r="T918" s="3"/>
      <c r="U918" s="3"/>
      <c r="V918" s="3"/>
      <c r="W918" s="3"/>
      <c r="X918" s="3"/>
      <c r="Y918" s="3"/>
    </row>
    <row r="919">
      <c r="A919" s="7"/>
      <c r="B919" s="6"/>
      <c r="C919" s="6"/>
      <c r="D919" s="3"/>
      <c r="E919" s="3"/>
      <c r="F919" s="3"/>
      <c r="G919" s="3"/>
      <c r="H919" s="3"/>
      <c r="I919" s="3"/>
      <c r="J919" s="3"/>
      <c r="K919" s="3"/>
      <c r="L919" s="3"/>
      <c r="M919" s="3"/>
      <c r="N919" s="3"/>
      <c r="O919" s="3"/>
      <c r="P919" s="3"/>
      <c r="Q919" s="3"/>
      <c r="R919" s="3"/>
      <c r="S919" s="3"/>
      <c r="T919" s="3"/>
      <c r="U919" s="3"/>
      <c r="V919" s="3"/>
      <c r="W919" s="3"/>
      <c r="X919" s="3"/>
      <c r="Y919" s="3"/>
    </row>
    <row r="920">
      <c r="A920" s="7"/>
      <c r="B920" s="6"/>
      <c r="C920" s="6"/>
      <c r="D920" s="3"/>
      <c r="E920" s="3"/>
      <c r="F920" s="3"/>
      <c r="G920" s="3"/>
      <c r="H920" s="3"/>
      <c r="I920" s="3"/>
      <c r="J920" s="3"/>
      <c r="K920" s="3"/>
      <c r="L920" s="3"/>
      <c r="M920" s="3"/>
      <c r="N920" s="3"/>
      <c r="O920" s="3"/>
      <c r="P920" s="3"/>
      <c r="Q920" s="3"/>
      <c r="R920" s="3"/>
      <c r="S920" s="3"/>
      <c r="T920" s="3"/>
      <c r="U920" s="3"/>
      <c r="V920" s="3"/>
      <c r="W920" s="3"/>
      <c r="X920" s="3"/>
      <c r="Y920" s="3"/>
    </row>
    <row r="921">
      <c r="A921" s="7"/>
      <c r="B921" s="6"/>
      <c r="C921" s="6"/>
      <c r="D921" s="3"/>
      <c r="E921" s="3"/>
      <c r="F921" s="3"/>
      <c r="G921" s="3"/>
      <c r="H921" s="3"/>
      <c r="I921" s="3"/>
      <c r="J921" s="3"/>
      <c r="K921" s="3"/>
      <c r="L921" s="3"/>
      <c r="M921" s="3"/>
      <c r="N921" s="3"/>
      <c r="O921" s="3"/>
      <c r="P921" s="3"/>
      <c r="Q921" s="3"/>
      <c r="R921" s="3"/>
      <c r="S921" s="3"/>
      <c r="T921" s="3"/>
      <c r="U921" s="3"/>
      <c r="V921" s="3"/>
      <c r="W921" s="3"/>
      <c r="X921" s="3"/>
      <c r="Y921" s="3"/>
    </row>
    <row r="922">
      <c r="A922" s="7"/>
      <c r="B922" s="6"/>
      <c r="C922" s="6"/>
      <c r="D922" s="3"/>
      <c r="E922" s="3"/>
      <c r="F922" s="3"/>
      <c r="G922" s="3"/>
      <c r="H922" s="3"/>
      <c r="I922" s="3"/>
      <c r="J922" s="3"/>
      <c r="K922" s="3"/>
      <c r="L922" s="3"/>
      <c r="M922" s="3"/>
      <c r="N922" s="3"/>
      <c r="O922" s="3"/>
      <c r="P922" s="3"/>
      <c r="Q922" s="3"/>
      <c r="R922" s="3"/>
      <c r="S922" s="3"/>
      <c r="T922" s="3"/>
      <c r="U922" s="3"/>
      <c r="V922" s="3"/>
      <c r="W922" s="3"/>
      <c r="X922" s="3"/>
      <c r="Y922" s="3"/>
    </row>
    <row r="923">
      <c r="A923" s="7"/>
      <c r="B923" s="6"/>
      <c r="C923" s="6"/>
      <c r="D923" s="3"/>
      <c r="E923" s="3"/>
      <c r="F923" s="3"/>
      <c r="G923" s="3"/>
      <c r="H923" s="3"/>
      <c r="I923" s="3"/>
      <c r="J923" s="3"/>
      <c r="K923" s="3"/>
      <c r="L923" s="3"/>
      <c r="M923" s="3"/>
      <c r="N923" s="3"/>
      <c r="O923" s="3"/>
      <c r="P923" s="3"/>
      <c r="Q923" s="3"/>
      <c r="R923" s="3"/>
      <c r="S923" s="3"/>
      <c r="T923" s="3"/>
      <c r="U923" s="3"/>
      <c r="V923" s="3"/>
      <c r="W923" s="3"/>
      <c r="X923" s="3"/>
      <c r="Y923" s="3"/>
    </row>
    <row r="924">
      <c r="A924" s="7"/>
      <c r="B924" s="6"/>
      <c r="C924" s="6"/>
      <c r="D924" s="3"/>
      <c r="E924" s="3"/>
      <c r="F924" s="3"/>
      <c r="G924" s="3"/>
      <c r="H924" s="3"/>
      <c r="I924" s="3"/>
      <c r="J924" s="3"/>
      <c r="K924" s="3"/>
      <c r="L924" s="3"/>
      <c r="M924" s="3"/>
      <c r="N924" s="3"/>
      <c r="O924" s="3"/>
      <c r="P924" s="3"/>
      <c r="Q924" s="3"/>
      <c r="R924" s="3"/>
      <c r="S924" s="3"/>
      <c r="T924" s="3"/>
      <c r="U924" s="3"/>
      <c r="V924" s="3"/>
      <c r="W924" s="3"/>
      <c r="X924" s="3"/>
      <c r="Y924" s="3"/>
    </row>
    <row r="925">
      <c r="A925" s="7"/>
      <c r="B925" s="6"/>
      <c r="C925" s="6"/>
      <c r="D925" s="3"/>
      <c r="E925" s="3"/>
      <c r="F925" s="3"/>
      <c r="G925" s="3"/>
      <c r="H925" s="3"/>
      <c r="I925" s="3"/>
      <c r="J925" s="3"/>
      <c r="K925" s="3"/>
      <c r="L925" s="3"/>
      <c r="M925" s="3"/>
      <c r="N925" s="3"/>
      <c r="O925" s="3"/>
      <c r="P925" s="3"/>
      <c r="Q925" s="3"/>
      <c r="R925" s="3"/>
      <c r="S925" s="3"/>
      <c r="T925" s="3"/>
      <c r="U925" s="3"/>
      <c r="V925" s="3"/>
      <c r="W925" s="3"/>
      <c r="X925" s="3"/>
      <c r="Y925" s="3"/>
    </row>
    <row r="926">
      <c r="A926" s="7"/>
      <c r="B926" s="6"/>
      <c r="C926" s="6"/>
      <c r="D926" s="3"/>
      <c r="E926" s="3"/>
      <c r="F926" s="3"/>
      <c r="G926" s="3"/>
      <c r="H926" s="3"/>
      <c r="I926" s="3"/>
      <c r="J926" s="3"/>
      <c r="K926" s="3"/>
      <c r="L926" s="3"/>
      <c r="M926" s="3"/>
      <c r="N926" s="3"/>
      <c r="O926" s="3"/>
      <c r="P926" s="3"/>
      <c r="Q926" s="3"/>
      <c r="R926" s="3"/>
      <c r="S926" s="3"/>
      <c r="T926" s="3"/>
      <c r="U926" s="3"/>
      <c r="V926" s="3"/>
      <c r="W926" s="3"/>
      <c r="X926" s="3"/>
      <c r="Y926" s="3"/>
    </row>
    <row r="927">
      <c r="A927" s="7"/>
      <c r="B927" s="6"/>
      <c r="C927" s="6"/>
      <c r="D927" s="3"/>
      <c r="E927" s="3"/>
      <c r="F927" s="3"/>
      <c r="G927" s="3"/>
      <c r="H927" s="3"/>
      <c r="I927" s="3"/>
      <c r="J927" s="3"/>
      <c r="K927" s="3"/>
      <c r="L927" s="3"/>
      <c r="M927" s="3"/>
      <c r="N927" s="3"/>
      <c r="O927" s="3"/>
      <c r="P927" s="3"/>
      <c r="Q927" s="3"/>
      <c r="R927" s="3"/>
      <c r="S927" s="3"/>
      <c r="T927" s="3"/>
      <c r="U927" s="3"/>
      <c r="V927" s="3"/>
      <c r="W927" s="3"/>
      <c r="X927" s="3"/>
      <c r="Y927" s="3"/>
    </row>
    <row r="928">
      <c r="A928" s="7"/>
      <c r="B928" s="6"/>
      <c r="C928" s="6"/>
      <c r="D928" s="3"/>
      <c r="E928" s="3"/>
      <c r="F928" s="3"/>
      <c r="G928" s="3"/>
      <c r="H928" s="3"/>
      <c r="I928" s="3"/>
      <c r="J928" s="3"/>
      <c r="K928" s="3"/>
      <c r="L928" s="3"/>
      <c r="M928" s="3"/>
      <c r="N928" s="3"/>
      <c r="O928" s="3"/>
      <c r="P928" s="3"/>
      <c r="Q928" s="3"/>
      <c r="R928" s="3"/>
      <c r="S928" s="3"/>
      <c r="T928" s="3"/>
      <c r="U928" s="3"/>
      <c r="V928" s="3"/>
      <c r="W928" s="3"/>
      <c r="X928" s="3"/>
      <c r="Y928" s="3"/>
    </row>
    <row r="929">
      <c r="A929" s="7"/>
      <c r="B929" s="6"/>
      <c r="C929" s="6"/>
      <c r="D929" s="3"/>
      <c r="E929" s="3"/>
      <c r="F929" s="3"/>
      <c r="G929" s="3"/>
      <c r="H929" s="3"/>
      <c r="I929" s="3"/>
      <c r="J929" s="3"/>
      <c r="K929" s="3"/>
      <c r="L929" s="3"/>
      <c r="M929" s="3"/>
      <c r="N929" s="3"/>
      <c r="O929" s="3"/>
      <c r="P929" s="3"/>
      <c r="Q929" s="3"/>
      <c r="R929" s="3"/>
      <c r="S929" s="3"/>
      <c r="T929" s="3"/>
      <c r="U929" s="3"/>
      <c r="V929" s="3"/>
      <c r="W929" s="3"/>
      <c r="X929" s="3"/>
      <c r="Y929" s="3"/>
    </row>
    <row r="930">
      <c r="A930" s="7"/>
      <c r="B930" s="6"/>
      <c r="C930" s="6"/>
      <c r="D930" s="3"/>
      <c r="E930" s="3"/>
      <c r="F930" s="3"/>
      <c r="G930" s="3"/>
      <c r="H930" s="3"/>
      <c r="I930" s="3"/>
      <c r="J930" s="3"/>
      <c r="K930" s="3"/>
      <c r="L930" s="3"/>
      <c r="M930" s="3"/>
      <c r="N930" s="3"/>
      <c r="O930" s="3"/>
      <c r="P930" s="3"/>
      <c r="Q930" s="3"/>
      <c r="R930" s="3"/>
      <c r="S930" s="3"/>
      <c r="T930" s="3"/>
      <c r="U930" s="3"/>
      <c r="V930" s="3"/>
      <c r="W930" s="3"/>
      <c r="X930" s="3"/>
      <c r="Y930" s="3"/>
    </row>
    <row r="931">
      <c r="A931" s="7"/>
      <c r="B931" s="6"/>
      <c r="C931" s="6"/>
      <c r="D931" s="3"/>
      <c r="E931" s="3"/>
      <c r="F931" s="3"/>
      <c r="G931" s="3"/>
      <c r="H931" s="3"/>
      <c r="I931" s="3"/>
      <c r="J931" s="3"/>
      <c r="K931" s="3"/>
      <c r="L931" s="3"/>
      <c r="M931" s="3"/>
      <c r="N931" s="3"/>
      <c r="O931" s="3"/>
      <c r="P931" s="3"/>
      <c r="Q931" s="3"/>
      <c r="R931" s="3"/>
      <c r="S931" s="3"/>
      <c r="T931" s="3"/>
      <c r="U931" s="3"/>
      <c r="V931" s="3"/>
      <c r="W931" s="3"/>
      <c r="X931" s="3"/>
      <c r="Y931" s="3"/>
    </row>
    <row r="932">
      <c r="A932" s="7"/>
      <c r="B932" s="6"/>
      <c r="C932" s="6"/>
      <c r="D932" s="3"/>
      <c r="E932" s="3"/>
      <c r="F932" s="3"/>
      <c r="G932" s="3"/>
      <c r="H932" s="3"/>
      <c r="I932" s="3"/>
      <c r="J932" s="3"/>
      <c r="K932" s="3"/>
      <c r="L932" s="3"/>
      <c r="M932" s="3"/>
      <c r="N932" s="3"/>
      <c r="O932" s="3"/>
      <c r="P932" s="3"/>
      <c r="Q932" s="3"/>
      <c r="R932" s="3"/>
      <c r="S932" s="3"/>
      <c r="T932" s="3"/>
      <c r="U932" s="3"/>
      <c r="V932" s="3"/>
      <c r="W932" s="3"/>
      <c r="X932" s="3"/>
      <c r="Y932" s="3"/>
    </row>
    <row r="933">
      <c r="A933" s="7"/>
      <c r="B933" s="6"/>
      <c r="C933" s="6"/>
      <c r="D933" s="3"/>
      <c r="E933" s="3"/>
      <c r="F933" s="3"/>
      <c r="G933" s="3"/>
      <c r="H933" s="3"/>
      <c r="I933" s="3"/>
      <c r="J933" s="3"/>
      <c r="K933" s="3"/>
      <c r="L933" s="3"/>
      <c r="M933" s="3"/>
      <c r="N933" s="3"/>
      <c r="O933" s="3"/>
      <c r="P933" s="3"/>
      <c r="Q933" s="3"/>
      <c r="R933" s="3"/>
      <c r="S933" s="3"/>
      <c r="T933" s="3"/>
      <c r="U933" s="3"/>
      <c r="V933" s="3"/>
      <c r="W933" s="3"/>
      <c r="X933" s="3"/>
      <c r="Y933" s="3"/>
    </row>
    <row r="934">
      <c r="A934" s="7"/>
      <c r="B934" s="6"/>
      <c r="C934" s="6"/>
      <c r="D934" s="3"/>
      <c r="E934" s="3"/>
      <c r="F934" s="3"/>
      <c r="G934" s="3"/>
      <c r="H934" s="3"/>
      <c r="I934" s="3"/>
      <c r="J934" s="3"/>
      <c r="K934" s="3"/>
      <c r="L934" s="3"/>
      <c r="M934" s="3"/>
      <c r="N934" s="3"/>
      <c r="O934" s="3"/>
      <c r="P934" s="3"/>
      <c r="Q934" s="3"/>
      <c r="R934" s="3"/>
      <c r="S934" s="3"/>
      <c r="T934" s="3"/>
      <c r="U934" s="3"/>
      <c r="V934" s="3"/>
      <c r="W934" s="3"/>
      <c r="X934" s="3"/>
      <c r="Y934" s="3"/>
    </row>
    <row r="935">
      <c r="A935" s="7"/>
      <c r="B935" s="6"/>
      <c r="C935" s="6"/>
      <c r="D935" s="3"/>
      <c r="E935" s="3"/>
      <c r="F935" s="3"/>
      <c r="G935" s="3"/>
      <c r="H935" s="3"/>
      <c r="I935" s="3"/>
      <c r="J935" s="3"/>
      <c r="K935" s="3"/>
      <c r="L935" s="3"/>
      <c r="M935" s="3"/>
      <c r="N935" s="3"/>
      <c r="O935" s="3"/>
      <c r="P935" s="3"/>
      <c r="Q935" s="3"/>
      <c r="R935" s="3"/>
      <c r="S935" s="3"/>
      <c r="T935" s="3"/>
      <c r="U935" s="3"/>
      <c r="V935" s="3"/>
      <c r="W935" s="3"/>
      <c r="X935" s="3"/>
      <c r="Y935" s="3"/>
    </row>
    <row r="936">
      <c r="A936" s="7"/>
      <c r="B936" s="6"/>
      <c r="C936" s="6"/>
      <c r="D936" s="3"/>
      <c r="E936" s="3"/>
      <c r="F936" s="3"/>
      <c r="G936" s="3"/>
      <c r="H936" s="3"/>
      <c r="I936" s="3"/>
      <c r="J936" s="3"/>
      <c r="K936" s="3"/>
      <c r="L936" s="3"/>
      <c r="M936" s="3"/>
      <c r="N936" s="3"/>
      <c r="O936" s="3"/>
      <c r="P936" s="3"/>
      <c r="Q936" s="3"/>
      <c r="R936" s="3"/>
      <c r="S936" s="3"/>
      <c r="T936" s="3"/>
      <c r="U936" s="3"/>
      <c r="V936" s="3"/>
      <c r="W936" s="3"/>
      <c r="X936" s="3"/>
      <c r="Y936" s="3"/>
    </row>
    <row r="937">
      <c r="A937" s="7"/>
      <c r="B937" s="6"/>
      <c r="C937" s="6"/>
      <c r="D937" s="3"/>
      <c r="E937" s="3"/>
      <c r="F937" s="3"/>
      <c r="G937" s="3"/>
      <c r="H937" s="3"/>
      <c r="I937" s="3"/>
      <c r="J937" s="3"/>
      <c r="K937" s="3"/>
      <c r="L937" s="3"/>
      <c r="M937" s="3"/>
      <c r="N937" s="3"/>
      <c r="O937" s="3"/>
      <c r="P937" s="3"/>
      <c r="Q937" s="3"/>
      <c r="R937" s="3"/>
      <c r="S937" s="3"/>
      <c r="T937" s="3"/>
      <c r="U937" s="3"/>
      <c r="V937" s="3"/>
      <c r="W937" s="3"/>
      <c r="X937" s="3"/>
      <c r="Y937" s="3"/>
    </row>
    <row r="938">
      <c r="A938" s="7"/>
      <c r="B938" s="6"/>
      <c r="C938" s="6"/>
      <c r="D938" s="3"/>
      <c r="E938" s="3"/>
      <c r="F938" s="3"/>
      <c r="G938" s="3"/>
      <c r="H938" s="3"/>
      <c r="I938" s="3"/>
      <c r="J938" s="3"/>
      <c r="K938" s="3"/>
      <c r="L938" s="3"/>
      <c r="M938" s="3"/>
      <c r="N938" s="3"/>
      <c r="O938" s="3"/>
      <c r="P938" s="3"/>
      <c r="Q938" s="3"/>
      <c r="R938" s="3"/>
      <c r="S938" s="3"/>
      <c r="T938" s="3"/>
      <c r="U938" s="3"/>
      <c r="V938" s="3"/>
      <c r="W938" s="3"/>
      <c r="X938" s="3"/>
      <c r="Y938" s="3"/>
    </row>
    <row r="939">
      <c r="A939" s="7"/>
      <c r="B939" s="6"/>
      <c r="C939" s="6"/>
      <c r="D939" s="3"/>
      <c r="E939" s="3"/>
      <c r="F939" s="3"/>
      <c r="G939" s="3"/>
      <c r="H939" s="3"/>
      <c r="I939" s="3"/>
      <c r="J939" s="3"/>
      <c r="K939" s="3"/>
      <c r="L939" s="3"/>
      <c r="M939" s="3"/>
      <c r="N939" s="3"/>
      <c r="O939" s="3"/>
      <c r="P939" s="3"/>
      <c r="Q939" s="3"/>
      <c r="R939" s="3"/>
      <c r="S939" s="3"/>
      <c r="T939" s="3"/>
      <c r="U939" s="3"/>
      <c r="V939" s="3"/>
      <c r="W939" s="3"/>
      <c r="X939" s="3"/>
      <c r="Y939" s="3"/>
    </row>
    <row r="940">
      <c r="A940" s="7"/>
      <c r="B940" s="6"/>
      <c r="C940" s="6"/>
      <c r="D940" s="3"/>
      <c r="E940" s="3"/>
      <c r="F940" s="3"/>
      <c r="G940" s="3"/>
      <c r="H940" s="3"/>
      <c r="I940" s="3"/>
      <c r="J940" s="3"/>
      <c r="K940" s="3"/>
      <c r="L940" s="3"/>
      <c r="M940" s="3"/>
      <c r="N940" s="3"/>
      <c r="O940" s="3"/>
      <c r="P940" s="3"/>
      <c r="Q940" s="3"/>
      <c r="R940" s="3"/>
      <c r="S940" s="3"/>
      <c r="T940" s="3"/>
      <c r="U940" s="3"/>
      <c r="V940" s="3"/>
      <c r="W940" s="3"/>
      <c r="X940" s="3"/>
      <c r="Y940" s="3"/>
    </row>
    <row r="941">
      <c r="A941" s="7"/>
      <c r="B941" s="6"/>
      <c r="C941" s="6"/>
      <c r="D941" s="3"/>
      <c r="E941" s="3"/>
      <c r="F941" s="3"/>
      <c r="G941" s="3"/>
      <c r="H941" s="3"/>
      <c r="I941" s="3"/>
      <c r="J941" s="3"/>
      <c r="K941" s="3"/>
      <c r="L941" s="3"/>
      <c r="M941" s="3"/>
      <c r="N941" s="3"/>
      <c r="O941" s="3"/>
      <c r="P941" s="3"/>
      <c r="Q941" s="3"/>
      <c r="R941" s="3"/>
      <c r="S941" s="3"/>
      <c r="T941" s="3"/>
      <c r="U941" s="3"/>
      <c r="V941" s="3"/>
      <c r="W941" s="3"/>
      <c r="X941" s="3"/>
      <c r="Y941" s="3"/>
    </row>
    <row r="942">
      <c r="A942" s="7"/>
      <c r="B942" s="6"/>
      <c r="C942" s="6"/>
      <c r="D942" s="3"/>
      <c r="E942" s="3"/>
      <c r="F942" s="3"/>
      <c r="G942" s="3"/>
      <c r="H942" s="3"/>
      <c r="I942" s="3"/>
      <c r="J942" s="3"/>
      <c r="K942" s="3"/>
      <c r="L942" s="3"/>
      <c r="M942" s="3"/>
      <c r="N942" s="3"/>
      <c r="O942" s="3"/>
      <c r="P942" s="3"/>
      <c r="Q942" s="3"/>
      <c r="R942" s="3"/>
      <c r="S942" s="3"/>
      <c r="T942" s="3"/>
      <c r="U942" s="3"/>
      <c r="V942" s="3"/>
      <c r="W942" s="3"/>
      <c r="X942" s="3"/>
      <c r="Y942" s="3"/>
    </row>
    <row r="943">
      <c r="A943" s="7"/>
      <c r="B943" s="6"/>
      <c r="C943" s="6"/>
      <c r="D943" s="3"/>
      <c r="E943" s="3"/>
      <c r="F943" s="3"/>
      <c r="G943" s="3"/>
      <c r="H943" s="3"/>
      <c r="I943" s="3"/>
      <c r="J943" s="3"/>
      <c r="K943" s="3"/>
      <c r="L943" s="3"/>
      <c r="M943" s="3"/>
      <c r="N943" s="3"/>
      <c r="O943" s="3"/>
      <c r="P943" s="3"/>
      <c r="Q943" s="3"/>
      <c r="R943" s="3"/>
      <c r="S943" s="3"/>
      <c r="T943" s="3"/>
      <c r="U943" s="3"/>
      <c r="V943" s="3"/>
      <c r="W943" s="3"/>
      <c r="X943" s="3"/>
      <c r="Y943" s="3"/>
    </row>
    <row r="944">
      <c r="A944" s="7"/>
      <c r="B944" s="6"/>
      <c r="C944" s="6"/>
      <c r="D944" s="3"/>
      <c r="E944" s="3"/>
      <c r="F944" s="3"/>
      <c r="G944" s="3"/>
      <c r="H944" s="3"/>
      <c r="I944" s="3"/>
      <c r="J944" s="3"/>
      <c r="K944" s="3"/>
      <c r="L944" s="3"/>
      <c r="M944" s="3"/>
      <c r="N944" s="3"/>
      <c r="O944" s="3"/>
      <c r="P944" s="3"/>
      <c r="Q944" s="3"/>
      <c r="R944" s="3"/>
      <c r="S944" s="3"/>
      <c r="T944" s="3"/>
      <c r="U944" s="3"/>
      <c r="V944" s="3"/>
      <c r="W944" s="3"/>
      <c r="X944" s="3"/>
      <c r="Y944" s="3"/>
    </row>
    <row r="945">
      <c r="A945" s="7"/>
      <c r="B945" s="6"/>
      <c r="C945" s="6"/>
      <c r="D945" s="3"/>
      <c r="E945" s="3"/>
      <c r="F945" s="3"/>
      <c r="G945" s="3"/>
      <c r="H945" s="3"/>
      <c r="I945" s="3"/>
      <c r="J945" s="3"/>
      <c r="K945" s="3"/>
      <c r="L945" s="3"/>
      <c r="M945" s="3"/>
      <c r="N945" s="3"/>
      <c r="O945" s="3"/>
      <c r="P945" s="3"/>
      <c r="Q945" s="3"/>
      <c r="R945" s="3"/>
      <c r="S945" s="3"/>
      <c r="T945" s="3"/>
      <c r="U945" s="3"/>
      <c r="V945" s="3"/>
      <c r="W945" s="3"/>
      <c r="X945" s="3"/>
      <c r="Y945" s="3"/>
    </row>
    <row r="946">
      <c r="A946" s="7"/>
      <c r="B946" s="6"/>
      <c r="C946" s="6"/>
      <c r="D946" s="3"/>
      <c r="E946" s="3"/>
      <c r="F946" s="3"/>
      <c r="G946" s="3"/>
      <c r="H946" s="3"/>
      <c r="I946" s="3"/>
      <c r="J946" s="3"/>
      <c r="K946" s="3"/>
      <c r="L946" s="3"/>
      <c r="M946" s="3"/>
      <c r="N946" s="3"/>
      <c r="O946" s="3"/>
      <c r="P946" s="3"/>
      <c r="Q946" s="3"/>
      <c r="R946" s="3"/>
      <c r="S946" s="3"/>
      <c r="T946" s="3"/>
      <c r="U946" s="3"/>
      <c r="V946" s="3"/>
      <c r="W946" s="3"/>
      <c r="X946" s="3"/>
      <c r="Y946" s="3"/>
    </row>
    <row r="947">
      <c r="A947" s="7"/>
      <c r="B947" s="6"/>
      <c r="C947" s="6"/>
      <c r="D947" s="3"/>
      <c r="E947" s="3"/>
      <c r="F947" s="3"/>
      <c r="G947" s="3"/>
      <c r="H947" s="3"/>
      <c r="I947" s="3"/>
      <c r="J947" s="3"/>
      <c r="K947" s="3"/>
      <c r="L947" s="3"/>
      <c r="M947" s="3"/>
      <c r="N947" s="3"/>
      <c r="O947" s="3"/>
      <c r="P947" s="3"/>
      <c r="Q947" s="3"/>
      <c r="R947" s="3"/>
      <c r="S947" s="3"/>
      <c r="T947" s="3"/>
      <c r="U947" s="3"/>
      <c r="V947" s="3"/>
      <c r="W947" s="3"/>
      <c r="X947" s="3"/>
      <c r="Y947" s="3"/>
    </row>
    <row r="948">
      <c r="A948" s="7"/>
      <c r="B948" s="6"/>
      <c r="C948" s="6"/>
      <c r="D948" s="3"/>
      <c r="E948" s="3"/>
      <c r="F948" s="3"/>
      <c r="G948" s="3"/>
      <c r="H948" s="3"/>
      <c r="I948" s="3"/>
      <c r="J948" s="3"/>
      <c r="K948" s="3"/>
      <c r="L948" s="3"/>
      <c r="M948" s="3"/>
      <c r="N948" s="3"/>
      <c r="O948" s="3"/>
      <c r="P948" s="3"/>
      <c r="Q948" s="3"/>
      <c r="R948" s="3"/>
      <c r="S948" s="3"/>
      <c r="T948" s="3"/>
      <c r="U948" s="3"/>
      <c r="V948" s="3"/>
      <c r="W948" s="3"/>
      <c r="X948" s="3"/>
      <c r="Y948" s="3"/>
    </row>
    <row r="949">
      <c r="A949" s="7"/>
      <c r="B949" s="6"/>
      <c r="C949" s="6"/>
      <c r="D949" s="3"/>
      <c r="E949" s="3"/>
      <c r="F949" s="3"/>
      <c r="G949" s="3"/>
      <c r="H949" s="3"/>
      <c r="I949" s="3"/>
      <c r="J949" s="3"/>
      <c r="K949" s="3"/>
      <c r="L949" s="3"/>
      <c r="M949" s="3"/>
      <c r="N949" s="3"/>
      <c r="O949" s="3"/>
      <c r="P949" s="3"/>
      <c r="Q949" s="3"/>
      <c r="R949" s="3"/>
      <c r="S949" s="3"/>
      <c r="T949" s="3"/>
      <c r="U949" s="3"/>
      <c r="V949" s="3"/>
      <c r="W949" s="3"/>
      <c r="X949" s="3"/>
      <c r="Y949" s="3"/>
    </row>
    <row r="950">
      <c r="A950" s="7"/>
      <c r="B950" s="6"/>
      <c r="C950" s="6"/>
      <c r="D950" s="3"/>
      <c r="E950" s="3"/>
      <c r="F950" s="3"/>
      <c r="G950" s="3"/>
      <c r="H950" s="3"/>
      <c r="I950" s="3"/>
      <c r="J950" s="3"/>
      <c r="K950" s="3"/>
      <c r="L950" s="3"/>
      <c r="M950" s="3"/>
      <c r="N950" s="3"/>
      <c r="O950" s="3"/>
      <c r="P950" s="3"/>
      <c r="Q950" s="3"/>
      <c r="R950" s="3"/>
      <c r="S950" s="3"/>
      <c r="T950" s="3"/>
      <c r="U950" s="3"/>
      <c r="V950" s="3"/>
      <c r="W950" s="3"/>
      <c r="X950" s="3"/>
      <c r="Y950" s="3"/>
    </row>
    <row r="951">
      <c r="A951" s="7"/>
      <c r="B951" s="6"/>
      <c r="C951" s="6"/>
      <c r="D951" s="3"/>
      <c r="E951" s="3"/>
      <c r="F951" s="3"/>
      <c r="G951" s="3"/>
      <c r="H951" s="3"/>
      <c r="I951" s="3"/>
      <c r="J951" s="3"/>
      <c r="K951" s="3"/>
      <c r="L951" s="3"/>
      <c r="M951" s="3"/>
      <c r="N951" s="3"/>
      <c r="O951" s="3"/>
      <c r="P951" s="3"/>
      <c r="Q951" s="3"/>
      <c r="R951" s="3"/>
      <c r="S951" s="3"/>
      <c r="T951" s="3"/>
      <c r="U951" s="3"/>
      <c r="V951" s="3"/>
      <c r="W951" s="3"/>
      <c r="X951" s="3"/>
      <c r="Y951" s="3"/>
    </row>
    <row r="952">
      <c r="A952" s="7"/>
      <c r="B952" s="6"/>
      <c r="C952" s="6"/>
      <c r="D952" s="3"/>
      <c r="E952" s="3"/>
      <c r="F952" s="3"/>
      <c r="G952" s="3"/>
      <c r="H952" s="3"/>
      <c r="I952" s="3"/>
      <c r="J952" s="3"/>
      <c r="K952" s="3"/>
      <c r="L952" s="3"/>
      <c r="M952" s="3"/>
      <c r="N952" s="3"/>
      <c r="O952" s="3"/>
      <c r="P952" s="3"/>
      <c r="Q952" s="3"/>
      <c r="R952" s="3"/>
      <c r="S952" s="3"/>
      <c r="T952" s="3"/>
      <c r="U952" s="3"/>
      <c r="V952" s="3"/>
      <c r="W952" s="3"/>
      <c r="X952" s="3"/>
      <c r="Y952" s="3"/>
    </row>
    <row r="953">
      <c r="A953" s="7"/>
      <c r="B953" s="6"/>
      <c r="C953" s="6"/>
      <c r="D953" s="3"/>
      <c r="E953" s="3"/>
      <c r="F953" s="3"/>
      <c r="G953" s="3"/>
      <c r="H953" s="3"/>
      <c r="I953" s="3"/>
      <c r="J953" s="3"/>
      <c r="K953" s="3"/>
      <c r="L953" s="3"/>
      <c r="M953" s="3"/>
      <c r="N953" s="3"/>
      <c r="O953" s="3"/>
      <c r="P953" s="3"/>
      <c r="Q953" s="3"/>
      <c r="R953" s="3"/>
      <c r="S953" s="3"/>
      <c r="T953" s="3"/>
      <c r="U953" s="3"/>
      <c r="V953" s="3"/>
      <c r="W953" s="3"/>
      <c r="X953" s="3"/>
      <c r="Y953" s="3"/>
    </row>
    <row r="954">
      <c r="A954" s="7"/>
      <c r="B954" s="6"/>
      <c r="C954" s="6"/>
      <c r="D954" s="3"/>
      <c r="E954" s="3"/>
      <c r="F954" s="3"/>
      <c r="G954" s="3"/>
      <c r="H954" s="3"/>
      <c r="I954" s="3"/>
      <c r="J954" s="3"/>
      <c r="K954" s="3"/>
      <c r="L954" s="3"/>
      <c r="M954" s="3"/>
      <c r="N954" s="3"/>
      <c r="O954" s="3"/>
      <c r="P954" s="3"/>
      <c r="Q954" s="3"/>
      <c r="R954" s="3"/>
      <c r="S954" s="3"/>
      <c r="T954" s="3"/>
      <c r="U954" s="3"/>
      <c r="V954" s="3"/>
      <c r="W954" s="3"/>
      <c r="X954" s="3"/>
      <c r="Y954" s="3"/>
    </row>
    <row r="955">
      <c r="A955" s="7"/>
      <c r="B955" s="6"/>
      <c r="C955" s="6"/>
      <c r="D955" s="3"/>
      <c r="E955" s="3"/>
      <c r="F955" s="3"/>
      <c r="G955" s="3"/>
      <c r="H955" s="3"/>
      <c r="I955" s="3"/>
      <c r="J955" s="3"/>
      <c r="K955" s="3"/>
      <c r="L955" s="3"/>
      <c r="M955" s="3"/>
      <c r="N955" s="3"/>
      <c r="O955" s="3"/>
      <c r="P955" s="3"/>
      <c r="Q955" s="3"/>
      <c r="R955" s="3"/>
      <c r="S955" s="3"/>
      <c r="T955" s="3"/>
      <c r="U955" s="3"/>
      <c r="V955" s="3"/>
      <c r="W955" s="3"/>
      <c r="X955" s="3"/>
      <c r="Y955" s="3"/>
    </row>
    <row r="956">
      <c r="A956" s="7"/>
      <c r="B956" s="6"/>
      <c r="C956" s="6"/>
      <c r="D956" s="3"/>
      <c r="E956" s="3"/>
      <c r="F956" s="3"/>
      <c r="G956" s="3"/>
      <c r="H956" s="3"/>
      <c r="I956" s="3"/>
      <c r="J956" s="3"/>
      <c r="K956" s="3"/>
      <c r="L956" s="3"/>
      <c r="M956" s="3"/>
      <c r="N956" s="3"/>
      <c r="O956" s="3"/>
      <c r="P956" s="3"/>
      <c r="Q956" s="3"/>
      <c r="R956" s="3"/>
      <c r="S956" s="3"/>
      <c r="T956" s="3"/>
      <c r="U956" s="3"/>
      <c r="V956" s="3"/>
      <c r="W956" s="3"/>
      <c r="X956" s="3"/>
      <c r="Y956" s="3"/>
    </row>
    <row r="957">
      <c r="A957" s="7"/>
      <c r="B957" s="6"/>
      <c r="C957" s="6"/>
      <c r="D957" s="3"/>
      <c r="E957" s="3"/>
      <c r="F957" s="3"/>
      <c r="G957" s="3"/>
      <c r="H957" s="3"/>
      <c r="I957" s="3"/>
      <c r="J957" s="3"/>
      <c r="K957" s="3"/>
      <c r="L957" s="3"/>
      <c r="M957" s="3"/>
      <c r="N957" s="3"/>
      <c r="O957" s="3"/>
      <c r="P957" s="3"/>
      <c r="Q957" s="3"/>
      <c r="R957" s="3"/>
      <c r="S957" s="3"/>
      <c r="T957" s="3"/>
      <c r="U957" s="3"/>
      <c r="V957" s="3"/>
      <c r="W957" s="3"/>
      <c r="X957" s="3"/>
      <c r="Y957" s="3"/>
    </row>
    <row r="958">
      <c r="A958" s="7"/>
      <c r="B958" s="6"/>
      <c r="C958" s="6"/>
      <c r="D958" s="3"/>
      <c r="E958" s="3"/>
      <c r="F958" s="3"/>
      <c r="G958" s="3"/>
      <c r="H958" s="3"/>
      <c r="I958" s="3"/>
      <c r="J958" s="3"/>
      <c r="K958" s="3"/>
      <c r="L958" s="3"/>
      <c r="M958" s="3"/>
      <c r="N958" s="3"/>
      <c r="O958" s="3"/>
      <c r="P958" s="3"/>
      <c r="Q958" s="3"/>
      <c r="R958" s="3"/>
      <c r="S958" s="3"/>
      <c r="T958" s="3"/>
      <c r="U958" s="3"/>
      <c r="V958" s="3"/>
      <c r="W958" s="3"/>
      <c r="X958" s="3"/>
      <c r="Y958" s="3"/>
    </row>
    <row r="959">
      <c r="A959" s="7"/>
      <c r="B959" s="6"/>
      <c r="C959" s="6"/>
      <c r="D959" s="3"/>
      <c r="E959" s="3"/>
      <c r="F959" s="3"/>
      <c r="G959" s="3"/>
      <c r="H959" s="3"/>
      <c r="I959" s="3"/>
      <c r="J959" s="3"/>
      <c r="K959" s="3"/>
      <c r="L959" s="3"/>
      <c r="M959" s="3"/>
      <c r="N959" s="3"/>
      <c r="O959" s="3"/>
      <c r="P959" s="3"/>
      <c r="Q959" s="3"/>
      <c r="R959" s="3"/>
      <c r="S959" s="3"/>
      <c r="T959" s="3"/>
      <c r="U959" s="3"/>
      <c r="V959" s="3"/>
      <c r="W959" s="3"/>
      <c r="X959" s="3"/>
      <c r="Y959" s="3"/>
    </row>
    <row r="960">
      <c r="A960" s="7"/>
      <c r="B960" s="6"/>
      <c r="C960" s="6"/>
      <c r="D960" s="3"/>
      <c r="E960" s="3"/>
      <c r="F960" s="3"/>
      <c r="G960" s="3"/>
      <c r="H960" s="3"/>
      <c r="I960" s="3"/>
      <c r="J960" s="3"/>
      <c r="K960" s="3"/>
      <c r="L960" s="3"/>
      <c r="M960" s="3"/>
      <c r="N960" s="3"/>
      <c r="O960" s="3"/>
      <c r="P960" s="3"/>
      <c r="Q960" s="3"/>
      <c r="R960" s="3"/>
      <c r="S960" s="3"/>
      <c r="T960" s="3"/>
      <c r="U960" s="3"/>
      <c r="V960" s="3"/>
      <c r="W960" s="3"/>
      <c r="X960" s="3"/>
      <c r="Y960" s="3"/>
    </row>
    <row r="961">
      <c r="A961" s="7"/>
      <c r="B961" s="6"/>
      <c r="C961" s="6"/>
      <c r="D961" s="3"/>
      <c r="E961" s="3"/>
      <c r="F961" s="3"/>
      <c r="G961" s="3"/>
      <c r="H961" s="3"/>
      <c r="I961" s="3"/>
      <c r="J961" s="3"/>
      <c r="K961" s="3"/>
      <c r="L961" s="3"/>
      <c r="M961" s="3"/>
      <c r="N961" s="3"/>
      <c r="O961" s="3"/>
      <c r="P961" s="3"/>
      <c r="Q961" s="3"/>
      <c r="R961" s="3"/>
      <c r="S961" s="3"/>
      <c r="T961" s="3"/>
      <c r="U961" s="3"/>
      <c r="V961" s="3"/>
      <c r="W961" s="3"/>
      <c r="X961" s="3"/>
      <c r="Y961" s="3"/>
    </row>
    <row r="962">
      <c r="A962" s="7"/>
      <c r="B962" s="6"/>
      <c r="C962" s="6"/>
      <c r="D962" s="3"/>
      <c r="E962" s="3"/>
      <c r="F962" s="3"/>
      <c r="G962" s="3"/>
      <c r="H962" s="3"/>
      <c r="I962" s="3"/>
      <c r="J962" s="3"/>
      <c r="K962" s="3"/>
      <c r="L962" s="3"/>
      <c r="M962" s="3"/>
      <c r="N962" s="3"/>
      <c r="O962" s="3"/>
      <c r="P962" s="3"/>
      <c r="Q962" s="3"/>
      <c r="R962" s="3"/>
      <c r="S962" s="3"/>
      <c r="T962" s="3"/>
      <c r="U962" s="3"/>
      <c r="V962" s="3"/>
      <c r="W962" s="3"/>
      <c r="X962" s="3"/>
      <c r="Y962" s="3"/>
    </row>
    <row r="963">
      <c r="A963" s="7"/>
      <c r="B963" s="6"/>
      <c r="C963" s="6"/>
      <c r="D963" s="3"/>
      <c r="E963" s="3"/>
      <c r="F963" s="3"/>
      <c r="G963" s="3"/>
      <c r="H963" s="3"/>
      <c r="I963" s="3"/>
      <c r="J963" s="3"/>
      <c r="K963" s="3"/>
      <c r="L963" s="3"/>
      <c r="M963" s="3"/>
      <c r="N963" s="3"/>
      <c r="O963" s="3"/>
      <c r="P963" s="3"/>
      <c r="Q963" s="3"/>
      <c r="R963" s="3"/>
      <c r="S963" s="3"/>
      <c r="T963" s="3"/>
      <c r="U963" s="3"/>
      <c r="V963" s="3"/>
      <c r="W963" s="3"/>
      <c r="X963" s="3"/>
      <c r="Y963" s="3"/>
    </row>
    <row r="964">
      <c r="A964" s="7"/>
      <c r="B964" s="6"/>
      <c r="C964" s="6"/>
      <c r="D964" s="3"/>
      <c r="E964" s="3"/>
      <c r="F964" s="3"/>
      <c r="G964" s="3"/>
      <c r="H964" s="3"/>
      <c r="I964" s="3"/>
      <c r="J964" s="3"/>
      <c r="K964" s="3"/>
      <c r="L964" s="3"/>
      <c r="M964" s="3"/>
      <c r="N964" s="3"/>
      <c r="O964" s="3"/>
      <c r="P964" s="3"/>
      <c r="Q964" s="3"/>
      <c r="R964" s="3"/>
      <c r="S964" s="3"/>
      <c r="T964" s="3"/>
      <c r="U964" s="3"/>
      <c r="V964" s="3"/>
      <c r="W964" s="3"/>
      <c r="X964" s="3"/>
      <c r="Y964" s="3"/>
    </row>
    <row r="965">
      <c r="A965" s="7"/>
      <c r="B965" s="6"/>
      <c r="C965" s="6"/>
      <c r="D965" s="3"/>
      <c r="E965" s="3"/>
      <c r="F965" s="3"/>
      <c r="G965" s="3"/>
      <c r="H965" s="3"/>
      <c r="I965" s="3"/>
      <c r="J965" s="3"/>
      <c r="K965" s="3"/>
      <c r="L965" s="3"/>
      <c r="M965" s="3"/>
      <c r="N965" s="3"/>
      <c r="O965" s="3"/>
      <c r="P965" s="3"/>
      <c r="Q965" s="3"/>
      <c r="R965" s="3"/>
      <c r="S965" s="3"/>
      <c r="T965" s="3"/>
      <c r="U965" s="3"/>
      <c r="V965" s="3"/>
      <c r="W965" s="3"/>
      <c r="X965" s="3"/>
      <c r="Y965" s="3"/>
    </row>
    <row r="966">
      <c r="A966" s="7"/>
      <c r="B966" s="6"/>
      <c r="C966" s="6"/>
      <c r="D966" s="3"/>
      <c r="E966" s="3"/>
      <c r="F966" s="3"/>
      <c r="G966" s="3"/>
      <c r="H966" s="3"/>
      <c r="I966" s="3"/>
      <c r="J966" s="3"/>
      <c r="K966" s="3"/>
      <c r="L966" s="3"/>
      <c r="M966" s="3"/>
      <c r="N966" s="3"/>
      <c r="O966" s="3"/>
      <c r="P966" s="3"/>
      <c r="Q966" s="3"/>
      <c r="R966" s="3"/>
      <c r="S966" s="3"/>
      <c r="T966" s="3"/>
      <c r="U966" s="3"/>
      <c r="V966" s="3"/>
      <c r="W966" s="3"/>
      <c r="X966" s="3"/>
      <c r="Y966" s="3"/>
    </row>
    <row r="967">
      <c r="A967" s="7"/>
      <c r="B967" s="6"/>
      <c r="C967" s="6"/>
      <c r="D967" s="3"/>
      <c r="E967" s="3"/>
      <c r="F967" s="3"/>
      <c r="G967" s="3"/>
      <c r="H967" s="3"/>
      <c r="I967" s="3"/>
      <c r="J967" s="3"/>
      <c r="K967" s="3"/>
      <c r="L967" s="3"/>
      <c r="M967" s="3"/>
      <c r="N967" s="3"/>
      <c r="O967" s="3"/>
      <c r="P967" s="3"/>
      <c r="Q967" s="3"/>
      <c r="R967" s="3"/>
      <c r="S967" s="3"/>
      <c r="T967" s="3"/>
      <c r="U967" s="3"/>
      <c r="V967" s="3"/>
      <c r="W967" s="3"/>
      <c r="X967" s="3"/>
      <c r="Y967" s="3"/>
    </row>
    <row r="968">
      <c r="A968" s="7"/>
      <c r="B968" s="6"/>
      <c r="C968" s="6"/>
      <c r="D968" s="3"/>
      <c r="E968" s="3"/>
      <c r="F968" s="3"/>
      <c r="G968" s="3"/>
      <c r="H968" s="3"/>
      <c r="I968" s="3"/>
      <c r="J968" s="3"/>
      <c r="K968" s="3"/>
      <c r="L968" s="3"/>
      <c r="M968" s="3"/>
      <c r="N968" s="3"/>
      <c r="O968" s="3"/>
      <c r="P968" s="3"/>
      <c r="Q968" s="3"/>
      <c r="R968" s="3"/>
      <c r="S968" s="3"/>
      <c r="T968" s="3"/>
      <c r="U968" s="3"/>
      <c r="V968" s="3"/>
      <c r="W968" s="3"/>
      <c r="X968" s="3"/>
      <c r="Y968" s="3"/>
    </row>
    <row r="969">
      <c r="A969" s="7"/>
      <c r="B969" s="6"/>
      <c r="C969" s="6"/>
      <c r="D969" s="3"/>
      <c r="E969" s="3"/>
      <c r="F969" s="3"/>
      <c r="G969" s="3"/>
      <c r="H969" s="3"/>
      <c r="I969" s="3"/>
      <c r="J969" s="3"/>
      <c r="K969" s="3"/>
      <c r="L969" s="3"/>
      <c r="M969" s="3"/>
      <c r="N969" s="3"/>
      <c r="O969" s="3"/>
      <c r="P969" s="3"/>
      <c r="Q969" s="3"/>
      <c r="R969" s="3"/>
      <c r="S969" s="3"/>
      <c r="T969" s="3"/>
      <c r="U969" s="3"/>
      <c r="V969" s="3"/>
      <c r="W969" s="3"/>
      <c r="X969" s="3"/>
      <c r="Y969" s="3"/>
    </row>
    <row r="970">
      <c r="A970" s="7"/>
      <c r="B970" s="6"/>
      <c r="C970" s="6"/>
      <c r="D970" s="3"/>
      <c r="E970" s="3"/>
      <c r="F970" s="3"/>
      <c r="G970" s="3"/>
      <c r="H970" s="3"/>
      <c r="I970" s="3"/>
      <c r="J970" s="3"/>
      <c r="K970" s="3"/>
      <c r="L970" s="3"/>
      <c r="M970" s="3"/>
      <c r="N970" s="3"/>
      <c r="O970" s="3"/>
      <c r="P970" s="3"/>
      <c r="Q970" s="3"/>
      <c r="R970" s="3"/>
      <c r="S970" s="3"/>
      <c r="T970" s="3"/>
      <c r="U970" s="3"/>
      <c r="V970" s="3"/>
      <c r="W970" s="3"/>
      <c r="X970" s="3"/>
      <c r="Y970" s="3"/>
    </row>
    <row r="971">
      <c r="A971" s="7"/>
      <c r="B971" s="6"/>
      <c r="C971" s="6"/>
      <c r="D971" s="3"/>
      <c r="E971" s="3"/>
      <c r="F971" s="3"/>
      <c r="G971" s="3"/>
      <c r="H971" s="3"/>
      <c r="I971" s="3"/>
      <c r="J971" s="3"/>
      <c r="K971" s="3"/>
      <c r="L971" s="3"/>
      <c r="M971" s="3"/>
      <c r="N971" s="3"/>
      <c r="O971" s="3"/>
      <c r="P971" s="3"/>
      <c r="Q971" s="3"/>
      <c r="R971" s="3"/>
      <c r="S971" s="3"/>
      <c r="T971" s="3"/>
      <c r="U971" s="3"/>
      <c r="V971" s="3"/>
      <c r="W971" s="3"/>
      <c r="X971" s="3"/>
      <c r="Y971" s="3"/>
    </row>
    <row r="972">
      <c r="A972" s="7"/>
      <c r="B972" s="6"/>
      <c r="C972" s="6"/>
      <c r="D972" s="3"/>
      <c r="E972" s="3"/>
      <c r="F972" s="3"/>
      <c r="G972" s="3"/>
      <c r="H972" s="3"/>
      <c r="I972" s="3"/>
      <c r="J972" s="3"/>
      <c r="K972" s="3"/>
      <c r="L972" s="3"/>
      <c r="M972" s="3"/>
      <c r="N972" s="3"/>
      <c r="O972" s="3"/>
      <c r="P972" s="3"/>
      <c r="Q972" s="3"/>
      <c r="R972" s="3"/>
      <c r="S972" s="3"/>
      <c r="T972" s="3"/>
      <c r="U972" s="3"/>
      <c r="V972" s="3"/>
      <c r="W972" s="3"/>
      <c r="X972" s="3"/>
      <c r="Y972" s="3"/>
    </row>
    <row r="973">
      <c r="A973" s="7"/>
      <c r="B973" s="6"/>
      <c r="C973" s="6"/>
      <c r="D973" s="3"/>
      <c r="E973" s="3"/>
      <c r="F973" s="3"/>
      <c r="G973" s="3"/>
      <c r="H973" s="3"/>
      <c r="I973" s="3"/>
      <c r="J973" s="3"/>
      <c r="K973" s="3"/>
      <c r="L973" s="3"/>
      <c r="M973" s="3"/>
      <c r="N973" s="3"/>
      <c r="O973" s="3"/>
      <c r="P973" s="3"/>
      <c r="Q973" s="3"/>
      <c r="R973" s="3"/>
      <c r="S973" s="3"/>
      <c r="T973" s="3"/>
      <c r="U973" s="3"/>
      <c r="V973" s="3"/>
      <c r="W973" s="3"/>
      <c r="X973" s="3"/>
      <c r="Y973" s="3"/>
    </row>
    <row r="974">
      <c r="A974" s="7"/>
      <c r="B974" s="6"/>
      <c r="C974" s="6"/>
      <c r="D974" s="3"/>
      <c r="E974" s="3"/>
      <c r="F974" s="3"/>
      <c r="G974" s="3"/>
      <c r="H974" s="3"/>
      <c r="I974" s="3"/>
      <c r="J974" s="3"/>
      <c r="K974" s="3"/>
      <c r="L974" s="3"/>
      <c r="M974" s="3"/>
      <c r="N974" s="3"/>
      <c r="O974" s="3"/>
      <c r="P974" s="3"/>
      <c r="Q974" s="3"/>
      <c r="R974" s="3"/>
      <c r="S974" s="3"/>
      <c r="T974" s="3"/>
      <c r="U974" s="3"/>
      <c r="V974" s="3"/>
      <c r="W974" s="3"/>
      <c r="X974" s="3"/>
      <c r="Y974" s="3"/>
    </row>
    <row r="975">
      <c r="A975" s="7"/>
      <c r="B975" s="6"/>
      <c r="C975" s="6"/>
      <c r="D975" s="3"/>
      <c r="E975" s="3"/>
      <c r="F975" s="3"/>
      <c r="G975" s="3"/>
      <c r="H975" s="3"/>
      <c r="I975" s="3"/>
      <c r="J975" s="3"/>
      <c r="K975" s="3"/>
      <c r="L975" s="3"/>
      <c r="M975" s="3"/>
      <c r="N975" s="3"/>
      <c r="O975" s="3"/>
      <c r="P975" s="3"/>
      <c r="Q975" s="3"/>
      <c r="R975" s="3"/>
      <c r="S975" s="3"/>
      <c r="T975" s="3"/>
      <c r="U975" s="3"/>
      <c r="V975" s="3"/>
      <c r="W975" s="3"/>
      <c r="X975" s="3"/>
      <c r="Y975" s="3"/>
    </row>
    <row r="976">
      <c r="A976" s="7"/>
      <c r="B976" s="6"/>
      <c r="C976" s="6"/>
      <c r="D976" s="3"/>
      <c r="E976" s="3"/>
      <c r="F976" s="3"/>
      <c r="G976" s="3"/>
      <c r="H976" s="3"/>
      <c r="I976" s="3"/>
      <c r="J976" s="3"/>
      <c r="K976" s="3"/>
      <c r="L976" s="3"/>
      <c r="M976" s="3"/>
      <c r="N976" s="3"/>
      <c r="O976" s="3"/>
      <c r="P976" s="3"/>
      <c r="Q976" s="3"/>
      <c r="R976" s="3"/>
      <c r="S976" s="3"/>
      <c r="T976" s="3"/>
      <c r="U976" s="3"/>
      <c r="V976" s="3"/>
      <c r="W976" s="3"/>
      <c r="X976" s="3"/>
      <c r="Y976" s="3"/>
    </row>
    <row r="977">
      <c r="A977" s="7"/>
      <c r="B977" s="6"/>
      <c r="C977" s="6"/>
      <c r="D977" s="3"/>
      <c r="E977" s="3"/>
      <c r="F977" s="3"/>
      <c r="G977" s="3"/>
      <c r="H977" s="3"/>
      <c r="I977" s="3"/>
      <c r="J977" s="3"/>
      <c r="K977" s="3"/>
      <c r="L977" s="3"/>
      <c r="M977" s="3"/>
      <c r="N977" s="3"/>
      <c r="O977" s="3"/>
      <c r="P977" s="3"/>
      <c r="Q977" s="3"/>
      <c r="R977" s="3"/>
      <c r="S977" s="3"/>
      <c r="T977" s="3"/>
      <c r="U977" s="3"/>
      <c r="V977" s="3"/>
      <c r="W977" s="3"/>
      <c r="X977" s="3"/>
      <c r="Y977" s="3"/>
    </row>
    <row r="978">
      <c r="A978" s="7"/>
      <c r="B978" s="6"/>
      <c r="C978" s="6"/>
      <c r="D978" s="3"/>
      <c r="E978" s="3"/>
      <c r="F978" s="3"/>
      <c r="G978" s="3"/>
      <c r="H978" s="3"/>
      <c r="I978" s="3"/>
      <c r="J978" s="3"/>
      <c r="K978" s="3"/>
      <c r="L978" s="3"/>
      <c r="M978" s="3"/>
      <c r="N978" s="3"/>
      <c r="O978" s="3"/>
      <c r="P978" s="3"/>
      <c r="Q978" s="3"/>
      <c r="R978" s="3"/>
      <c r="S978" s="3"/>
      <c r="T978" s="3"/>
      <c r="U978" s="3"/>
      <c r="V978" s="3"/>
      <c r="W978" s="3"/>
      <c r="X978" s="3"/>
      <c r="Y978" s="3"/>
    </row>
    <row r="979">
      <c r="A979" s="7"/>
      <c r="B979" s="6"/>
      <c r="C979" s="6"/>
      <c r="D979" s="3"/>
      <c r="E979" s="3"/>
      <c r="F979" s="3"/>
      <c r="G979" s="3"/>
      <c r="H979" s="3"/>
      <c r="I979" s="3"/>
      <c r="J979" s="3"/>
      <c r="K979" s="3"/>
      <c r="L979" s="3"/>
      <c r="M979" s="3"/>
      <c r="N979" s="3"/>
      <c r="O979" s="3"/>
      <c r="P979" s="3"/>
      <c r="Q979" s="3"/>
      <c r="R979" s="3"/>
      <c r="S979" s="3"/>
      <c r="T979" s="3"/>
      <c r="U979" s="3"/>
      <c r="V979" s="3"/>
      <c r="W979" s="3"/>
      <c r="X979" s="3"/>
      <c r="Y979" s="3"/>
    </row>
    <row r="980">
      <c r="A980" s="7"/>
      <c r="B980" s="6"/>
      <c r="C980" s="6"/>
      <c r="D980" s="3"/>
      <c r="E980" s="3"/>
      <c r="F980" s="3"/>
      <c r="G980" s="3"/>
      <c r="H980" s="3"/>
      <c r="I980" s="3"/>
      <c r="J980" s="3"/>
      <c r="K980" s="3"/>
      <c r="L980" s="3"/>
      <c r="M980" s="3"/>
      <c r="N980" s="3"/>
      <c r="O980" s="3"/>
      <c r="P980" s="3"/>
      <c r="Q980" s="3"/>
      <c r="R980" s="3"/>
      <c r="S980" s="3"/>
      <c r="T980" s="3"/>
      <c r="U980" s="3"/>
      <c r="V980" s="3"/>
      <c r="W980" s="3"/>
      <c r="X980" s="3"/>
      <c r="Y980" s="3"/>
    </row>
    <row r="981">
      <c r="A981" s="7"/>
      <c r="B981" s="6"/>
      <c r="C981" s="6"/>
      <c r="D981" s="3"/>
      <c r="E981" s="3"/>
      <c r="F981" s="3"/>
      <c r="G981" s="3"/>
      <c r="H981" s="3"/>
      <c r="I981" s="3"/>
      <c r="J981" s="3"/>
      <c r="K981" s="3"/>
      <c r="L981" s="3"/>
      <c r="M981" s="3"/>
      <c r="N981" s="3"/>
      <c r="O981" s="3"/>
      <c r="P981" s="3"/>
      <c r="Q981" s="3"/>
      <c r="R981" s="3"/>
      <c r="S981" s="3"/>
      <c r="T981" s="3"/>
      <c r="U981" s="3"/>
      <c r="V981" s="3"/>
      <c r="W981" s="3"/>
      <c r="X981" s="3"/>
      <c r="Y981" s="3"/>
    </row>
    <row r="982">
      <c r="A982" s="7"/>
      <c r="B982" s="6"/>
      <c r="C982" s="6"/>
      <c r="D982" s="3"/>
      <c r="E982" s="3"/>
      <c r="F982" s="3"/>
      <c r="G982" s="3"/>
      <c r="H982" s="3"/>
      <c r="I982" s="3"/>
      <c r="J982" s="3"/>
      <c r="K982" s="3"/>
      <c r="L982" s="3"/>
      <c r="M982" s="3"/>
      <c r="N982" s="3"/>
      <c r="O982" s="3"/>
      <c r="P982" s="3"/>
      <c r="Q982" s="3"/>
      <c r="R982" s="3"/>
      <c r="S982" s="3"/>
      <c r="T982" s="3"/>
      <c r="U982" s="3"/>
      <c r="V982" s="3"/>
      <c r="W982" s="3"/>
      <c r="X982" s="3"/>
      <c r="Y982" s="3"/>
    </row>
    <row r="983">
      <c r="A983" s="7"/>
      <c r="B983" s="6"/>
      <c r="C983" s="6"/>
      <c r="D983" s="3"/>
      <c r="E983" s="3"/>
      <c r="F983" s="3"/>
      <c r="G983" s="3"/>
      <c r="H983" s="3"/>
      <c r="I983" s="3"/>
      <c r="J983" s="3"/>
      <c r="K983" s="3"/>
      <c r="L983" s="3"/>
      <c r="M983" s="3"/>
      <c r="N983" s="3"/>
      <c r="O983" s="3"/>
      <c r="P983" s="3"/>
      <c r="Q983" s="3"/>
      <c r="R983" s="3"/>
      <c r="S983" s="3"/>
      <c r="T983" s="3"/>
      <c r="U983" s="3"/>
      <c r="V983" s="3"/>
      <c r="W983" s="3"/>
      <c r="X983" s="3"/>
      <c r="Y983" s="3"/>
    </row>
    <row r="984">
      <c r="A984" s="7"/>
      <c r="B984" s="6"/>
      <c r="C984" s="6"/>
      <c r="D984" s="3"/>
      <c r="E984" s="3"/>
      <c r="F984" s="3"/>
      <c r="G984" s="3"/>
      <c r="H984" s="3"/>
      <c r="I984" s="3"/>
      <c r="J984" s="3"/>
      <c r="K984" s="3"/>
      <c r="L984" s="3"/>
      <c r="M984" s="3"/>
      <c r="N984" s="3"/>
      <c r="O984" s="3"/>
      <c r="P984" s="3"/>
      <c r="Q984" s="3"/>
      <c r="R984" s="3"/>
      <c r="S984" s="3"/>
      <c r="T984" s="3"/>
      <c r="U984" s="3"/>
      <c r="V984" s="3"/>
      <c r="W984" s="3"/>
      <c r="X984" s="3"/>
      <c r="Y984" s="3"/>
    </row>
    <row r="985">
      <c r="A985" s="7"/>
      <c r="B985" s="6"/>
      <c r="C985" s="6"/>
      <c r="D985" s="3"/>
      <c r="E985" s="3"/>
      <c r="F985" s="3"/>
      <c r="G985" s="3"/>
      <c r="H985" s="3"/>
      <c r="I985" s="3"/>
      <c r="J985" s="3"/>
      <c r="K985" s="3"/>
      <c r="L985" s="3"/>
      <c r="M985" s="3"/>
      <c r="N985" s="3"/>
      <c r="O985" s="3"/>
      <c r="P985" s="3"/>
      <c r="Q985" s="3"/>
      <c r="R985" s="3"/>
      <c r="S985" s="3"/>
      <c r="T985" s="3"/>
      <c r="U985" s="3"/>
      <c r="V985" s="3"/>
      <c r="W985" s="3"/>
      <c r="X985" s="3"/>
      <c r="Y985" s="3"/>
    </row>
    <row r="986">
      <c r="A986" s="7"/>
      <c r="B986" s="6"/>
      <c r="C986" s="6"/>
      <c r="D986" s="3"/>
      <c r="E986" s="3"/>
      <c r="F986" s="3"/>
      <c r="G986" s="3"/>
      <c r="H986" s="3"/>
      <c r="I986" s="3"/>
      <c r="J986" s="3"/>
      <c r="K986" s="3"/>
      <c r="L986" s="3"/>
      <c r="M986" s="3"/>
      <c r="N986" s="3"/>
      <c r="O986" s="3"/>
      <c r="P986" s="3"/>
      <c r="Q986" s="3"/>
      <c r="R986" s="3"/>
      <c r="S986" s="3"/>
      <c r="T986" s="3"/>
      <c r="U986" s="3"/>
      <c r="V986" s="3"/>
      <c r="W986" s="3"/>
      <c r="X986" s="3"/>
      <c r="Y986" s="3"/>
    </row>
    <row r="987">
      <c r="A987" s="7"/>
      <c r="B987" s="6"/>
      <c r="C987" s="6"/>
      <c r="D987" s="3"/>
      <c r="E987" s="3"/>
      <c r="F987" s="3"/>
      <c r="G987" s="3"/>
      <c r="H987" s="3"/>
      <c r="I987" s="3"/>
      <c r="J987" s="3"/>
      <c r="K987" s="3"/>
      <c r="L987" s="3"/>
      <c r="M987" s="3"/>
      <c r="N987" s="3"/>
      <c r="O987" s="3"/>
      <c r="P987" s="3"/>
      <c r="Q987" s="3"/>
      <c r="R987" s="3"/>
      <c r="S987" s="3"/>
      <c r="T987" s="3"/>
      <c r="U987" s="3"/>
      <c r="V987" s="3"/>
      <c r="W987" s="3"/>
      <c r="X987" s="3"/>
      <c r="Y987" s="3"/>
    </row>
    <row r="988">
      <c r="A988" s="7"/>
      <c r="B988" s="6"/>
      <c r="C988" s="6"/>
      <c r="D988" s="3"/>
      <c r="E988" s="3"/>
      <c r="F988" s="3"/>
      <c r="G988" s="3"/>
      <c r="H988" s="3"/>
      <c r="I988" s="3"/>
      <c r="J988" s="3"/>
      <c r="K988" s="3"/>
      <c r="L988" s="3"/>
      <c r="M988" s="3"/>
      <c r="N988" s="3"/>
      <c r="O988" s="3"/>
      <c r="P988" s="3"/>
      <c r="Q988" s="3"/>
      <c r="R988" s="3"/>
      <c r="S988" s="3"/>
      <c r="T988" s="3"/>
      <c r="U988" s="3"/>
      <c r="V988" s="3"/>
      <c r="W988" s="3"/>
      <c r="X988" s="3"/>
      <c r="Y988" s="3"/>
    </row>
    <row r="989">
      <c r="A989" s="7"/>
      <c r="B989" s="6"/>
      <c r="C989" s="6"/>
      <c r="D989" s="3"/>
      <c r="E989" s="3"/>
      <c r="F989" s="3"/>
      <c r="G989" s="3"/>
      <c r="H989" s="3"/>
      <c r="I989" s="3"/>
      <c r="J989" s="3"/>
      <c r="K989" s="3"/>
      <c r="L989" s="3"/>
      <c r="M989" s="3"/>
      <c r="N989" s="3"/>
      <c r="O989" s="3"/>
      <c r="P989" s="3"/>
      <c r="Q989" s="3"/>
      <c r="R989" s="3"/>
      <c r="S989" s="3"/>
      <c r="T989" s="3"/>
      <c r="U989" s="3"/>
      <c r="V989" s="3"/>
      <c r="W989" s="3"/>
      <c r="X989" s="3"/>
      <c r="Y989" s="3"/>
    </row>
    <row r="990">
      <c r="A990" s="7"/>
      <c r="B990" s="6"/>
      <c r="C990" s="6"/>
      <c r="D990" s="3"/>
      <c r="E990" s="3"/>
      <c r="F990" s="3"/>
      <c r="G990" s="3"/>
      <c r="H990" s="3"/>
      <c r="I990" s="3"/>
      <c r="J990" s="3"/>
      <c r="K990" s="3"/>
      <c r="L990" s="3"/>
      <c r="M990" s="3"/>
      <c r="N990" s="3"/>
      <c r="O990" s="3"/>
      <c r="P990" s="3"/>
      <c r="Q990" s="3"/>
      <c r="R990" s="3"/>
      <c r="S990" s="3"/>
      <c r="T990" s="3"/>
      <c r="U990" s="3"/>
      <c r="V990" s="3"/>
      <c r="W990" s="3"/>
      <c r="X990" s="3"/>
      <c r="Y990" s="3"/>
    </row>
    <row r="991">
      <c r="A991" s="7"/>
      <c r="B991" s="6"/>
      <c r="C991" s="6"/>
      <c r="D991" s="3"/>
      <c r="E991" s="3"/>
      <c r="F991" s="3"/>
      <c r="G991" s="3"/>
      <c r="H991" s="3"/>
      <c r="I991" s="3"/>
      <c r="J991" s="3"/>
      <c r="K991" s="3"/>
      <c r="L991" s="3"/>
      <c r="M991" s="3"/>
      <c r="N991" s="3"/>
      <c r="O991" s="3"/>
      <c r="P991" s="3"/>
      <c r="Q991" s="3"/>
      <c r="R991" s="3"/>
      <c r="S991" s="3"/>
      <c r="T991" s="3"/>
      <c r="U991" s="3"/>
      <c r="V991" s="3"/>
      <c r="W991" s="3"/>
      <c r="X991" s="3"/>
      <c r="Y991" s="3"/>
    </row>
    <row r="992">
      <c r="A992" s="7"/>
      <c r="B992" s="6"/>
      <c r="C992" s="6"/>
      <c r="D992" s="3"/>
      <c r="E992" s="3"/>
      <c r="F992" s="3"/>
      <c r="G992" s="3"/>
      <c r="H992" s="3"/>
      <c r="I992" s="3"/>
      <c r="J992" s="3"/>
      <c r="K992" s="3"/>
      <c r="L992" s="3"/>
      <c r="M992" s="3"/>
      <c r="N992" s="3"/>
      <c r="O992" s="3"/>
      <c r="P992" s="3"/>
      <c r="Q992" s="3"/>
      <c r="R992" s="3"/>
      <c r="S992" s="3"/>
      <c r="T992" s="3"/>
      <c r="U992" s="3"/>
      <c r="V992" s="3"/>
      <c r="W992" s="3"/>
      <c r="X992" s="3"/>
      <c r="Y992" s="3"/>
    </row>
    <row r="993">
      <c r="A993" s="7"/>
      <c r="B993" s="6"/>
      <c r="C993" s="6"/>
      <c r="D993" s="3"/>
      <c r="E993" s="3"/>
      <c r="F993" s="3"/>
      <c r="G993" s="3"/>
      <c r="H993" s="3"/>
      <c r="I993" s="3"/>
      <c r="J993" s="3"/>
      <c r="K993" s="3"/>
      <c r="L993" s="3"/>
      <c r="M993" s="3"/>
      <c r="N993" s="3"/>
      <c r="O993" s="3"/>
      <c r="P993" s="3"/>
      <c r="Q993" s="3"/>
      <c r="R993" s="3"/>
      <c r="S993" s="3"/>
      <c r="T993" s="3"/>
      <c r="U993" s="3"/>
      <c r="V993" s="3"/>
      <c r="W993" s="3"/>
      <c r="X993" s="3"/>
      <c r="Y993" s="3"/>
    </row>
    <row r="994">
      <c r="A994" s="7"/>
      <c r="B994" s="6"/>
      <c r="C994" s="6"/>
      <c r="D994" s="3"/>
      <c r="E994" s="3"/>
      <c r="F994" s="3"/>
      <c r="G994" s="3"/>
      <c r="H994" s="3"/>
      <c r="I994" s="3"/>
      <c r="J994" s="3"/>
      <c r="K994" s="3"/>
      <c r="L994" s="3"/>
      <c r="M994" s="3"/>
      <c r="N994" s="3"/>
      <c r="O994" s="3"/>
      <c r="P994" s="3"/>
      <c r="Q994" s="3"/>
      <c r="R994" s="3"/>
      <c r="S994" s="3"/>
      <c r="T994" s="3"/>
      <c r="U994" s="3"/>
      <c r="V994" s="3"/>
      <c r="W994" s="3"/>
      <c r="X994" s="3"/>
      <c r="Y994" s="3"/>
    </row>
    <row r="995">
      <c r="A995" s="7"/>
      <c r="B995" s="6"/>
      <c r="C995" s="6"/>
      <c r="D995" s="3"/>
      <c r="E995" s="3"/>
      <c r="F995" s="3"/>
      <c r="G995" s="3"/>
      <c r="H995" s="3"/>
      <c r="I995" s="3"/>
      <c r="J995" s="3"/>
      <c r="K995" s="3"/>
      <c r="L995" s="3"/>
      <c r="M995" s="3"/>
      <c r="N995" s="3"/>
      <c r="O995" s="3"/>
      <c r="P995" s="3"/>
      <c r="Q995" s="3"/>
      <c r="R995" s="3"/>
      <c r="S995" s="3"/>
      <c r="T995" s="3"/>
      <c r="U995" s="3"/>
      <c r="V995" s="3"/>
      <c r="W995" s="3"/>
      <c r="X995" s="3"/>
      <c r="Y995" s="3"/>
    </row>
    <row r="996">
      <c r="A996" s="7"/>
      <c r="B996" s="6"/>
      <c r="C996" s="6"/>
      <c r="D996" s="3"/>
      <c r="E996" s="3"/>
      <c r="F996" s="3"/>
      <c r="G996" s="3"/>
      <c r="H996" s="3"/>
      <c r="I996" s="3"/>
      <c r="J996" s="3"/>
      <c r="K996" s="3"/>
      <c r="L996" s="3"/>
      <c r="M996" s="3"/>
      <c r="N996" s="3"/>
      <c r="O996" s="3"/>
      <c r="P996" s="3"/>
      <c r="Q996" s="3"/>
      <c r="R996" s="3"/>
      <c r="S996" s="3"/>
      <c r="T996" s="3"/>
      <c r="U996" s="3"/>
      <c r="V996" s="3"/>
      <c r="W996" s="3"/>
      <c r="X996" s="3"/>
      <c r="Y996" s="3"/>
    </row>
    <row r="997">
      <c r="A997" s="7"/>
      <c r="B997" s="6"/>
      <c r="C997" s="6"/>
      <c r="D997" s="3"/>
      <c r="E997" s="3"/>
      <c r="F997" s="3"/>
      <c r="G997" s="3"/>
      <c r="H997" s="3"/>
      <c r="I997" s="3"/>
      <c r="J997" s="3"/>
      <c r="K997" s="3"/>
      <c r="L997" s="3"/>
      <c r="M997" s="3"/>
      <c r="N997" s="3"/>
      <c r="O997" s="3"/>
      <c r="P997" s="3"/>
      <c r="Q997" s="3"/>
      <c r="R997" s="3"/>
      <c r="S997" s="3"/>
      <c r="T997" s="3"/>
      <c r="U997" s="3"/>
      <c r="V997" s="3"/>
      <c r="W997" s="3"/>
      <c r="X997" s="3"/>
      <c r="Y997" s="3"/>
    </row>
    <row r="998">
      <c r="A998" s="7"/>
      <c r="B998" s="6"/>
      <c r="C998" s="6"/>
      <c r="D998" s="3"/>
      <c r="E998" s="3"/>
      <c r="F998" s="3"/>
      <c r="G998" s="3"/>
      <c r="H998" s="3"/>
      <c r="I998" s="3"/>
      <c r="J998" s="3"/>
      <c r="K998" s="3"/>
      <c r="L998" s="3"/>
      <c r="M998" s="3"/>
      <c r="N998" s="3"/>
      <c r="O998" s="3"/>
      <c r="P998" s="3"/>
      <c r="Q998" s="3"/>
      <c r="R998" s="3"/>
      <c r="S998" s="3"/>
      <c r="T998" s="3"/>
      <c r="U998" s="3"/>
      <c r="V998" s="3"/>
      <c r="W998" s="3"/>
      <c r="X998" s="3"/>
      <c r="Y998" s="3"/>
    </row>
    <row r="999">
      <c r="A999" s="7"/>
      <c r="B999" s="6"/>
      <c r="C999" s="6"/>
      <c r="D999" s="3"/>
      <c r="E999" s="3"/>
      <c r="F999" s="3"/>
      <c r="G999" s="3"/>
      <c r="H999" s="3"/>
      <c r="I999" s="3"/>
      <c r="J999" s="3"/>
      <c r="K999" s="3"/>
      <c r="L999" s="3"/>
      <c r="M999" s="3"/>
      <c r="N999" s="3"/>
      <c r="O999" s="3"/>
      <c r="P999" s="3"/>
      <c r="Q999" s="3"/>
      <c r="R999" s="3"/>
      <c r="S999" s="3"/>
      <c r="T999" s="3"/>
      <c r="U999" s="3"/>
      <c r="V999" s="3"/>
      <c r="W999" s="3"/>
      <c r="X999" s="3"/>
      <c r="Y999" s="3"/>
    </row>
    <row r="1000">
      <c r="A1000" s="7"/>
      <c r="B1000" s="6"/>
      <c r="C1000" s="6"/>
      <c r="D1000" s="3"/>
      <c r="E1000" s="3"/>
      <c r="F1000" s="3"/>
      <c r="G1000" s="3"/>
      <c r="H1000" s="3"/>
      <c r="I1000" s="3"/>
      <c r="J1000" s="3"/>
      <c r="K1000" s="3"/>
      <c r="L1000" s="3"/>
      <c r="M1000" s="3"/>
      <c r="N1000" s="3"/>
      <c r="O1000" s="3"/>
      <c r="P1000" s="3"/>
      <c r="Q1000" s="3"/>
      <c r="R1000" s="3"/>
      <c r="S1000" s="3"/>
      <c r="T1000" s="3"/>
      <c r="U1000" s="3"/>
      <c r="V1000" s="3"/>
      <c r="W1000" s="3"/>
      <c r="X1000" s="3"/>
      <c r="Y1000" s="3"/>
    </row>
    <row r="1001">
      <c r="A1001" s="7"/>
      <c r="B1001" s="6"/>
      <c r="C1001" s="6"/>
      <c r="D1001" s="3"/>
      <c r="E1001" s="3"/>
      <c r="F1001" s="3"/>
      <c r="G1001" s="3"/>
      <c r="H1001" s="3"/>
      <c r="I1001" s="3"/>
      <c r="J1001" s="3"/>
      <c r="K1001" s="3"/>
      <c r="L1001" s="3"/>
      <c r="M1001" s="3"/>
      <c r="N1001" s="3"/>
      <c r="O1001" s="3"/>
      <c r="P1001" s="3"/>
      <c r="Q1001" s="3"/>
      <c r="R1001" s="3"/>
      <c r="S1001" s="3"/>
      <c r="T1001" s="3"/>
      <c r="U1001" s="3"/>
      <c r="V1001" s="3"/>
      <c r="W1001" s="3"/>
      <c r="X1001" s="3"/>
      <c r="Y1001" s="3"/>
    </row>
    <row r="1002">
      <c r="A1002" s="7"/>
      <c r="B1002" s="6"/>
      <c r="C1002" s="6"/>
      <c r="D1002" s="3"/>
      <c r="E1002" s="3"/>
      <c r="F1002" s="3"/>
      <c r="G1002" s="3"/>
      <c r="H1002" s="3"/>
      <c r="I1002" s="3"/>
      <c r="J1002" s="3"/>
      <c r="K1002" s="3"/>
      <c r="L1002" s="3"/>
      <c r="M1002" s="3"/>
      <c r="N1002" s="3"/>
      <c r="O1002" s="3"/>
      <c r="P1002" s="3"/>
      <c r="Q1002" s="3"/>
      <c r="R1002" s="3"/>
      <c r="S1002" s="3"/>
      <c r="T1002" s="3"/>
      <c r="U1002" s="3"/>
      <c r="V1002" s="3"/>
      <c r="W1002" s="3"/>
      <c r="X1002" s="3"/>
      <c r="Y1002" s="3"/>
    </row>
  </sheetData>
  <autoFilter ref="$A$1:$C$9"/>
  <drawing r:id="rId1"/>
</worksheet>
</file>